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usiness\01. Mi Tech\00. Clients\01. MahaIND Client\01. MOPL Management\"/>
    </mc:Choice>
  </mc:AlternateContent>
  <xr:revisionPtr revIDLastSave="0" documentId="13_ncr:1_{7C2A84E8-4125-4FD0-8AAF-E8DD68DBA368}" xr6:coauthVersionLast="47" xr6:coauthVersionMax="47" xr10:uidLastSave="{00000000-0000-0000-0000-000000000000}"/>
  <bookViews>
    <workbookView xWindow="-110" yWindow="-110" windowWidth="21820" windowHeight="13900" firstSheet="1" activeTab="1" xr2:uid="{7085C237-87E2-4223-8876-4702B9B92043}"/>
  </bookViews>
  <sheets>
    <sheet name="Quotation Template" sheetId="10" r:id="rId1"/>
    <sheet name="Production Calculation" sheetId="6" r:id="rId2"/>
    <sheet name="RAM" sheetId="2" r:id="rId3"/>
    <sheet name="Quotations" sheetId="3" r:id="rId4"/>
    <sheet name="Production Plan" sheetId="9" r:id="rId5"/>
  </sheets>
  <definedNames>
    <definedName name="_xlnm._FilterDatabase" localSheetId="2" hidden="1">RAM!$AO$2:$AO$36</definedName>
    <definedName name="_xlnm.Print_Area" localSheetId="1">'Production Calculation'!$B$2:$AI$72</definedName>
    <definedName name="_xlnm.Print_Area" localSheetId="0">'Quotation Template'!$B$1:$Q$69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8" i="6" l="1"/>
  <c r="K30" i="6" s="1"/>
  <c r="K32" i="6" s="1"/>
  <c r="K34" i="6" s="1"/>
  <c r="K16" i="6"/>
  <c r="K18" i="6" s="1"/>
  <c r="Y32" i="6"/>
  <c r="Y28" i="6"/>
  <c r="Y16" i="6"/>
  <c r="Y20" i="6"/>
  <c r="AQ11" i="2"/>
  <c r="F41" i="6"/>
  <c r="H41" i="6"/>
  <c r="I27" i="10"/>
  <c r="I28" i="10" s="1"/>
  <c r="I26" i="10"/>
  <c r="I25" i="10"/>
  <c r="I24" i="10"/>
  <c r="I23" i="10"/>
  <c r="N13" i="10"/>
  <c r="AP73" i="6" l="1"/>
  <c r="AR73" i="6"/>
  <c r="AP74" i="6"/>
  <c r="AR74" i="6"/>
  <c r="AP75" i="6"/>
  <c r="AR75" i="6"/>
  <c r="AP76" i="6"/>
  <c r="AR76" i="6"/>
  <c r="AP77" i="6"/>
  <c r="AR77" i="6"/>
  <c r="AP78" i="6"/>
  <c r="AR78" i="6"/>
  <c r="AP79" i="6"/>
  <c r="AR79" i="6"/>
  <c r="AP80" i="6"/>
  <c r="AR80" i="6"/>
  <c r="AP81" i="6"/>
  <c r="AR81" i="6"/>
  <c r="AP82" i="6"/>
  <c r="AR82" i="6"/>
  <c r="AP83" i="6"/>
  <c r="AR83" i="6"/>
  <c r="AP84" i="6"/>
  <c r="AR84" i="6"/>
  <c r="AR72" i="6"/>
  <c r="AP72" i="6"/>
  <c r="AR9" i="2"/>
  <c r="AP3" i="2"/>
  <c r="AP4" i="2"/>
  <c r="AP5" i="2"/>
  <c r="AP6" i="2"/>
  <c r="AP7" i="2"/>
  <c r="AP8" i="2"/>
  <c r="AP2" i="2"/>
  <c r="AP9" i="2" s="1"/>
  <c r="AQ9" i="2"/>
  <c r="L20" i="2" l="1"/>
  <c r="L21" i="2" s="1"/>
  <c r="L19" i="2"/>
  <c r="I33" i="10" l="1"/>
  <c r="I35" i="10" s="1"/>
  <c r="J35" i="10"/>
  <c r="I30" i="10"/>
  <c r="X2" i="10"/>
  <c r="X3" i="10"/>
  <c r="V31" i="2"/>
  <c r="V32" i="2" s="1"/>
  <c r="I29" i="10"/>
  <c r="I22" i="10"/>
  <c r="K20" i="10"/>
  <c r="N20" i="10" s="1"/>
  <c r="I34" i="10" l="1"/>
  <c r="N39" i="10"/>
  <c r="N41" i="10" s="1"/>
  <c r="N43" i="10" s="1"/>
  <c r="AE17" i="2"/>
  <c r="V30" i="2"/>
  <c r="X33" i="2" s="1"/>
  <c r="Z19" i="2"/>
  <c r="Z18" i="2"/>
  <c r="Z17" i="2"/>
  <c r="Z16" i="2"/>
  <c r="W16" i="2" s="1"/>
  <c r="Z15" i="2"/>
  <c r="Z14" i="2"/>
  <c r="Z13" i="2"/>
  <c r="AA14" i="2"/>
  <c r="AA15" i="2"/>
  <c r="AA16" i="2"/>
  <c r="AA17" i="2"/>
  <c r="AA18" i="2"/>
  <c r="AA19" i="2"/>
  <c r="AA13" i="2"/>
  <c r="AC14" i="2"/>
  <c r="AD14" i="2"/>
  <c r="AE14" i="2"/>
  <c r="AC15" i="2"/>
  <c r="AD15" i="2"/>
  <c r="AE15" i="2"/>
  <c r="AC16" i="2"/>
  <c r="AD16" i="2"/>
  <c r="AE16" i="2"/>
  <c r="AC17" i="2"/>
  <c r="AD17" i="2"/>
  <c r="AC18" i="2"/>
  <c r="AD18" i="2"/>
  <c r="AE18" i="2"/>
  <c r="AC19" i="2"/>
  <c r="AD19" i="2"/>
  <c r="AE19" i="2"/>
  <c r="AB19" i="2"/>
  <c r="AB18" i="2"/>
  <c r="AB17" i="2"/>
  <c r="AB16" i="2"/>
  <c r="AB15" i="2"/>
  <c r="AB14" i="2"/>
  <c r="AE13" i="2"/>
  <c r="AD13" i="2"/>
  <c r="AC13" i="2"/>
  <c r="AB13" i="2"/>
  <c r="AG8" i="2"/>
  <c r="V4" i="6"/>
  <c r="R6" i="6"/>
  <c r="U6" i="6" s="1"/>
  <c r="L8" i="6"/>
  <c r="Y8" i="6"/>
  <c r="S10" i="6"/>
  <c r="K14" i="6"/>
  <c r="L14" i="6"/>
  <c r="L18" i="6" s="1"/>
  <c r="L20" i="6" s="1"/>
  <c r="M14" i="6"/>
  <c r="N14" i="6"/>
  <c r="R14" i="6"/>
  <c r="T14" i="6"/>
  <c r="U14" i="6"/>
  <c r="V14" i="6"/>
  <c r="W14" i="6"/>
  <c r="M15" i="6"/>
  <c r="Q15" i="6"/>
  <c r="N16" i="6"/>
  <c r="N13" i="6" s="1"/>
  <c r="M18" i="6"/>
  <c r="Q8" i="6" s="1"/>
  <c r="Y24" i="6"/>
  <c r="K26" i="6"/>
  <c r="L26" i="6"/>
  <c r="M26" i="6"/>
  <c r="N26" i="6"/>
  <c r="R26" i="6"/>
  <c r="S26" i="6"/>
  <c r="T26" i="6"/>
  <c r="U26" i="6"/>
  <c r="V26" i="6"/>
  <c r="W26" i="6"/>
  <c r="K27" i="6"/>
  <c r="J27" i="6" s="1"/>
  <c r="L27" i="6"/>
  <c r="P27" i="6"/>
  <c r="Q27" i="6"/>
  <c r="N28" i="6"/>
  <c r="Z28" i="6"/>
  <c r="Q30" i="6"/>
  <c r="R30" i="6"/>
  <c r="S30" i="6"/>
  <c r="S32" i="6" s="1"/>
  <c r="AE16" i="6" s="1"/>
  <c r="AF16" i="6" s="1"/>
  <c r="T30" i="6"/>
  <c r="U30" i="6"/>
  <c r="U32" i="6" s="1"/>
  <c r="AE24" i="6" s="1"/>
  <c r="AF24" i="6" s="1"/>
  <c r="V30" i="6"/>
  <c r="V32" i="6" s="1"/>
  <c r="W30" i="6"/>
  <c r="W32" i="6" s="1"/>
  <c r="AE32" i="6" s="1"/>
  <c r="AF32" i="6" s="1"/>
  <c r="Z32" i="6"/>
  <c r="I34" i="6"/>
  <c r="AF40" i="6" s="1"/>
  <c r="I36" i="6"/>
  <c r="AF44" i="6" s="1"/>
  <c r="F42" i="6"/>
  <c r="W18" i="2" l="1"/>
  <c r="W19" i="2"/>
  <c r="W14" i="2"/>
  <c r="AG16" i="2"/>
  <c r="W15" i="2"/>
  <c r="AF24" i="2"/>
  <c r="AG24" i="2" s="1"/>
  <c r="V16" i="2"/>
  <c r="V18" i="2"/>
  <c r="AF26" i="2"/>
  <c r="AG26" i="2" s="1"/>
  <c r="AF27" i="2"/>
  <c r="AG27" i="2" s="1"/>
  <c r="V19" i="2"/>
  <c r="V14" i="2"/>
  <c r="AF22" i="2"/>
  <c r="AG22" i="2" s="1"/>
  <c r="AF23" i="2"/>
  <c r="AG23" i="2" s="1"/>
  <c r="V15" i="2"/>
  <c r="AG19" i="2"/>
  <c r="W17" i="2"/>
  <c r="V34" i="6"/>
  <c r="AE28" i="6"/>
  <c r="AF28" i="6" s="1"/>
  <c r="AF25" i="2"/>
  <c r="AG25" i="2" s="1"/>
  <c r="V17" i="2"/>
  <c r="AG15" i="2"/>
  <c r="AG18" i="2"/>
  <c r="AG17" i="2"/>
  <c r="S34" i="6"/>
  <c r="L22" i="6"/>
  <c r="H42" i="6"/>
  <c r="AA6" i="6" s="1"/>
  <c r="M20" i="6"/>
  <c r="AE40" i="6" s="1"/>
  <c r="AF38" i="6" s="1"/>
  <c r="AG40" i="6" s="1"/>
  <c r="N30" i="6"/>
  <c r="N32" i="6" s="1"/>
  <c r="R32" i="6"/>
  <c r="Q32" i="6"/>
  <c r="M30" i="6"/>
  <c r="N18" i="6"/>
  <c r="N20" i="6" s="1"/>
  <c r="AE44" i="6" s="1"/>
  <c r="AF42" i="6" s="1"/>
  <c r="AG44" i="6" s="1"/>
  <c r="N34" i="6"/>
  <c r="T32" i="6"/>
  <c r="W34" i="6"/>
  <c r="U34" i="6"/>
  <c r="L30" i="6"/>
  <c r="W8" i="6"/>
  <c r="AB10" i="2"/>
  <c r="W10" i="6" l="1"/>
  <c r="Q34" i="6"/>
  <c r="AE8" i="6"/>
  <c r="AF8" i="6" s="1"/>
  <c r="R34" i="6"/>
  <c r="AE12" i="6"/>
  <c r="AF12" i="6" s="1"/>
  <c r="T34" i="6"/>
  <c r="AE20" i="6"/>
  <c r="AF20" i="6" s="1"/>
  <c r="AA10" i="6"/>
  <c r="AC36" i="6"/>
  <c r="AD36" i="6" s="1"/>
  <c r="M22" i="6"/>
  <c r="N22" i="6"/>
  <c r="U38" i="6" s="1"/>
  <c r="M32" i="6"/>
  <c r="L32" i="6"/>
  <c r="AG7" i="2"/>
  <c r="AG6" i="2"/>
  <c r="AG5" i="2"/>
  <c r="AG4" i="2"/>
  <c r="AG3" i="2"/>
  <c r="AG2" i="2"/>
  <c r="AF4" i="6" l="1"/>
  <c r="AG28" i="6" s="1"/>
  <c r="S8" i="6"/>
  <c r="J8" i="6" s="1"/>
  <c r="AA14" i="6" s="1"/>
  <c r="AA18" i="6" s="1"/>
  <c r="AA22" i="6" s="1"/>
  <c r="L38" i="6"/>
  <c r="K20" i="6"/>
  <c r="L34" i="6"/>
  <c r="AC44" i="6"/>
  <c r="AD44" i="6" s="1"/>
  <c r="M34" i="6"/>
  <c r="AC40" i="6"/>
  <c r="AD40" i="6" s="1"/>
  <c r="Y12" i="6"/>
  <c r="Y36" i="6" s="1"/>
  <c r="S38" i="6"/>
  <c r="AF11" i="2"/>
  <c r="O4" i="2"/>
  <c r="S14" i="6" s="1"/>
  <c r="AD34" i="6" l="1"/>
  <c r="AG32" i="6" s="1"/>
  <c r="F8" i="6"/>
  <c r="K22" i="6"/>
  <c r="Q38" i="6" s="1"/>
  <c r="Q36" i="6" s="1"/>
  <c r="AE36" i="6"/>
  <c r="AF34" i="6" s="1"/>
  <c r="AG36" i="6" s="1"/>
  <c r="Q18" i="6"/>
  <c r="Q20" i="6" s="1"/>
  <c r="U18" i="6"/>
  <c r="U20" i="6" s="1"/>
  <c r="U22" i="6" s="1"/>
  <c r="V18" i="6"/>
  <c r="V20" i="6" s="1"/>
  <c r="V22" i="6" s="1"/>
  <c r="T18" i="6"/>
  <c r="T20" i="6" s="1"/>
  <c r="AC20" i="6" s="1"/>
  <c r="AD20" i="6" s="1"/>
  <c r="R18" i="6"/>
  <c r="R20" i="6" s="1"/>
  <c r="R22" i="6" s="1"/>
  <c r="S18" i="6"/>
  <c r="S20" i="6" s="1"/>
  <c r="AC16" i="6" s="1"/>
  <c r="AD16" i="6" s="1"/>
  <c r="W18" i="6"/>
  <c r="W20" i="6" s="1"/>
  <c r="W22" i="6" s="1"/>
  <c r="Z10" i="2"/>
  <c r="Z36" i="6" s="1"/>
  <c r="Y40" i="6"/>
  <c r="N38" i="6"/>
  <c r="AE10" i="2"/>
  <c r="AE11" i="2" s="1"/>
  <c r="AC10" i="2"/>
  <c r="AC11" i="2" s="1"/>
  <c r="AD10" i="2"/>
  <c r="AD11" i="2" s="1"/>
  <c r="E11" i="2"/>
  <c r="E12" i="2" s="1"/>
  <c r="E13" i="2" s="1"/>
  <c r="E14" i="2" s="1"/>
  <c r="E15" i="2" s="1"/>
  <c r="E16" i="2" s="1"/>
  <c r="F3" i="2"/>
  <c r="F4" i="2" s="1"/>
  <c r="F5" i="2" s="1"/>
  <c r="F6" i="2" s="1"/>
  <c r="F7" i="2" s="1"/>
  <c r="F8" i="2" s="1"/>
  <c r="E3" i="2"/>
  <c r="E4" i="2" s="1"/>
  <c r="E5" i="2" s="1"/>
  <c r="E6" i="2" s="1"/>
  <c r="E7" i="2" s="1"/>
  <c r="E8" i="2" s="1"/>
  <c r="E9" i="2" s="1"/>
  <c r="Q22" i="6" l="1"/>
  <c r="AC8" i="6"/>
  <c r="AD8" i="6" s="1"/>
  <c r="AC24" i="6"/>
  <c r="AD24" i="6" s="1"/>
  <c r="AC12" i="6"/>
  <c r="AD12" i="6" s="1"/>
  <c r="S22" i="6"/>
  <c r="T22" i="6"/>
  <c r="AC32" i="6"/>
  <c r="AD32" i="6" s="1"/>
  <c r="AC28" i="6"/>
  <c r="AD28" i="6" s="1"/>
  <c r="Y44" i="6"/>
  <c r="AB11" i="2"/>
  <c r="AD4" i="6" l="1"/>
  <c r="AG24" i="6" s="1"/>
  <c r="J38" i="6"/>
  <c r="V38" i="6" s="1"/>
  <c r="J42" i="6" s="1"/>
  <c r="AA10" i="2"/>
  <c r="N42" i="6" l="1"/>
  <c r="M42" i="6" s="1"/>
  <c r="Z40" i="6"/>
  <c r="AA38" i="6"/>
  <c r="Z34" i="6"/>
  <c r="Z38" i="6" s="1"/>
  <c r="Z11" i="2"/>
  <c r="AA11" i="2"/>
  <c r="P42" i="6" l="1"/>
  <c r="P44" i="6" s="1"/>
  <c r="R44" i="6" s="1"/>
  <c r="K44" i="6" s="1"/>
  <c r="T42" i="6"/>
  <c r="T44" i="6" s="1"/>
  <c r="V44" i="6" s="1"/>
  <c r="M44" i="6" s="1"/>
  <c r="AG11" i="2"/>
  <c r="U44" i="6" l="1"/>
  <c r="W44" i="6"/>
  <c r="Q44" i="6"/>
  <c r="S44" i="6"/>
  <c r="U30" i="2"/>
  <c r="AG10" i="2"/>
  <c r="F40" i="6" s="1"/>
  <c r="AA28" i="6" s="1"/>
  <c r="X30" i="2" l="1"/>
  <c r="X32" i="2" s="1"/>
  <c r="Z30" i="2"/>
  <c r="Z32" i="2" s="1"/>
  <c r="AA30" i="2"/>
  <c r="AA32" i="2" s="1"/>
  <c r="Y30" i="2"/>
  <c r="Y32" i="2" s="1"/>
  <c r="AF30" i="2"/>
  <c r="AF32" i="2" s="1"/>
  <c r="AE30" i="2"/>
  <c r="AE32" i="2" s="1"/>
  <c r="AD30" i="2"/>
  <c r="AD32" i="2" s="1"/>
  <c r="AC30" i="2"/>
  <c r="AC32" i="2" s="1"/>
  <c r="AB30" i="2"/>
  <c r="AB32" i="2" s="1"/>
  <c r="AA32" i="6"/>
  <c r="F44" i="6"/>
  <c r="H44" i="6" s="1"/>
  <c r="AG30" i="2" l="1"/>
  <c r="AA36" i="6"/>
  <c r="AG14" i="2"/>
  <c r="W13" i="2"/>
  <c r="AG13" i="2"/>
  <c r="V13" i="2" l="1"/>
  <c r="W30" i="2"/>
  <c r="W32" i="2" s="1"/>
  <c r="Z44" i="6"/>
  <c r="AG32" i="2"/>
  <c r="AA40" i="6"/>
  <c r="Z43" i="6" s="1"/>
  <c r="AF21" i="2"/>
  <c r="AG21" i="2" s="1"/>
  <c r="G41" i="6" s="1"/>
  <c r="Z42" i="6" l="1"/>
  <c r="AA44" i="6" s="1"/>
</calcChain>
</file>

<file path=xl/sharedStrings.xml><?xml version="1.0" encoding="utf-8"?>
<sst xmlns="http://schemas.openxmlformats.org/spreadsheetml/2006/main" count="1680" uniqueCount="544">
  <si>
    <t>Customer Name</t>
  </si>
  <si>
    <t>Production Type</t>
  </si>
  <si>
    <t>Certification</t>
  </si>
  <si>
    <t>Bag Type</t>
  </si>
  <si>
    <t>Bag Weight</t>
  </si>
  <si>
    <t>Bag Size</t>
  </si>
  <si>
    <t>Liner</t>
  </si>
  <si>
    <t>Liner Weight</t>
  </si>
  <si>
    <t>Mesh Size</t>
  </si>
  <si>
    <t>Colour</t>
  </si>
  <si>
    <t>Credit Terms</t>
  </si>
  <si>
    <t>Top Stitching</t>
  </si>
  <si>
    <t>Bottom Stitching</t>
  </si>
  <si>
    <t>Quantity</t>
  </si>
  <si>
    <t>Bag Certification</t>
  </si>
  <si>
    <t>Mess</t>
  </si>
  <si>
    <t>Stitching Type (TOP)</t>
  </si>
  <si>
    <t>Stitching Type (Bottom)</t>
  </si>
  <si>
    <t>Fabric Type</t>
  </si>
  <si>
    <t>Credit Term</t>
  </si>
  <si>
    <t>Sugar</t>
  </si>
  <si>
    <t>BIS</t>
  </si>
  <si>
    <t>Lamination</t>
  </si>
  <si>
    <t>No</t>
  </si>
  <si>
    <t>10 X 10</t>
  </si>
  <si>
    <t>White</t>
  </si>
  <si>
    <t>12" x 20"</t>
  </si>
  <si>
    <t>Plain Stitch</t>
  </si>
  <si>
    <t>Single Fold Single Stitch (SFSS)</t>
  </si>
  <si>
    <t>Tubular - Normal</t>
  </si>
  <si>
    <t>Advance</t>
  </si>
  <si>
    <t>Non Sugar</t>
  </si>
  <si>
    <t>Non-BIS</t>
  </si>
  <si>
    <t>Non-Lamination</t>
  </si>
  <si>
    <t>Natural</t>
  </si>
  <si>
    <t>11 X 11</t>
  </si>
  <si>
    <t>Black</t>
  </si>
  <si>
    <t>14" x 24"</t>
  </si>
  <si>
    <t>Folded and Stitched (Top Hemming)</t>
  </si>
  <si>
    <t>Double Fold Single Stitch (DFSS)</t>
  </si>
  <si>
    <t>Tubular - Volve</t>
  </si>
  <si>
    <t>On Delivery</t>
  </si>
  <si>
    <t>Milky</t>
  </si>
  <si>
    <t>12 X 12</t>
  </si>
  <si>
    <t>Red</t>
  </si>
  <si>
    <t>18" x 30"</t>
  </si>
  <si>
    <t>Overlock Stitch</t>
  </si>
  <si>
    <t>Single Fold Double Stitch (SFDS)</t>
  </si>
  <si>
    <t>Flat - Box</t>
  </si>
  <si>
    <t>5 Days</t>
  </si>
  <si>
    <t>Blue</t>
  </si>
  <si>
    <t>20" x 34"</t>
  </si>
  <si>
    <t>Double Fold with Stitch</t>
  </si>
  <si>
    <t>Double Fold Double Stitch (DFDS)</t>
  </si>
  <si>
    <t>Flat - Envelop</t>
  </si>
  <si>
    <t>15 Days</t>
  </si>
  <si>
    <t>Green</t>
  </si>
  <si>
    <t>22" x 36"</t>
  </si>
  <si>
    <t>Chain Stitch</t>
  </si>
  <si>
    <t>21 Days</t>
  </si>
  <si>
    <t>Yellow</t>
  </si>
  <si>
    <t>24" x 36"</t>
  </si>
  <si>
    <t>Zig-Zag Stitch</t>
  </si>
  <si>
    <t>30 Days</t>
  </si>
  <si>
    <t>Orange</t>
  </si>
  <si>
    <t>24" x 40"</t>
  </si>
  <si>
    <t>Drawstring Stitch</t>
  </si>
  <si>
    <t>45 Days</t>
  </si>
  <si>
    <t>Pink</t>
  </si>
  <si>
    <t>28" x 40"</t>
  </si>
  <si>
    <t>Hot Cut with Stitch</t>
  </si>
  <si>
    <t>Cross Stitch</t>
  </si>
  <si>
    <t>60 Days</t>
  </si>
  <si>
    <t>Grey</t>
  </si>
  <si>
    <t>24" X 48"</t>
  </si>
  <si>
    <t>Binding Stitch</t>
  </si>
  <si>
    <t>90 Days</t>
  </si>
  <si>
    <t>Brown</t>
  </si>
  <si>
    <t>26" X 42"</t>
  </si>
  <si>
    <t>Velcro or Hook &amp; Loop Stitch</t>
  </si>
  <si>
    <t>Heat Sealed Stitch</t>
  </si>
  <si>
    <t>Transparent (Natural)</t>
  </si>
  <si>
    <t>Rope-In Hemming Stitch</t>
  </si>
  <si>
    <t>Loop-In Bottom Stitch</t>
  </si>
  <si>
    <t>Ultra-Sonic Sealing with Stitch</t>
  </si>
  <si>
    <t>Single BOPP + Lamination</t>
  </si>
  <si>
    <t>Double BOPP + Lamination</t>
  </si>
  <si>
    <t>PP</t>
  </si>
  <si>
    <t>Filler</t>
  </si>
  <si>
    <t>MB</t>
  </si>
  <si>
    <t>Modifier</t>
  </si>
  <si>
    <t>UV</t>
  </si>
  <si>
    <t>LD</t>
  </si>
  <si>
    <t>Bag</t>
  </si>
  <si>
    <t>%age</t>
  </si>
  <si>
    <t>(KG)</t>
  </si>
  <si>
    <t>(Gms)</t>
  </si>
  <si>
    <t>Cost</t>
  </si>
  <si>
    <t>RP</t>
  </si>
  <si>
    <t>LLDPE</t>
  </si>
  <si>
    <t>LDPE</t>
  </si>
  <si>
    <t>TPT</t>
  </si>
  <si>
    <t>Other</t>
  </si>
  <si>
    <t>BOPP</t>
  </si>
  <si>
    <t>Film</t>
  </si>
  <si>
    <t>Sterio</t>
  </si>
  <si>
    <t>LAM</t>
  </si>
  <si>
    <t>RM Price</t>
  </si>
  <si>
    <t>Decedent</t>
  </si>
  <si>
    <t>COGS</t>
  </si>
  <si>
    <t>OPEX</t>
  </si>
  <si>
    <t>Bag RM Cost</t>
  </si>
  <si>
    <t>Liner RM Cost</t>
  </si>
  <si>
    <t>LAM Cost</t>
  </si>
  <si>
    <t>Printing</t>
  </si>
  <si>
    <t>User Name</t>
  </si>
  <si>
    <t>Date</t>
  </si>
  <si>
    <t>Time</t>
  </si>
  <si>
    <t>Production Cost</t>
  </si>
  <si>
    <t>Minimum Quote Value</t>
  </si>
  <si>
    <t>Maximum Quote Value</t>
  </si>
  <si>
    <t>No Stitching</t>
  </si>
  <si>
    <t>RM</t>
  </si>
  <si>
    <t>Price</t>
  </si>
  <si>
    <t>Paint</t>
  </si>
  <si>
    <t>Unit</t>
  </si>
  <si>
    <t>KG</t>
  </si>
  <si>
    <t>Liner Filler</t>
  </si>
  <si>
    <t>LAM Filler</t>
  </si>
  <si>
    <t>LAM PP</t>
  </si>
  <si>
    <t>LAM LDPE</t>
  </si>
  <si>
    <t>BOPP Film</t>
  </si>
  <si>
    <t>26" X 43.50"</t>
  </si>
  <si>
    <t>`</t>
  </si>
  <si>
    <t>Handle</t>
  </si>
  <si>
    <t>Print</t>
  </si>
  <si>
    <t>BCS</t>
  </si>
  <si>
    <t>C &amp; S</t>
  </si>
  <si>
    <t>Bailing</t>
  </si>
  <si>
    <t>Hemming</t>
  </si>
  <si>
    <t>Handle Stitching</t>
  </si>
  <si>
    <t>MAHAIND</t>
  </si>
  <si>
    <t>Rolls</t>
  </si>
  <si>
    <t>Loom</t>
  </si>
  <si>
    <t xml:space="preserve">+ 5% Wastage </t>
  </si>
  <si>
    <t>musta</t>
  </si>
  <si>
    <t>Order Date</t>
  </si>
  <si>
    <t>Type A</t>
  </si>
  <si>
    <t>Type B</t>
  </si>
  <si>
    <t>Type C</t>
  </si>
  <si>
    <t>Type D</t>
  </si>
  <si>
    <t>Tapeline</t>
  </si>
  <si>
    <t>Dispatch</t>
  </si>
  <si>
    <t>Shift</t>
  </si>
  <si>
    <t>Baling</t>
  </si>
  <si>
    <t>Days</t>
  </si>
  <si>
    <t>LDPE-LAM</t>
  </si>
  <si>
    <t>Filler-LAM</t>
  </si>
  <si>
    <t>Filler-Liner</t>
  </si>
  <si>
    <t>Stitching</t>
  </si>
  <si>
    <t>Y</t>
  </si>
  <si>
    <t>N</t>
  </si>
  <si>
    <t>Quote Selection</t>
  </si>
  <si>
    <t>Type E</t>
  </si>
  <si>
    <t>Type F</t>
  </si>
  <si>
    <t>Month</t>
  </si>
  <si>
    <t>Client Name</t>
  </si>
  <si>
    <t>Order Qty</t>
  </si>
  <si>
    <t>Fabric</t>
  </si>
  <si>
    <t>Printing (g)</t>
  </si>
  <si>
    <t>Production Days</t>
  </si>
  <si>
    <t>Order #</t>
  </si>
  <si>
    <t>Bag Cut Size</t>
  </si>
  <si>
    <t>Stitching Type</t>
  </si>
  <si>
    <t>Extra Inches for Bottom</t>
  </si>
  <si>
    <t>Extra Inches for Top</t>
  </si>
  <si>
    <t>X</t>
  </si>
  <si>
    <t>Extra (Mtr)</t>
  </si>
  <si>
    <t>GPM</t>
  </si>
  <si>
    <t>GSM</t>
  </si>
  <si>
    <t>Denier</t>
  </si>
  <si>
    <t>Total Fabric (Mtr)</t>
  </si>
  <si>
    <t>BAG RM</t>
  </si>
  <si>
    <t>Filler -Liner</t>
  </si>
  <si>
    <t>Ink</t>
  </si>
  <si>
    <t>PP - LAM</t>
  </si>
  <si>
    <t>Liner RM</t>
  </si>
  <si>
    <t>Thread</t>
  </si>
  <si>
    <t>Vendor Cost</t>
  </si>
  <si>
    <t>RFQ BY</t>
  </si>
  <si>
    <t>Profit</t>
  </si>
  <si>
    <t>Yarn</t>
  </si>
  <si>
    <t>Bag Weight Distribution</t>
  </si>
  <si>
    <t>=</t>
  </si>
  <si>
    <t>&gt;&gt;</t>
  </si>
  <si>
    <t>Cylinder</t>
  </si>
  <si>
    <t>BOPP GSM</t>
  </si>
  <si>
    <t>Vendor</t>
  </si>
  <si>
    <t>Production Plan</t>
  </si>
  <si>
    <t>BOPP/LAM</t>
  </si>
  <si>
    <t>Downtime</t>
  </si>
  <si>
    <t>Username</t>
  </si>
  <si>
    <t>PP%</t>
  </si>
  <si>
    <t>Filler%</t>
  </si>
  <si>
    <t>MB%</t>
  </si>
  <si>
    <t>Modifier%</t>
  </si>
  <si>
    <t>UV%</t>
  </si>
  <si>
    <t>LD%</t>
  </si>
  <si>
    <t>RP%</t>
  </si>
  <si>
    <t>Terms &amp; Conditions</t>
  </si>
  <si>
    <t>PP(g)</t>
  </si>
  <si>
    <t>Filler(g)</t>
  </si>
  <si>
    <t>MB(g)</t>
  </si>
  <si>
    <t>Modifier(g)</t>
  </si>
  <si>
    <t>UV(g)</t>
  </si>
  <si>
    <t>LD(g)</t>
  </si>
  <si>
    <t>RP(g)</t>
  </si>
  <si>
    <t>LLDPE%</t>
  </si>
  <si>
    <t>Filler-Liner%</t>
  </si>
  <si>
    <t>LDPE%</t>
  </si>
  <si>
    <t>Decedent%</t>
  </si>
  <si>
    <t>TPT%</t>
  </si>
  <si>
    <t>Other%</t>
  </si>
  <si>
    <t>LLDPE(g)</t>
  </si>
  <si>
    <t>Filler-Liner(g)</t>
  </si>
  <si>
    <t>LDPE(g)</t>
  </si>
  <si>
    <t>Decedent(g)</t>
  </si>
  <si>
    <t>TPT(g)</t>
  </si>
  <si>
    <t>Other(g)</t>
  </si>
  <si>
    <t>PP-LAM%</t>
  </si>
  <si>
    <t>Filler-LAM%</t>
  </si>
  <si>
    <t>LDPE-LAM%</t>
  </si>
  <si>
    <t>PP-LAM(g)</t>
  </si>
  <si>
    <t>Filler-LAM(g)</t>
  </si>
  <si>
    <t>LDPE-LAM(g)</t>
  </si>
  <si>
    <t>Handle (Unit)</t>
  </si>
  <si>
    <t>Film (Unit)</t>
  </si>
  <si>
    <t>Cylinder (Unit)</t>
  </si>
  <si>
    <t>Printing (Unit)</t>
  </si>
  <si>
    <t>Film (g)</t>
  </si>
  <si>
    <t>Handle (g)</t>
  </si>
  <si>
    <t>PP (Kg)</t>
  </si>
  <si>
    <t>Filler (Kg)</t>
  </si>
  <si>
    <t>MB (Kg)</t>
  </si>
  <si>
    <t>Modifier (Kg)</t>
  </si>
  <si>
    <t>UV (Kg)</t>
  </si>
  <si>
    <t>LD (Kg)</t>
  </si>
  <si>
    <t>RP (Kg)</t>
  </si>
  <si>
    <t>LLDPE (Kg)</t>
  </si>
  <si>
    <t>Filler-Liner (Kg)</t>
  </si>
  <si>
    <t>LDPE (Kg)</t>
  </si>
  <si>
    <t>Decedent (Kg)</t>
  </si>
  <si>
    <t>TPT (Kg)</t>
  </si>
  <si>
    <t>Other (Kg)</t>
  </si>
  <si>
    <t>PP-LAM (Kg)</t>
  </si>
  <si>
    <t>Filler-LAM (Kg)</t>
  </si>
  <si>
    <t>LDPE-LAM (Kg)</t>
  </si>
  <si>
    <t>BOPP (KG)</t>
  </si>
  <si>
    <t>Ink (Kg)</t>
  </si>
  <si>
    <t>Handle (Kg)</t>
  </si>
  <si>
    <t>MKT</t>
  </si>
  <si>
    <t>Batch Qty.</t>
  </si>
  <si>
    <t>Batch Type</t>
  </si>
  <si>
    <t>Hrs per Batch</t>
  </si>
  <si>
    <t># of Batches</t>
  </si>
  <si>
    <t>Production Hours</t>
  </si>
  <si>
    <t>Shifts</t>
  </si>
  <si>
    <t>PO Date</t>
  </si>
  <si>
    <t>Tapeline SD</t>
  </si>
  <si>
    <t>Fabric SD</t>
  </si>
  <si>
    <t>Dispatch Date</t>
  </si>
  <si>
    <t>Printing SD</t>
  </si>
  <si>
    <t>BOPP/Lamination SD</t>
  </si>
  <si>
    <t>PP Rate</t>
  </si>
  <si>
    <t>Filler Rate</t>
  </si>
  <si>
    <t>MB Rate</t>
  </si>
  <si>
    <t>Modifier Rate</t>
  </si>
  <si>
    <t>UV Rate</t>
  </si>
  <si>
    <t>LD Rate</t>
  </si>
  <si>
    <t>RP Rate</t>
  </si>
  <si>
    <t>PP Cost</t>
  </si>
  <si>
    <t>Filler Cost</t>
  </si>
  <si>
    <t>MB Cost</t>
  </si>
  <si>
    <t>Modifier Cost</t>
  </si>
  <si>
    <t>UV Cost</t>
  </si>
  <si>
    <t>LD Cost</t>
  </si>
  <si>
    <t>RP Cost</t>
  </si>
  <si>
    <t>LLDPE Rate</t>
  </si>
  <si>
    <t>Filler-Liner Rate</t>
  </si>
  <si>
    <t>LDPE Rate</t>
  </si>
  <si>
    <t>Decedent Rate</t>
  </si>
  <si>
    <t>TPT Rate</t>
  </si>
  <si>
    <t>Other Rate</t>
  </si>
  <si>
    <t>LLDPE Cost</t>
  </si>
  <si>
    <t>Filler-Liner Cost</t>
  </si>
  <si>
    <t>LDPE Cost</t>
  </si>
  <si>
    <t>Decedent Cost</t>
  </si>
  <si>
    <t>TPT Cost</t>
  </si>
  <si>
    <t>Other Cost</t>
  </si>
  <si>
    <t>Liner Cost</t>
  </si>
  <si>
    <t>PP-LAM Rate</t>
  </si>
  <si>
    <t>Filler-LAM Rate</t>
  </si>
  <si>
    <t>LDPE-LAM Rate</t>
  </si>
  <si>
    <t>PP-LAM Cost</t>
  </si>
  <si>
    <t>Filler-LAM Cost</t>
  </si>
  <si>
    <t>LDPE-LAM Cost</t>
  </si>
  <si>
    <t>Lamination Cost</t>
  </si>
  <si>
    <t>BOPP Cost</t>
  </si>
  <si>
    <t>Cylinder Cost</t>
  </si>
  <si>
    <t>Print Cost</t>
  </si>
  <si>
    <t>Handle Cost</t>
  </si>
  <si>
    <t>Yarn Cost</t>
  </si>
  <si>
    <t>Total Vendor Cost</t>
  </si>
  <si>
    <t>MahaInd Cost</t>
  </si>
  <si>
    <t>Wastage Cost</t>
  </si>
  <si>
    <t>Operation Cost</t>
  </si>
  <si>
    <t>Prduction Cost</t>
  </si>
  <si>
    <t>Min. Quote</t>
  </si>
  <si>
    <t>Max Quote</t>
  </si>
  <si>
    <t>Min Profit</t>
  </si>
  <si>
    <t>Max Profit</t>
  </si>
  <si>
    <t>Profit %</t>
  </si>
  <si>
    <t>Min/Bag Profit</t>
  </si>
  <si>
    <t>Min/Bag Profit exc. MKT</t>
  </si>
  <si>
    <t>Max/Bag Profit</t>
  </si>
  <si>
    <t>Max/Bag Profit exc. MKT</t>
  </si>
  <si>
    <t>Production 
Start Date</t>
  </si>
  <si>
    <t>Width 
(inch)</t>
  </si>
  <si>
    <t>Length 
(inch)</t>
  </si>
  <si>
    <t>Bag Cut size 
Width (inch)</t>
  </si>
  <si>
    <t>Bag Cut 
Length (inch)</t>
  </si>
  <si>
    <t>Total Bag 
Weight (g)</t>
  </si>
  <si>
    <t>Fibric 
Weight (g)</t>
  </si>
  <si>
    <t>Total Fabric 
(Meter)</t>
  </si>
  <si>
    <t>Extra Fabric 
(Meter)</t>
  </si>
  <si>
    <t>Film colour 
Weight (g)</t>
  </si>
  <si>
    <t xml:space="preserve">General Information </t>
  </si>
  <si>
    <t>RAW Material</t>
  </si>
  <si>
    <t>RAW Material Rate and Cost</t>
  </si>
  <si>
    <t>Production Cost Calculation</t>
  </si>
  <si>
    <t>Quotation &amp; Profit</t>
  </si>
  <si>
    <t>Profit &amp; Loss Calculation</t>
  </si>
  <si>
    <r>
      <rPr>
        <b/>
        <sz val="12"/>
        <color theme="1"/>
        <rFont val="Calibri"/>
        <family val="2"/>
        <scheme val="minor"/>
      </rPr>
      <t>Quote Source</t>
    </r>
    <r>
      <rPr>
        <sz val="12"/>
        <color theme="1"/>
        <rFont val="Calibri"/>
        <family val="2"/>
        <scheme val="minor"/>
      </rPr>
      <t xml:space="preserve"> – The quotation details are prepared by MahaInd Infotech based on the online request (RFQ) received from the person noted on the quotation.</t>
    </r>
  </si>
  <si>
    <r>
      <rPr>
        <b/>
        <sz val="12"/>
        <color theme="1"/>
        <rFont val="Calibri"/>
        <family val="2"/>
        <scheme val="minor"/>
      </rPr>
      <t>Prices</t>
    </r>
    <r>
      <rPr>
        <sz val="12"/>
        <color theme="1"/>
        <rFont val="Calibri"/>
        <family val="2"/>
        <scheme val="minor"/>
      </rPr>
      <t xml:space="preserve"> – Quoted rates are exclusive of GST, transport, and other applicable charges unless specifically mentioned.</t>
    </r>
  </si>
  <si>
    <r>
      <rPr>
        <b/>
        <sz val="12"/>
        <color theme="1"/>
        <rFont val="Calibri"/>
        <family val="2"/>
        <scheme val="minor"/>
      </rPr>
      <t>Raw Material Basis</t>
    </r>
    <r>
      <rPr>
        <sz val="12"/>
        <color theme="1"/>
        <rFont val="Calibri"/>
        <family val="2"/>
        <scheme val="minor"/>
      </rPr>
      <t xml:space="preserve"> – Prices are calculated on the basis of recent purchase values of raw materials at the time of preparing this quotation.</t>
    </r>
  </si>
  <si>
    <r>
      <rPr>
        <b/>
        <sz val="12"/>
        <color theme="1"/>
        <rFont val="Calibri"/>
        <family val="2"/>
        <scheme val="minor"/>
      </rPr>
      <t>Price Fluctuation</t>
    </r>
    <r>
      <rPr>
        <sz val="12"/>
        <color theme="1"/>
        <rFont val="Calibri"/>
        <family val="2"/>
        <scheme val="minor"/>
      </rPr>
      <t xml:space="preserve"> – If there is a significant fluctuation in raw material costs before delivery, MOPL reserves the right to revise prices accordingly.</t>
    </r>
  </si>
  <si>
    <r>
      <rPr>
        <b/>
        <sz val="12"/>
        <color theme="1"/>
        <rFont val="Calibri"/>
        <family val="2"/>
        <scheme val="minor"/>
      </rPr>
      <t xml:space="preserve">Quote Validity </t>
    </r>
    <r>
      <rPr>
        <sz val="12"/>
        <color theme="1"/>
        <rFont val="Calibri"/>
        <family val="2"/>
        <scheme val="minor"/>
      </rPr>
      <t>– This quotation is valid for five days from the date of issue unless otherwise stated in writing.</t>
    </r>
  </si>
  <si>
    <r>
      <rPr>
        <b/>
        <sz val="12"/>
        <color theme="1"/>
        <rFont val="Calibri"/>
        <family val="2"/>
        <scheme val="minor"/>
      </rPr>
      <t>Force Majeure</t>
    </r>
    <r>
      <rPr>
        <sz val="12"/>
        <color theme="1"/>
        <rFont val="Calibri"/>
        <family val="2"/>
        <scheme val="minor"/>
      </rPr>
      <t xml:space="preserve"> – Neither MOPL nor MahaInd Infotech will be liable for delays caused by events beyond their control, including strikes, shortages, or transportation issues.</t>
    </r>
  </si>
  <si>
    <t>18-08-2025</t>
  </si>
  <si>
    <t>19-08-2025</t>
  </si>
  <si>
    <t>Quote No</t>
  </si>
  <si>
    <t>Fabric 
(Meter)</t>
  </si>
  <si>
    <t>Total Fabric 
Weight (KG)</t>
  </si>
  <si>
    <t>Mesh</t>
  </si>
  <si>
    <t>Fabric Coposition</t>
  </si>
  <si>
    <t>Liner Composition</t>
  </si>
  <si>
    <t>Lamination Coposition</t>
  </si>
  <si>
    <t>BOPP/Printing Coposition</t>
  </si>
  <si>
    <t>Manual
Yarn (g)</t>
  </si>
  <si>
    <t>BCS Yarn
(g)</t>
  </si>
  <si>
    <t>Total Yarn (g)</t>
  </si>
  <si>
    <t>BCS Yarn (KG)</t>
  </si>
  <si>
    <t>Manual Yarn
(KG)</t>
  </si>
  <si>
    <t>Type G</t>
  </si>
  <si>
    <t>Manual Yarn (Kg)
(KG)</t>
  </si>
  <si>
    <t>BCS Yarn (Kg)</t>
  </si>
  <si>
    <t>22-08-2025</t>
  </si>
  <si>
    <t>23-08-2025</t>
  </si>
  <si>
    <t>24-08-2025</t>
  </si>
  <si>
    <t>-</t>
  </si>
  <si>
    <t>Po Date</t>
  </si>
  <si>
    <t>Balaji Kadam</t>
  </si>
  <si>
    <t>Sonai Eatable India Pvt Ltd</t>
  </si>
  <si>
    <t>MOPLSONA-18825-142837</t>
  </si>
  <si>
    <t>To:</t>
  </si>
  <si>
    <t>Address:</t>
  </si>
  <si>
    <t>Quote No:</t>
  </si>
  <si>
    <t>District:</t>
  </si>
  <si>
    <t>State:</t>
  </si>
  <si>
    <t>Country:</t>
  </si>
  <si>
    <t>INDIA</t>
  </si>
  <si>
    <t>Maharashtra</t>
  </si>
  <si>
    <t>Sr. No</t>
  </si>
  <si>
    <t>Rate</t>
  </si>
  <si>
    <t>Item Description</t>
  </si>
  <si>
    <t>Specification</t>
  </si>
  <si>
    <t>Printing Colours</t>
  </si>
  <si>
    <t>:</t>
  </si>
  <si>
    <t>Liner Required</t>
  </si>
  <si>
    <t>Liner Colour</t>
  </si>
  <si>
    <t>Fabric Colour</t>
  </si>
  <si>
    <t>Discount</t>
  </si>
  <si>
    <t>Net Payable</t>
  </si>
  <si>
    <t>Gross Payable</t>
  </si>
  <si>
    <t>Pincode:</t>
  </si>
  <si>
    <t>GST (Goods and Service Tax)</t>
  </si>
  <si>
    <t>Sant tukaram - diwali bags</t>
  </si>
  <si>
    <t>MOPLSANT-18825-1629</t>
  </si>
  <si>
    <t>MOPLSANT-18825-1631</t>
  </si>
  <si>
    <t>Basic Information</t>
  </si>
  <si>
    <t>MOPLSANT-18825-26</t>
  </si>
  <si>
    <t>Rohit Kadam</t>
  </si>
  <si>
    <t>Dispatch (calc)</t>
  </si>
  <si>
    <t>Amount</t>
  </si>
  <si>
    <t>Total Amount</t>
  </si>
  <si>
    <t>Surbhi Agro</t>
  </si>
  <si>
    <t>MOPLSURB-19825-11</t>
  </si>
  <si>
    <t>17-08-2025</t>
  </si>
  <si>
    <t>21-08-2025</t>
  </si>
  <si>
    <t>Santosh Mane</t>
  </si>
  <si>
    <t>Sugar - Bag 160g</t>
  </si>
  <si>
    <t>MOPLSUGA-23825-16</t>
  </si>
  <si>
    <t>27-08-2025</t>
  </si>
  <si>
    <t>28-08-2025</t>
  </si>
  <si>
    <t>30-08-2025</t>
  </si>
  <si>
    <t>Godrej</t>
  </si>
  <si>
    <t>Godrej - Samrudhi Palet</t>
  </si>
  <si>
    <t>MOPLGODR-23825-23</t>
  </si>
  <si>
    <t>29-08-2025</t>
  </si>
  <si>
    <t>Godrej - Aditya</t>
  </si>
  <si>
    <t>MOPLGODR-23825-15</t>
  </si>
  <si>
    <t>Transport Cost</t>
  </si>
  <si>
    <t>MahaInd</t>
  </si>
  <si>
    <t xml:space="preserve">Location </t>
  </si>
  <si>
    <t>KM</t>
  </si>
  <si>
    <t>Talegaon</t>
  </si>
  <si>
    <t>Cleint</t>
  </si>
  <si>
    <t>Finolex</t>
  </si>
  <si>
    <t>Badalwadi</t>
  </si>
  <si>
    <t>Chakan</t>
  </si>
  <si>
    <t>Hinjewadi</t>
  </si>
  <si>
    <t>Baramati</t>
  </si>
  <si>
    <t>Miraj</t>
  </si>
  <si>
    <t>Ghodawat</t>
  </si>
  <si>
    <t>Chipri</t>
  </si>
  <si>
    <t>Nandan</t>
  </si>
  <si>
    <t>Supa</t>
  </si>
  <si>
    <t>Yewala</t>
  </si>
  <si>
    <t>Kannad</t>
  </si>
  <si>
    <t>Shetphal Gade</t>
  </si>
  <si>
    <t>Delta</t>
  </si>
  <si>
    <t>Kolhapur</t>
  </si>
  <si>
    <t>Panchganga</t>
  </si>
  <si>
    <t>Aurangabad</t>
  </si>
  <si>
    <t>Desicant</t>
  </si>
  <si>
    <t>Decicant</t>
  </si>
  <si>
    <t>Transport</t>
  </si>
  <si>
    <t>MOPLGODR-30825-15</t>
  </si>
  <si>
    <r>
      <t>Fuel</t>
    </r>
    <r>
      <rPr>
        <sz val="11"/>
        <color theme="1"/>
        <rFont val="Calibri"/>
        <family val="2"/>
        <scheme val="minor"/>
      </rPr>
      <t>: ₹20.3/km (45% of total)</t>
    </r>
  </si>
  <si>
    <r>
      <t>Permits/Insurance</t>
    </r>
    <r>
      <rPr>
        <sz val="11"/>
        <color theme="1"/>
        <rFont val="Calibri"/>
        <family val="2"/>
        <scheme val="minor"/>
      </rPr>
      <t>: ₹6.8/km (15%)</t>
    </r>
  </si>
  <si>
    <r>
      <t>Tolls</t>
    </r>
    <r>
      <rPr>
        <sz val="11"/>
        <color theme="1"/>
        <rFont val="Calibri"/>
        <family val="2"/>
        <scheme val="minor"/>
      </rPr>
      <t>: ₹4.5/km (10%)</t>
    </r>
  </si>
  <si>
    <r>
      <t>Maintenance</t>
    </r>
    <r>
      <rPr>
        <sz val="11"/>
        <color theme="1"/>
        <rFont val="Calibri"/>
        <family val="2"/>
        <scheme val="minor"/>
      </rPr>
      <t>: ₹4.5/km (10%)</t>
    </r>
  </si>
  <si>
    <r>
      <t>Others (misc.)</t>
    </r>
    <r>
      <rPr>
        <sz val="11"/>
        <color theme="1"/>
        <rFont val="Calibri"/>
        <family val="2"/>
        <scheme val="minor"/>
      </rPr>
      <t>: ₹2.3/km (5%)</t>
    </r>
  </si>
  <si>
    <r>
      <t>Loading/Unloading</t>
    </r>
    <r>
      <rPr>
        <sz val="11"/>
        <color theme="1"/>
        <rFont val="Calibri"/>
        <family val="2"/>
        <scheme val="minor"/>
      </rPr>
      <t>: ₹1.4/km (3%)</t>
    </r>
  </si>
  <si>
    <r>
      <t>Tyres (wear &amp; tear)</t>
    </r>
    <r>
      <rPr>
        <sz val="11"/>
        <color theme="1"/>
        <rFont val="Calibri"/>
        <family val="2"/>
        <scheme val="minor"/>
      </rPr>
      <t>: ₹0.9/km (2%)</t>
    </r>
  </si>
  <si>
    <t>% Cost</t>
  </si>
  <si>
    <t>Cost/KM</t>
  </si>
  <si>
    <t>Transport Cost (Self)</t>
  </si>
  <si>
    <t>Transport Self</t>
  </si>
  <si>
    <t>Transport Other</t>
  </si>
  <si>
    <t>Shafik - 150g</t>
  </si>
  <si>
    <t>MOPLSHAF-30825-13</t>
  </si>
  <si>
    <t>31-08-2025</t>
  </si>
  <si>
    <t>Bag Name:</t>
  </si>
  <si>
    <t>Baramati Agro - Poultry</t>
  </si>
  <si>
    <t>PP-LAM (EC)</t>
  </si>
  <si>
    <t>MOPLBARA-30825-23</t>
  </si>
  <si>
    <t>Baramati Agro - Sugar</t>
  </si>
  <si>
    <t>MOPLBARA-30825-21</t>
  </si>
  <si>
    <t xml:space="preserve">Nandan GOLD 50 Kg </t>
  </si>
  <si>
    <t>MOPLNAND-30825-18</t>
  </si>
  <si>
    <t>MOPLDELT-30825-5</t>
  </si>
  <si>
    <t>Zauri Agro Zincron</t>
  </si>
  <si>
    <t xml:space="preserve">Raj Barduva </t>
  </si>
  <si>
    <t>MOPLZAUR-2925-18</t>
  </si>
  <si>
    <t>Lamination %</t>
  </si>
  <si>
    <t>Purchase Plan</t>
  </si>
  <si>
    <t>Lam RM Cost</t>
  </si>
  <si>
    <t>BOPP RM Cost</t>
  </si>
  <si>
    <t>Ink Cost</t>
  </si>
  <si>
    <t>Handle + Yarn</t>
  </si>
  <si>
    <t>Dispatch Size</t>
  </si>
  <si>
    <t>Bag Weight Destribution</t>
  </si>
  <si>
    <t>Total Bag Weight</t>
  </si>
  <si>
    <t>Finolex: Green Handle</t>
  </si>
  <si>
    <t>Finolex: Red Handle</t>
  </si>
  <si>
    <t>23-09-2025</t>
  </si>
  <si>
    <t>MOPLFINO-23925-19</t>
  </si>
  <si>
    <t>Dec-1899</t>
  </si>
  <si>
    <t>30-12-1899</t>
  </si>
  <si>
    <t>31-12-1899</t>
  </si>
  <si>
    <t>MOPLFINO-23925-21</t>
  </si>
  <si>
    <t>Finolex: Blue Handle</t>
  </si>
  <si>
    <t>MOPLFINO-23925-20</t>
  </si>
  <si>
    <t>Finolex: Agrifitting</t>
  </si>
  <si>
    <t>Ghodawat: Star Yellow</t>
  </si>
  <si>
    <t>MOPLGHOD-23925-21</t>
  </si>
  <si>
    <t>Godrej: Samruddhi</t>
  </si>
  <si>
    <t>MOPLGODR-23925-17</t>
  </si>
  <si>
    <t>Godrej: Aditya Gold</t>
  </si>
  <si>
    <t>MOPLGODR-23925-19</t>
  </si>
  <si>
    <t>Godrej: Gold Label</t>
  </si>
  <si>
    <t>MOPLGODR-23925-18</t>
  </si>
  <si>
    <t>Godrej: Transfeed</t>
  </si>
  <si>
    <t>Baramati Poultry: Gorwer</t>
  </si>
  <si>
    <t>MOPLBARA-23925-24</t>
  </si>
  <si>
    <t>Baramati Poultry: Finisher</t>
  </si>
  <si>
    <t>MOPLBARA-23925-26</t>
  </si>
  <si>
    <t>Baramati Poultry: Pre-Starter</t>
  </si>
  <si>
    <t>MOPLBARA-23925-29</t>
  </si>
  <si>
    <t>Baramati Poultry: Starter</t>
  </si>
  <si>
    <t>MOPLBARA-23925-25</t>
  </si>
  <si>
    <t>Baramati Agro Sugar BIS</t>
  </si>
  <si>
    <t>MOPLBARA-23925-23</t>
  </si>
  <si>
    <t>Baramati Nandan: Supreme 59</t>
  </si>
  <si>
    <t>MOPLBARA-23925-27</t>
  </si>
  <si>
    <t>Not Match</t>
  </si>
  <si>
    <t>Baramati Nandan: Supreme 50</t>
  </si>
  <si>
    <t>Baramati Nandan: Gold 50</t>
  </si>
  <si>
    <t>Rotech: 16"(3.2)</t>
  </si>
  <si>
    <t>MOPLROTE-23925-16</t>
  </si>
  <si>
    <t>Rotech: 16"(6.0)</t>
  </si>
  <si>
    <t>Rotech: 18"(6.0)</t>
  </si>
  <si>
    <t>Rotech: 19"(3.2)</t>
  </si>
  <si>
    <t>Rotech: 19"(3.4)</t>
  </si>
  <si>
    <t>Rotech: 22" (3.5)</t>
  </si>
  <si>
    <t>MOPLROTE-23925-17</t>
  </si>
  <si>
    <t>Baramati RAW Sugar</t>
  </si>
  <si>
    <t>MOPLBARA-23925-18</t>
  </si>
  <si>
    <t xml:space="preserve">Kanhaiyya agro </t>
  </si>
  <si>
    <t>Shailesh Jambhulkar</t>
  </si>
  <si>
    <t>MOPLKANH-25925-15</t>
  </si>
  <si>
    <t>25-09-2025</t>
  </si>
  <si>
    <t>26-09-2025</t>
  </si>
  <si>
    <t>29-09-2025</t>
  </si>
  <si>
    <t>30-09-2025</t>
  </si>
  <si>
    <t>Panchganga - 170g</t>
  </si>
  <si>
    <t>Viraj Babar</t>
  </si>
  <si>
    <t>MOPLPANC-271025-17</t>
  </si>
  <si>
    <t>27-10-2025</t>
  </si>
  <si>
    <t>26-10-2025</t>
  </si>
  <si>
    <t>30-10-2025</t>
  </si>
  <si>
    <t>31-10-2025</t>
  </si>
  <si>
    <t xml:space="preserve">Mahalaxmi Livestock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</si>
</sst>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₹&quot;\ #,##0.00;&quot;₹&quot;\ \-#,##0.00"/>
    <numFmt numFmtId="164" formatCode="&quot;₹&quot;#,##0.00_);\(&quot;₹&quot;#,##0.00\)"/>
    <numFmt numFmtId="165" formatCode="&quot;₹&quot;\ #,##0.00"/>
    <numFmt numFmtId="166" formatCode="[$-10409]h\.mm\.ss\ AM/PM;@"/>
    <numFmt numFmtId="167" formatCode="0.0%"/>
    <numFmt numFmtId="168" formatCode="0.0"/>
    <numFmt numFmtId="169" formatCode="dd\/mm\/yyyy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1"/>
      <color rgb="FFFF000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 Light"/>
      <family val="2"/>
      <scheme val="major"/>
    </font>
    <font>
      <sz val="10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0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tted">
        <color rgb="FFC00000"/>
      </left>
      <right style="dotted">
        <color rgb="FFC00000"/>
      </right>
      <top style="dotted">
        <color rgb="FFC00000"/>
      </top>
      <bottom style="dotted">
        <color rgb="FFC00000"/>
      </bottom>
      <diagonal/>
    </border>
    <border>
      <left style="dotted">
        <color rgb="FFC00000"/>
      </left>
      <right/>
      <top style="dotted">
        <color rgb="FFC00000"/>
      </top>
      <bottom style="dotted">
        <color rgb="FFC00000"/>
      </bottom>
      <diagonal/>
    </border>
    <border>
      <left/>
      <right/>
      <top style="dotted">
        <color rgb="FFC00000"/>
      </top>
      <bottom style="dotted">
        <color rgb="FFC00000"/>
      </bottom>
      <diagonal/>
    </border>
    <border>
      <left/>
      <right style="dotted">
        <color rgb="FFC00000"/>
      </right>
      <top style="dotted">
        <color rgb="FFC00000"/>
      </top>
      <bottom style="dotted">
        <color rgb="FFC00000"/>
      </bottom>
      <diagonal/>
    </border>
    <border>
      <left/>
      <right/>
      <top style="hair">
        <color theme="5"/>
      </top>
      <bottom/>
      <diagonal/>
    </border>
    <border>
      <left style="hair">
        <color theme="5"/>
      </left>
      <right style="hair">
        <color theme="5"/>
      </right>
      <top style="hair">
        <color theme="5"/>
      </top>
      <bottom/>
      <diagonal/>
    </border>
    <border>
      <left style="hair">
        <color theme="5"/>
      </left>
      <right/>
      <top/>
      <bottom/>
      <diagonal/>
    </border>
    <border>
      <left style="hair">
        <color theme="5"/>
      </left>
      <right/>
      <top style="hair">
        <color theme="5"/>
      </top>
      <bottom/>
      <diagonal/>
    </border>
    <border>
      <left/>
      <right style="hair">
        <color theme="5"/>
      </right>
      <top style="hair">
        <color theme="5"/>
      </top>
      <bottom/>
      <diagonal/>
    </border>
    <border>
      <left style="hair">
        <color theme="5"/>
      </left>
      <right/>
      <top style="hair">
        <color theme="5"/>
      </top>
      <bottom style="hair">
        <color theme="5"/>
      </bottom>
      <diagonal/>
    </border>
    <border>
      <left style="hair">
        <color rgb="FFC00000"/>
      </left>
      <right/>
      <top style="hair">
        <color rgb="FFC00000"/>
      </top>
      <bottom style="hair">
        <color theme="5"/>
      </bottom>
      <diagonal/>
    </border>
    <border>
      <left/>
      <right/>
      <top style="hair">
        <color rgb="FFC00000"/>
      </top>
      <bottom style="hair">
        <color theme="5"/>
      </bottom>
      <diagonal/>
    </border>
    <border>
      <left/>
      <right style="hair">
        <color rgb="FFC00000"/>
      </right>
      <top style="hair">
        <color rgb="FFC00000"/>
      </top>
      <bottom style="hair">
        <color theme="5"/>
      </bottom>
      <diagonal/>
    </border>
    <border>
      <left style="hair">
        <color rgb="FFC00000"/>
      </left>
      <right/>
      <top/>
      <bottom/>
      <diagonal/>
    </border>
    <border>
      <left/>
      <right style="hair">
        <color rgb="FFC00000"/>
      </right>
      <top/>
      <bottom/>
      <diagonal/>
    </border>
    <border>
      <left style="hair">
        <color rgb="FFC00000"/>
      </left>
      <right/>
      <top/>
      <bottom style="hair">
        <color rgb="FFC00000"/>
      </bottom>
      <diagonal/>
    </border>
    <border>
      <left/>
      <right/>
      <top/>
      <bottom style="hair">
        <color rgb="FFC00000"/>
      </bottom>
      <diagonal/>
    </border>
    <border>
      <left/>
      <right style="hair">
        <color rgb="FFC00000"/>
      </right>
      <top/>
      <bottom style="hair">
        <color rgb="FFC00000"/>
      </bottom>
      <diagonal/>
    </border>
    <border>
      <left style="hair">
        <color rgb="FFC00000"/>
      </left>
      <right/>
      <top style="hair">
        <color theme="5"/>
      </top>
      <bottom/>
      <diagonal/>
    </border>
    <border>
      <left/>
      <right style="hair">
        <color rgb="FFC00000"/>
      </right>
      <top style="hair">
        <color theme="5"/>
      </top>
      <bottom/>
      <diagonal/>
    </border>
    <border>
      <left style="hair">
        <color rgb="FFC00000"/>
      </left>
      <right style="hair">
        <color rgb="FFC00000"/>
      </right>
      <top style="hair">
        <color rgb="FFC00000"/>
      </top>
      <bottom/>
      <diagonal/>
    </border>
    <border>
      <left style="hair">
        <color rgb="FFC00000"/>
      </left>
      <right/>
      <top style="hair">
        <color rgb="FFC00000"/>
      </top>
      <bottom/>
      <diagonal/>
    </border>
    <border>
      <left/>
      <right/>
      <top style="hair">
        <color rgb="FFC00000"/>
      </top>
      <bottom/>
      <diagonal/>
    </border>
    <border>
      <left/>
      <right style="hair">
        <color rgb="FFC00000"/>
      </right>
      <top style="hair">
        <color rgb="FFC00000"/>
      </top>
      <bottom/>
      <diagonal/>
    </border>
    <border>
      <left style="hair">
        <color rgb="FFC00000"/>
      </left>
      <right style="hair">
        <color rgb="FFC00000"/>
      </right>
      <top/>
      <bottom/>
      <diagonal/>
    </border>
    <border>
      <left style="hair">
        <color rgb="FFC00000"/>
      </left>
      <right style="hair">
        <color rgb="FFC00000"/>
      </right>
      <top/>
      <bottom style="hair">
        <color rgb="FFC0000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6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0" fontId="10" fillId="4" borderId="0" xfId="0" applyFont="1" applyFill="1" applyAlignment="1" applyProtection="1">
      <alignment horizontal="center" vertical="center"/>
      <protection hidden="1"/>
    </xf>
    <xf numFmtId="0" fontId="11" fillId="4" borderId="0" xfId="0" applyFont="1" applyFill="1" applyAlignment="1" applyProtection="1">
      <alignment horizontal="center" vertical="center"/>
      <protection hidden="1"/>
    </xf>
    <xf numFmtId="0" fontId="0" fillId="0" borderId="8" xfId="0" applyBorder="1" applyAlignment="1" applyProtection="1">
      <alignment horizontal="center" vertical="center"/>
      <protection hidden="1"/>
    </xf>
    <xf numFmtId="0" fontId="0" fillId="0" borderId="9" xfId="0" applyBorder="1" applyAlignment="1" applyProtection="1">
      <alignment horizontal="center" vertical="center"/>
      <protection hidden="1"/>
    </xf>
    <xf numFmtId="0" fontId="9" fillId="0" borderId="8" xfId="0" applyFont="1" applyBorder="1" applyAlignment="1" applyProtection="1">
      <alignment horizontal="center" vertic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4" fillId="4" borderId="0" xfId="0" applyFont="1" applyFill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4" fillId="0" borderId="0" xfId="0" applyFont="1" applyAlignment="1" applyProtection="1">
      <alignment horizontal="center"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2" fillId="4" borderId="14" xfId="0" applyFont="1" applyFill="1" applyBorder="1" applyAlignment="1" applyProtection="1">
      <alignment horizontal="center" vertical="center"/>
      <protection hidden="1"/>
    </xf>
    <xf numFmtId="0" fontId="2" fillId="4" borderId="15" xfId="0" applyFont="1" applyFill="1" applyBorder="1" applyAlignment="1" applyProtection="1">
      <alignment horizontal="center" vertical="center"/>
      <protection hidden="1"/>
    </xf>
    <xf numFmtId="0" fontId="2" fillId="4" borderId="16" xfId="0" applyFont="1" applyFill="1" applyBorder="1" applyAlignment="1" applyProtection="1">
      <alignment horizontal="center" vertical="center"/>
      <protection hidden="1"/>
    </xf>
    <xf numFmtId="0" fontId="2" fillId="4" borderId="10" xfId="0" applyFont="1" applyFill="1" applyBorder="1" applyAlignment="1" applyProtection="1">
      <alignment horizontal="center" vertical="center"/>
      <protection hidden="1"/>
    </xf>
    <xf numFmtId="2" fontId="0" fillId="7" borderId="1" xfId="0" applyNumberFormat="1" applyFill="1" applyBorder="1" applyAlignment="1" applyProtection="1">
      <alignment horizontal="center" vertical="center"/>
      <protection hidden="1"/>
    </xf>
    <xf numFmtId="2" fontId="0" fillId="7" borderId="11" xfId="0" applyNumberFormat="1" applyFill="1" applyBorder="1" applyAlignment="1" applyProtection="1">
      <alignment horizontal="center" vertical="center"/>
      <protection hidden="1"/>
    </xf>
    <xf numFmtId="165" fontId="0" fillId="7" borderId="1" xfId="0" applyNumberFormat="1" applyFill="1" applyBorder="1" applyAlignment="1" applyProtection="1">
      <alignment horizontal="center" vertical="center"/>
      <protection hidden="1"/>
    </xf>
    <xf numFmtId="165" fontId="0" fillId="2" borderId="15" xfId="0" applyNumberFormat="1" applyFill="1" applyBorder="1" applyAlignment="1" applyProtection="1">
      <alignment horizontal="center" vertical="center"/>
      <protection hidden="1"/>
    </xf>
    <xf numFmtId="165" fontId="0" fillId="2" borderId="16" xfId="0" applyNumberFormat="1" applyFill="1" applyBorder="1" applyAlignment="1" applyProtection="1">
      <alignment horizontal="center" vertical="center"/>
      <protection hidden="1"/>
    </xf>
    <xf numFmtId="165" fontId="2" fillId="8" borderId="1" xfId="0" applyNumberFormat="1" applyFont="1" applyFill="1" applyBorder="1" applyAlignment="1" applyProtection="1">
      <alignment horizontal="center" vertical="center"/>
      <protection hidden="1"/>
    </xf>
    <xf numFmtId="165" fontId="2" fillId="8" borderId="11" xfId="0" applyNumberFormat="1" applyFont="1" applyFill="1" applyBorder="1" applyAlignment="1" applyProtection="1">
      <alignment horizontal="center" vertical="center"/>
      <protection hidden="1"/>
    </xf>
    <xf numFmtId="1" fontId="0" fillId="7" borderId="1" xfId="1" applyNumberFormat="1" applyFont="1" applyFill="1" applyBorder="1" applyAlignment="1" applyProtection="1">
      <alignment horizontal="center" vertical="center"/>
      <protection hidden="1"/>
    </xf>
    <xf numFmtId="1" fontId="0" fillId="3" borderId="1" xfId="1" applyNumberFormat="1" applyFont="1" applyFill="1" applyBorder="1" applyAlignment="1" applyProtection="1">
      <alignment horizontal="center" vertical="center"/>
      <protection locked="0"/>
    </xf>
    <xf numFmtId="0" fontId="10" fillId="4" borderId="16" xfId="0" applyFont="1" applyFill="1" applyBorder="1" applyAlignment="1" applyProtection="1">
      <alignment horizontal="center" vertical="center"/>
      <protection hidden="1"/>
    </xf>
    <xf numFmtId="0" fontId="15" fillId="4" borderId="14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17" fillId="7" borderId="0" xfId="0" applyFont="1" applyFill="1" applyAlignment="1">
      <alignment horizontal="center" vertical="center"/>
    </xf>
    <xf numFmtId="167" fontId="0" fillId="3" borderId="1" xfId="1" applyNumberFormat="1" applyFont="1" applyFill="1" applyBorder="1" applyAlignment="1" applyProtection="1">
      <alignment horizontal="center" vertical="center"/>
      <protection locked="0"/>
    </xf>
    <xf numFmtId="167" fontId="0" fillId="3" borderId="11" xfId="1" applyNumberFormat="1" applyFont="1" applyFill="1" applyBorder="1" applyAlignment="1" applyProtection="1">
      <alignment horizontal="center" vertical="center"/>
      <protection locked="0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4" fillId="0" borderId="9" xfId="0" applyFont="1" applyBorder="1" applyAlignment="1" applyProtection="1">
      <alignment horizontal="center" vertical="center"/>
      <protection hidden="1"/>
    </xf>
    <xf numFmtId="165" fontId="7" fillId="0" borderId="13" xfId="0" applyNumberFormat="1" applyFont="1" applyBorder="1" applyAlignment="1" applyProtection="1">
      <alignment horizontal="center" vertical="center"/>
      <protection hidden="1"/>
    </xf>
    <xf numFmtId="0" fontId="10" fillId="4" borderId="6" xfId="0" applyFont="1" applyFill="1" applyBorder="1" applyAlignment="1" applyProtection="1">
      <alignment horizontal="center" vertical="center"/>
      <protection hidden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68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left" vertical="center"/>
    </xf>
    <xf numFmtId="168" fontId="0" fillId="0" borderId="0" xfId="0" applyNumberFormat="1" applyAlignment="1">
      <alignment horizontal="center" vertical="center"/>
    </xf>
    <xf numFmtId="0" fontId="13" fillId="0" borderId="8" xfId="0" applyFont="1" applyBorder="1" applyAlignment="1" applyProtection="1">
      <alignment horizontal="center" vertical="center"/>
      <protection hidden="1"/>
    </xf>
    <xf numFmtId="0" fontId="10" fillId="4" borderId="15" xfId="0" applyFont="1" applyFill="1" applyBorder="1" applyAlignment="1" applyProtection="1">
      <alignment horizontal="center" vertical="center"/>
      <protection hidden="1"/>
    </xf>
    <xf numFmtId="0" fontId="11" fillId="4" borderId="1" xfId="0" applyFont="1" applyFill="1" applyBorder="1" applyAlignment="1" applyProtection="1">
      <alignment horizontal="center" vertical="center"/>
      <protection hidden="1"/>
    </xf>
    <xf numFmtId="2" fontId="0" fillId="0" borderId="0" xfId="0" applyNumberFormat="1" applyAlignment="1" applyProtection="1">
      <alignment horizontal="center" vertical="center"/>
      <protection hidden="1"/>
    </xf>
    <xf numFmtId="165" fontId="0" fillId="0" borderId="0" xfId="0" applyNumberFormat="1" applyAlignment="1" applyProtection="1">
      <alignment horizontal="center" vertical="center"/>
      <protection hidden="1"/>
    </xf>
    <xf numFmtId="3" fontId="5" fillId="0" borderId="1" xfId="0" applyNumberFormat="1" applyFont="1" applyBorder="1" applyAlignment="1" applyProtection="1">
      <alignment horizontal="center" vertical="center"/>
      <protection hidden="1"/>
    </xf>
    <xf numFmtId="168" fontId="0" fillId="0" borderId="0" xfId="0" applyNumberFormat="1"/>
    <xf numFmtId="0" fontId="15" fillId="4" borderId="5" xfId="0" applyFont="1" applyFill="1" applyBorder="1" applyAlignment="1" applyProtection="1">
      <alignment horizontal="center" vertical="center"/>
      <protection hidden="1"/>
    </xf>
    <xf numFmtId="0" fontId="2" fillId="4" borderId="6" xfId="0" applyFont="1" applyFill="1" applyBorder="1" applyAlignment="1" applyProtection="1">
      <alignment horizontal="center" vertical="center"/>
      <protection hidden="1"/>
    </xf>
    <xf numFmtId="0" fontId="2" fillId="4" borderId="7" xfId="0" applyFont="1" applyFill="1" applyBorder="1" applyAlignment="1" applyProtection="1">
      <alignment horizontal="center" vertical="center"/>
      <protection hidden="1"/>
    </xf>
    <xf numFmtId="1" fontId="0" fillId="7" borderId="11" xfId="1" applyNumberFormat="1" applyFont="1" applyFill="1" applyBorder="1" applyAlignment="1" applyProtection="1">
      <alignment horizontal="center" vertical="center"/>
      <protection hidden="1"/>
    </xf>
    <xf numFmtId="0" fontId="2" fillId="4" borderId="12" xfId="0" applyFont="1" applyFill="1" applyBorder="1" applyAlignment="1" applyProtection="1">
      <alignment horizontal="center" vertical="center"/>
      <protection hidden="1"/>
    </xf>
    <xf numFmtId="165" fontId="0" fillId="2" borderId="13" xfId="0" applyNumberFormat="1" applyFill="1" applyBorder="1" applyAlignment="1" applyProtection="1">
      <alignment horizontal="center" vertical="center"/>
      <protection hidden="1"/>
    </xf>
    <xf numFmtId="165" fontId="0" fillId="2" borderId="26" xfId="0" applyNumberFormat="1" applyFill="1" applyBorder="1" applyAlignment="1" applyProtection="1">
      <alignment horizontal="center" vertical="center"/>
      <protection hidden="1"/>
    </xf>
    <xf numFmtId="2" fontId="16" fillId="9" borderId="15" xfId="0" applyNumberFormat="1" applyFont="1" applyFill="1" applyBorder="1" applyAlignment="1" applyProtection="1">
      <alignment horizontal="center" vertical="center"/>
      <protection hidden="1"/>
    </xf>
    <xf numFmtId="2" fontId="16" fillId="9" borderId="16" xfId="0" applyNumberFormat="1" applyFont="1" applyFill="1" applyBorder="1" applyAlignment="1" applyProtection="1">
      <alignment horizontal="center" vertical="center"/>
      <protection hidden="1"/>
    </xf>
    <xf numFmtId="2" fontId="16" fillId="9" borderId="15" xfId="0" applyNumberFormat="1" applyFont="1" applyFill="1" applyBorder="1" applyAlignment="1" applyProtection="1">
      <alignment horizontal="center" vertical="center"/>
      <protection locked="0"/>
    </xf>
    <xf numFmtId="0" fontId="10" fillId="5" borderId="22" xfId="0" applyFont="1" applyFill="1" applyBorder="1" applyAlignment="1" applyProtection="1">
      <alignment horizontal="center" vertical="center"/>
      <protection hidden="1"/>
    </xf>
    <xf numFmtId="165" fontId="7" fillId="3" borderId="14" xfId="0" applyNumberFormat="1" applyFont="1" applyFill="1" applyBorder="1" applyAlignment="1" applyProtection="1">
      <alignment horizontal="right" vertical="center"/>
      <protection hidden="1"/>
    </xf>
    <xf numFmtId="167" fontId="16" fillId="9" borderId="15" xfId="1" applyNumberFormat="1" applyFont="1" applyFill="1" applyBorder="1" applyAlignment="1" applyProtection="1">
      <alignment horizontal="center" vertical="center"/>
      <protection hidden="1"/>
    </xf>
    <xf numFmtId="165" fontId="7" fillId="3" borderId="15" xfId="0" applyNumberFormat="1" applyFont="1" applyFill="1" applyBorder="1" applyAlignment="1" applyProtection="1">
      <alignment horizontal="right" vertical="center"/>
      <protection hidden="1"/>
    </xf>
    <xf numFmtId="165" fontId="7" fillId="10" borderId="15" xfId="0" applyNumberFormat="1" applyFont="1" applyFill="1" applyBorder="1" applyAlignment="1" applyProtection="1">
      <alignment horizontal="right" vertical="center"/>
      <protection hidden="1"/>
    </xf>
    <xf numFmtId="167" fontId="16" fillId="9" borderId="16" xfId="1" applyNumberFormat="1" applyFont="1" applyFill="1" applyBorder="1" applyAlignment="1" applyProtection="1">
      <alignment horizontal="center" vertical="center"/>
      <protection hidden="1"/>
    </xf>
    <xf numFmtId="0" fontId="11" fillId="13" borderId="1" xfId="0" applyFont="1" applyFill="1" applyBorder="1" applyAlignment="1" applyProtection="1">
      <alignment horizontal="center" vertical="center"/>
      <protection hidden="1"/>
    </xf>
    <xf numFmtId="14" fontId="11" fillId="13" borderId="1" xfId="0" applyNumberFormat="1" applyFont="1" applyFill="1" applyBorder="1" applyAlignment="1" applyProtection="1">
      <alignment horizontal="center" vertical="center"/>
      <protection hidden="1"/>
    </xf>
    <xf numFmtId="0" fontId="10" fillId="8" borderId="0" xfId="0" applyFont="1" applyFill="1" applyAlignment="1" applyProtection="1">
      <alignment horizontal="center" vertical="center"/>
      <protection hidden="1"/>
    </xf>
    <xf numFmtId="168" fontId="0" fillId="3" borderId="1" xfId="1" applyNumberFormat="1" applyFont="1" applyFill="1" applyBorder="1" applyAlignment="1" applyProtection="1">
      <alignment horizontal="center" vertical="center"/>
      <protection locked="0"/>
    </xf>
    <xf numFmtId="0" fontId="12" fillId="3" borderId="1" xfId="0" applyFont="1" applyFill="1" applyBorder="1" applyAlignment="1" applyProtection="1">
      <alignment horizontal="center" vertical="center"/>
      <protection locked="0"/>
    </xf>
    <xf numFmtId="165" fontId="14" fillId="0" borderId="26" xfId="0" applyNumberFormat="1" applyFont="1" applyBorder="1" applyAlignment="1" applyProtection="1">
      <alignment horizontal="center" vertical="center"/>
      <protection hidden="1"/>
    </xf>
    <xf numFmtId="165" fontId="19" fillId="3" borderId="19" xfId="0" applyNumberFormat="1" applyFont="1" applyFill="1" applyBorder="1" applyAlignment="1" applyProtection="1">
      <alignment horizontal="center" vertical="center"/>
      <protection hidden="1"/>
    </xf>
    <xf numFmtId="0" fontId="10" fillId="6" borderId="1" xfId="0" applyFont="1" applyFill="1" applyBorder="1" applyAlignment="1" applyProtection="1">
      <alignment horizontal="center" vertical="center"/>
      <protection hidden="1"/>
    </xf>
    <xf numFmtId="165" fontId="14" fillId="0" borderId="1" xfId="0" applyNumberFormat="1" applyFont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 vertical="center"/>
    </xf>
    <xf numFmtId="2" fontId="10" fillId="0" borderId="0" xfId="0" applyNumberFormat="1" applyFont="1" applyAlignment="1" applyProtection="1">
      <alignment vertical="center"/>
      <protection hidden="1"/>
    </xf>
    <xf numFmtId="0" fontId="11" fillId="4" borderId="15" xfId="0" applyFont="1" applyFill="1" applyBorder="1" applyAlignment="1" applyProtection="1">
      <alignment horizontal="center" vertical="center"/>
      <protection hidden="1"/>
    </xf>
    <xf numFmtId="1" fontId="5" fillId="0" borderId="1" xfId="0" applyNumberFormat="1" applyFont="1" applyBorder="1" applyAlignment="1" applyProtection="1">
      <alignment horizontal="center" vertical="center"/>
      <protection hidden="1"/>
    </xf>
    <xf numFmtId="0" fontId="20" fillId="0" borderId="0" xfId="0" applyFont="1" applyAlignment="1" applyProtection="1">
      <alignment horizontal="center" vertical="center"/>
      <protection hidden="1"/>
    </xf>
    <xf numFmtId="0" fontId="11" fillId="15" borderId="15" xfId="0" applyFont="1" applyFill="1" applyBorder="1" applyAlignment="1" applyProtection="1">
      <alignment horizontal="center" vertical="center"/>
      <protection hidden="1"/>
    </xf>
    <xf numFmtId="0" fontId="11" fillId="14" borderId="15" xfId="0" applyFont="1" applyFill="1" applyBorder="1" applyAlignment="1" applyProtection="1">
      <alignment horizontal="center" vertical="center"/>
      <protection hidden="1"/>
    </xf>
    <xf numFmtId="0" fontId="11" fillId="6" borderId="1" xfId="0" applyFont="1" applyFill="1" applyBorder="1" applyAlignment="1" applyProtection="1">
      <alignment horizontal="center" vertical="center"/>
      <protection hidden="1"/>
    </xf>
    <xf numFmtId="0" fontId="0" fillId="14" borderId="0" xfId="0" applyFill="1" applyAlignment="1" applyProtection="1">
      <alignment horizontal="center" vertical="center"/>
      <protection hidden="1"/>
    </xf>
    <xf numFmtId="0" fontId="4" fillId="14" borderId="0" xfId="0" applyFont="1" applyFill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horizontal="center" vertical="center"/>
      <protection hidden="1"/>
    </xf>
    <xf numFmtId="0" fontId="4" fillId="0" borderId="8" xfId="0" applyFont="1" applyBorder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horizontal="center" vertical="center"/>
      <protection hidden="1"/>
    </xf>
    <xf numFmtId="0" fontId="24" fillId="0" borderId="0" xfId="0" applyFont="1" applyAlignment="1">
      <alignment horizontal="center" vertical="center"/>
    </xf>
    <xf numFmtId="19" fontId="24" fillId="0" borderId="0" xfId="0" applyNumberFormat="1" applyFont="1" applyAlignment="1">
      <alignment horizontal="center" vertical="center"/>
    </xf>
    <xf numFmtId="3" fontId="24" fillId="0" borderId="0" xfId="0" applyNumberFormat="1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17" fontId="24" fillId="0" borderId="0" xfId="0" applyNumberFormat="1" applyFont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1" fontId="24" fillId="0" borderId="0" xfId="0" applyNumberFormat="1" applyFont="1" applyAlignment="1">
      <alignment horizontal="center" vertical="center"/>
    </xf>
    <xf numFmtId="10" fontId="24" fillId="0" borderId="0" xfId="0" applyNumberFormat="1" applyFont="1" applyAlignment="1">
      <alignment horizontal="center" vertical="center"/>
    </xf>
    <xf numFmtId="4" fontId="24" fillId="0" borderId="0" xfId="0" applyNumberFormat="1" applyFont="1" applyAlignment="1">
      <alignment horizontal="center" vertical="center"/>
    </xf>
    <xf numFmtId="165" fontId="5" fillId="0" borderId="1" xfId="0" applyNumberFormat="1" applyFont="1" applyBorder="1" applyAlignment="1" applyProtection="1">
      <alignment horizontal="center" vertical="center"/>
      <protection hidden="1"/>
    </xf>
    <xf numFmtId="0" fontId="25" fillId="16" borderId="0" xfId="0" applyFont="1" applyFill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5" fillId="0" borderId="0" xfId="0" applyFont="1" applyAlignment="1">
      <alignment horizontal="left" vertical="center" indent="1"/>
    </xf>
    <xf numFmtId="0" fontId="12" fillId="0" borderId="0" xfId="0" applyFont="1" applyAlignment="1">
      <alignment horizontal="left" vertical="center" indent="1"/>
    </xf>
    <xf numFmtId="0" fontId="5" fillId="0" borderId="0" xfId="0" applyFont="1" applyAlignment="1" applyProtection="1">
      <alignment vertic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5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26" fillId="0" borderId="0" xfId="0" applyFont="1" applyAlignment="1">
      <alignment vertical="center"/>
    </xf>
    <xf numFmtId="1" fontId="0" fillId="0" borderId="0" xfId="0" applyNumberFormat="1" applyAlignment="1">
      <alignment horizontal="center" vertical="center"/>
    </xf>
    <xf numFmtId="169" fontId="5" fillId="0" borderId="1" xfId="0" applyNumberFormat="1" applyFont="1" applyBorder="1" applyAlignment="1" applyProtection="1">
      <alignment horizontal="center" vertical="center"/>
      <protection hidden="1"/>
    </xf>
    <xf numFmtId="14" fontId="0" fillId="0" borderId="0" xfId="0" applyNumberFormat="1" applyAlignment="1">
      <alignment horizontal="center" vertical="center"/>
    </xf>
    <xf numFmtId="0" fontId="0" fillId="0" borderId="36" xfId="0" applyBorder="1" applyAlignment="1" applyProtection="1">
      <alignment horizontal="center" vertical="center"/>
      <protection locked="0"/>
    </xf>
    <xf numFmtId="0" fontId="24" fillId="0" borderId="0" xfId="0" applyFont="1" applyAlignment="1">
      <alignment horizontal="left" vertical="center"/>
    </xf>
    <xf numFmtId="3" fontId="0" fillId="0" borderId="0" xfId="0" applyNumberFormat="1" applyAlignment="1">
      <alignment horizontal="center" vertical="center"/>
    </xf>
    <xf numFmtId="0" fontId="2" fillId="25" borderId="65" xfId="0" applyFont="1" applyFill="1" applyBorder="1" applyAlignment="1" applyProtection="1">
      <alignment horizontal="center" vertical="center"/>
      <protection locked="0" hidden="1"/>
    </xf>
    <xf numFmtId="0" fontId="2" fillId="25" borderId="64" xfId="0" applyFont="1" applyFill="1" applyBorder="1" applyAlignment="1" applyProtection="1">
      <alignment horizontal="center" vertical="center"/>
      <protection hidden="1"/>
    </xf>
    <xf numFmtId="0" fontId="27" fillId="24" borderId="62" xfId="0" applyFont="1" applyFill="1" applyBorder="1" applyAlignment="1" applyProtection="1">
      <alignment horizontal="left" vertical="center"/>
      <protection locked="0" hidden="1"/>
    </xf>
    <xf numFmtId="165" fontId="27" fillId="24" borderId="63" xfId="0" applyNumberFormat="1" applyFont="1" applyFill="1" applyBorder="1" applyAlignment="1" applyProtection="1">
      <alignment horizontal="center" vertical="center"/>
      <protection hidden="1"/>
    </xf>
    <xf numFmtId="0" fontId="27" fillId="0" borderId="0" xfId="0" applyFont="1" applyAlignment="1" applyProtection="1">
      <alignment horizontal="left" vertic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12" fillId="0" borderId="0" xfId="0" applyFont="1" applyAlignment="1" applyProtection="1">
      <alignment horizontal="right" vertical="center"/>
      <protection hidden="1"/>
    </xf>
    <xf numFmtId="0" fontId="3" fillId="0" borderId="0" xfId="0" applyFont="1" applyAlignment="1" applyProtection="1">
      <alignment horizontal="right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0" fillId="0" borderId="0" xfId="0" applyAlignment="1" applyProtection="1">
      <alignment horizontal="right" vertical="center"/>
      <protection hidden="1"/>
    </xf>
    <xf numFmtId="0" fontId="0" fillId="25" borderId="0" xfId="0" applyFill="1" applyAlignment="1" applyProtection="1">
      <alignment horizontal="center" vertical="center"/>
      <protection hidden="1"/>
    </xf>
    <xf numFmtId="0" fontId="3" fillId="0" borderId="45" xfId="0" applyFont="1" applyBorder="1" applyAlignment="1" applyProtection="1">
      <alignment horizontal="center" vertical="center"/>
      <protection hidden="1"/>
    </xf>
    <xf numFmtId="0" fontId="3" fillId="0" borderId="41" xfId="0" applyFont="1" applyBorder="1" applyAlignment="1" applyProtection="1">
      <alignment horizontal="center" vertical="center"/>
      <protection hidden="1"/>
    </xf>
    <xf numFmtId="0" fontId="0" fillId="0" borderId="49" xfId="0" applyBorder="1" applyAlignment="1" applyProtection="1">
      <alignment horizontal="center" vertical="center"/>
      <protection hidden="1"/>
    </xf>
    <xf numFmtId="165" fontId="0" fillId="0" borderId="0" xfId="0" applyNumberFormat="1" applyAlignment="1" applyProtection="1">
      <alignment horizontal="right" vertical="center"/>
      <protection hidden="1"/>
    </xf>
    <xf numFmtId="0" fontId="24" fillId="0" borderId="0" xfId="0" applyFont="1" applyAlignment="1" applyProtection="1">
      <alignment horizontal="left" vertical="center"/>
      <protection hidden="1"/>
    </xf>
    <xf numFmtId="0" fontId="24" fillId="0" borderId="50" xfId="0" applyFont="1" applyBorder="1" applyAlignment="1" applyProtection="1">
      <alignment horizontal="center" vertical="center"/>
      <protection hidden="1"/>
    </xf>
    <xf numFmtId="0" fontId="0" fillId="0" borderId="51" xfId="0" applyBorder="1" applyAlignment="1" applyProtection="1">
      <alignment horizontal="center" vertical="center"/>
      <protection hidden="1"/>
    </xf>
    <xf numFmtId="0" fontId="0" fillId="0" borderId="52" xfId="0" applyBorder="1" applyAlignment="1" applyProtection="1">
      <alignment horizontal="center" vertical="center"/>
      <protection hidden="1"/>
    </xf>
    <xf numFmtId="9" fontId="0" fillId="0" borderId="0" xfId="0" applyNumberFormat="1" applyAlignment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locked="0" hidden="1"/>
    </xf>
    <xf numFmtId="14" fontId="24" fillId="0" borderId="0" xfId="0" applyNumberFormat="1" applyFont="1" applyAlignment="1">
      <alignment horizontal="center" vertical="center"/>
    </xf>
    <xf numFmtId="2" fontId="5" fillId="7" borderId="1" xfId="0" applyNumberFormat="1" applyFont="1" applyFill="1" applyBorder="1" applyAlignment="1" applyProtection="1">
      <alignment horizontal="center" vertical="center"/>
      <protection hidden="1"/>
    </xf>
    <xf numFmtId="10" fontId="0" fillId="3" borderId="1" xfId="1" applyNumberFormat="1" applyFont="1" applyFill="1" applyBorder="1" applyAlignment="1" applyProtection="1">
      <alignment horizontal="center" vertical="center"/>
      <protection locked="0"/>
    </xf>
    <xf numFmtId="0" fontId="30" fillId="15" borderId="15" xfId="0" applyFont="1" applyFill="1" applyBorder="1" applyAlignment="1" applyProtection="1">
      <alignment horizontal="center" vertical="center"/>
      <protection hidden="1"/>
    </xf>
    <xf numFmtId="165" fontId="4" fillId="0" borderId="0" xfId="0" applyNumberFormat="1" applyFont="1" applyAlignment="1" applyProtection="1">
      <alignment horizontal="center" vertical="center"/>
      <protection hidden="1"/>
    </xf>
    <xf numFmtId="165" fontId="0" fillId="3" borderId="1" xfId="0" applyNumberFormat="1" applyFill="1" applyBorder="1" applyAlignment="1" applyProtection="1">
      <alignment horizontal="center" vertical="center"/>
      <protection locked="0" hidden="1"/>
    </xf>
    <xf numFmtId="3" fontId="0" fillId="3" borderId="1" xfId="0" applyNumberFormat="1" applyFill="1" applyBorder="1" applyAlignment="1" applyProtection="1">
      <alignment horizontal="center" vertical="center"/>
      <protection locked="0" hidden="1"/>
    </xf>
    <xf numFmtId="10" fontId="0" fillId="3" borderId="11" xfId="1" applyNumberFormat="1" applyFont="1" applyFill="1" applyBorder="1" applyAlignment="1" applyProtection="1">
      <alignment horizontal="center" vertical="center"/>
      <protection locked="0"/>
    </xf>
    <xf numFmtId="7" fontId="24" fillId="0" borderId="0" xfId="0" applyNumberFormat="1" applyFont="1" applyAlignment="1">
      <alignment horizontal="center" vertical="center"/>
    </xf>
    <xf numFmtId="0" fontId="0" fillId="0" borderId="37" xfId="0" applyBorder="1" applyAlignment="1" applyProtection="1">
      <alignment horizontal="center" vertical="center"/>
      <protection locked="0"/>
    </xf>
    <xf numFmtId="0" fontId="0" fillId="0" borderId="38" xfId="0" applyBorder="1" applyAlignment="1" applyProtection="1">
      <alignment horizontal="center" vertical="center"/>
      <protection locked="0"/>
    </xf>
    <xf numFmtId="0" fontId="0" fillId="0" borderId="39" xfId="0" applyBorder="1" applyAlignment="1" applyProtection="1">
      <alignment horizontal="center" vertical="center"/>
      <protection locked="0"/>
    </xf>
    <xf numFmtId="0" fontId="3" fillId="0" borderId="46" xfId="0" applyFont="1" applyBorder="1" applyAlignment="1" applyProtection="1">
      <alignment horizontal="center" vertical="center"/>
      <protection hidden="1"/>
    </xf>
    <xf numFmtId="0" fontId="3" fillId="0" borderId="47" xfId="0" applyFont="1" applyBorder="1" applyAlignment="1" applyProtection="1">
      <alignment horizontal="center" vertical="center"/>
      <protection hidden="1"/>
    </xf>
    <xf numFmtId="0" fontId="3" fillId="0" borderId="48" xfId="0" applyFont="1" applyBorder="1" applyAlignment="1" applyProtection="1">
      <alignment horizontal="center" vertical="center"/>
      <protection hidden="1"/>
    </xf>
    <xf numFmtId="0" fontId="3" fillId="0" borderId="54" xfId="0" applyFont="1" applyBorder="1" applyAlignment="1" applyProtection="1">
      <alignment horizontal="left" vertical="center"/>
      <protection hidden="1"/>
    </xf>
    <xf numFmtId="0" fontId="3" fillId="0" borderId="40" xfId="0" applyFont="1" applyBorder="1" applyAlignment="1" applyProtection="1">
      <alignment horizontal="left" vertical="center"/>
      <protection hidden="1"/>
    </xf>
    <xf numFmtId="0" fontId="3" fillId="0" borderId="55" xfId="0" applyFont="1" applyBorder="1" applyAlignment="1" applyProtection="1">
      <alignment horizontal="left" vertical="center"/>
      <protection hidden="1"/>
    </xf>
    <xf numFmtId="165" fontId="0" fillId="0" borderId="57" xfId="0" applyNumberFormat="1" applyBorder="1" applyAlignment="1" applyProtection="1">
      <alignment horizontal="right" vertical="center"/>
      <protection hidden="1"/>
    </xf>
    <xf numFmtId="165" fontId="0" fillId="0" borderId="58" xfId="0" applyNumberFormat="1" applyBorder="1" applyAlignment="1" applyProtection="1">
      <alignment horizontal="right" vertical="center"/>
      <protection hidden="1"/>
    </xf>
    <xf numFmtId="165" fontId="0" fillId="0" borderId="59" xfId="0" applyNumberFormat="1" applyBorder="1" applyAlignment="1" applyProtection="1">
      <alignment horizontal="right" vertical="center"/>
      <protection hidden="1"/>
    </xf>
    <xf numFmtId="165" fontId="0" fillId="0" borderId="49" xfId="0" applyNumberFormat="1" applyBorder="1" applyAlignment="1" applyProtection="1">
      <alignment horizontal="right" vertical="center"/>
      <protection hidden="1"/>
    </xf>
    <xf numFmtId="165" fontId="0" fillId="0" borderId="0" xfId="0" applyNumberFormat="1" applyAlignment="1" applyProtection="1">
      <alignment horizontal="right" vertical="center"/>
      <protection hidden="1"/>
    </xf>
    <xf numFmtId="165" fontId="0" fillId="0" borderId="50" xfId="0" applyNumberFormat="1" applyBorder="1" applyAlignment="1" applyProtection="1">
      <alignment horizontal="right" vertical="center"/>
      <protection hidden="1"/>
    </xf>
    <xf numFmtId="165" fontId="0" fillId="0" borderId="51" xfId="0" applyNumberFormat="1" applyBorder="1" applyAlignment="1" applyProtection="1">
      <alignment horizontal="right" vertical="center"/>
      <protection hidden="1"/>
    </xf>
    <xf numFmtId="165" fontId="0" fillId="0" borderId="52" xfId="0" applyNumberFormat="1" applyBorder="1" applyAlignment="1" applyProtection="1">
      <alignment horizontal="right" vertical="center"/>
      <protection hidden="1"/>
    </xf>
    <xf numFmtId="165" fontId="0" fillId="0" borderId="53" xfId="0" applyNumberFormat="1" applyBorder="1" applyAlignment="1" applyProtection="1">
      <alignment horizontal="right" vertical="center"/>
      <protection hidden="1"/>
    </xf>
    <xf numFmtId="0" fontId="24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50" xfId="0" applyBorder="1" applyAlignment="1" applyProtection="1">
      <alignment horizontal="center" vertical="center"/>
      <protection hidden="1"/>
    </xf>
    <xf numFmtId="0" fontId="24" fillId="0" borderId="50" xfId="0" applyFont="1" applyBorder="1" applyAlignment="1" applyProtection="1">
      <alignment horizontal="left" vertical="center"/>
      <protection hidden="1"/>
    </xf>
    <xf numFmtId="0" fontId="0" fillId="0" borderId="37" xfId="0" applyBorder="1" applyAlignment="1" applyProtection="1">
      <alignment horizontal="left" vertical="center"/>
      <protection hidden="1"/>
    </xf>
    <xf numFmtId="0" fontId="0" fillId="0" borderId="38" xfId="0" applyBorder="1" applyAlignment="1" applyProtection="1">
      <alignment horizontal="left" vertical="center"/>
      <protection hidden="1"/>
    </xf>
    <xf numFmtId="0" fontId="0" fillId="0" borderId="39" xfId="0" applyBorder="1" applyAlignment="1" applyProtection="1">
      <alignment horizontal="left" vertical="center"/>
      <protection hidden="1"/>
    </xf>
    <xf numFmtId="0" fontId="0" fillId="0" borderId="56" xfId="0" applyBorder="1" applyAlignment="1" applyProtection="1">
      <alignment horizontal="center" vertical="center"/>
      <protection hidden="1"/>
    </xf>
    <xf numFmtId="0" fontId="0" fillId="0" borderId="60" xfId="0" applyBorder="1" applyAlignment="1" applyProtection="1">
      <alignment horizontal="center" vertical="center"/>
      <protection hidden="1"/>
    </xf>
    <xf numFmtId="0" fontId="0" fillId="0" borderId="61" xfId="0" applyBorder="1" applyAlignment="1" applyProtection="1">
      <alignment horizontal="center" vertical="center"/>
      <protection hidden="1"/>
    </xf>
    <xf numFmtId="3" fontId="0" fillId="0" borderId="57" xfId="0" applyNumberFormat="1" applyBorder="1" applyAlignment="1" applyProtection="1">
      <alignment horizontal="center" vertical="center"/>
      <protection hidden="1"/>
    </xf>
    <xf numFmtId="3" fontId="0" fillId="0" borderId="59" xfId="0" applyNumberFormat="1" applyBorder="1" applyAlignment="1" applyProtection="1">
      <alignment horizontal="center" vertical="center"/>
      <protection hidden="1"/>
    </xf>
    <xf numFmtId="3" fontId="0" fillId="0" borderId="49" xfId="0" applyNumberFormat="1" applyBorder="1" applyAlignment="1" applyProtection="1">
      <alignment horizontal="center" vertical="center"/>
      <protection hidden="1"/>
    </xf>
    <xf numFmtId="3" fontId="0" fillId="0" borderId="50" xfId="0" applyNumberFormat="1" applyBorder="1" applyAlignment="1" applyProtection="1">
      <alignment horizontal="center" vertical="center"/>
      <protection hidden="1"/>
    </xf>
    <xf numFmtId="3" fontId="0" fillId="0" borderId="51" xfId="0" applyNumberFormat="1" applyBorder="1" applyAlignment="1" applyProtection="1">
      <alignment horizontal="center" vertical="center"/>
      <protection hidden="1"/>
    </xf>
    <xf numFmtId="3" fontId="0" fillId="0" borderId="53" xfId="0" applyNumberFormat="1" applyBorder="1" applyAlignment="1" applyProtection="1">
      <alignment horizontal="center" vertical="center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0" fontId="0" fillId="0" borderId="42" xfId="0" applyBorder="1" applyAlignment="1" applyProtection="1">
      <alignment horizontal="center" vertical="center"/>
      <protection hidden="1"/>
    </xf>
    <xf numFmtId="165" fontId="0" fillId="0" borderId="56" xfId="0" applyNumberFormat="1" applyBorder="1" applyAlignment="1" applyProtection="1">
      <alignment horizontal="center" vertical="center"/>
      <protection locked="0"/>
    </xf>
    <xf numFmtId="165" fontId="0" fillId="0" borderId="60" xfId="0" applyNumberFormat="1" applyBorder="1" applyAlignment="1" applyProtection="1">
      <alignment horizontal="center" vertical="center"/>
      <protection locked="0"/>
    </xf>
    <xf numFmtId="165" fontId="0" fillId="0" borderId="61" xfId="0" applyNumberFormat="1" applyBorder="1" applyAlignment="1" applyProtection="1">
      <alignment horizontal="center" vertical="center"/>
      <protection locked="0"/>
    </xf>
    <xf numFmtId="0" fontId="3" fillId="0" borderId="57" xfId="0" applyFont="1" applyBorder="1" applyAlignment="1" applyProtection="1">
      <alignment horizontal="left" vertical="center"/>
      <protection hidden="1"/>
    </xf>
    <xf numFmtId="0" fontId="3" fillId="0" borderId="58" xfId="0" applyFont="1" applyBorder="1" applyAlignment="1" applyProtection="1">
      <alignment horizontal="left" vertical="center"/>
      <protection hidden="1"/>
    </xf>
    <xf numFmtId="0" fontId="3" fillId="0" borderId="59" xfId="0" applyFont="1" applyBorder="1" applyAlignment="1" applyProtection="1">
      <alignment horizontal="left" vertical="center"/>
      <protection hidden="1"/>
    </xf>
    <xf numFmtId="0" fontId="27" fillId="0" borderId="0" xfId="0" applyFont="1" applyAlignment="1" applyProtection="1">
      <alignment horizontal="left" vertical="center"/>
      <protection hidden="1"/>
    </xf>
    <xf numFmtId="0" fontId="24" fillId="0" borderId="52" xfId="0" applyFont="1" applyBorder="1" applyAlignment="1" applyProtection="1">
      <alignment horizontal="left" vertical="center"/>
      <protection hidden="1"/>
    </xf>
    <xf numFmtId="165" fontId="3" fillId="24" borderId="0" xfId="0" applyNumberFormat="1" applyFont="1" applyFill="1" applyAlignment="1" applyProtection="1">
      <alignment horizontal="right" vertical="center"/>
      <protection hidden="1"/>
    </xf>
    <xf numFmtId="0" fontId="0" fillId="0" borderId="37" xfId="0" applyBorder="1" applyAlignment="1">
      <alignment horizontal="left" vertical="center"/>
    </xf>
    <xf numFmtId="0" fontId="0" fillId="0" borderId="38" xfId="0" applyBorder="1" applyAlignment="1">
      <alignment horizontal="left" vertical="center"/>
    </xf>
    <xf numFmtId="0" fontId="0" fillId="0" borderId="39" xfId="0" applyBorder="1" applyAlignment="1">
      <alignment horizontal="left" vertical="center"/>
    </xf>
    <xf numFmtId="10" fontId="4" fillId="0" borderId="0" xfId="1" applyNumberFormat="1" applyFont="1" applyAlignment="1" applyProtection="1">
      <alignment horizontal="right" vertical="center"/>
      <protection locked="0" hidden="1"/>
    </xf>
    <xf numFmtId="9" fontId="28" fillId="0" borderId="0" xfId="0" applyNumberFormat="1" applyFont="1" applyAlignment="1" applyProtection="1">
      <alignment horizontal="right" vertical="center" wrapText="1"/>
      <protection locked="0" hidden="1"/>
    </xf>
    <xf numFmtId="0" fontId="3" fillId="0" borderId="41" xfId="0" applyFont="1" applyBorder="1" applyAlignment="1" applyProtection="1">
      <alignment horizontal="center" vertical="center"/>
      <protection hidden="1"/>
    </xf>
    <xf numFmtId="0" fontId="3" fillId="0" borderId="44" xfId="0" applyFont="1" applyBorder="1" applyAlignment="1" applyProtection="1">
      <alignment horizontal="center" vertical="center"/>
      <protection hidden="1"/>
    </xf>
    <xf numFmtId="0" fontId="29" fillId="0" borderId="0" xfId="0" applyFont="1" applyAlignment="1" applyProtection="1">
      <alignment horizontal="right" vertical="center"/>
      <protection hidden="1"/>
    </xf>
    <xf numFmtId="0" fontId="24" fillId="0" borderId="0" xfId="0" applyFont="1" applyAlignment="1" applyProtection="1">
      <alignment horizontal="right" vertical="center"/>
      <protection hidden="1"/>
    </xf>
    <xf numFmtId="0" fontId="24" fillId="0" borderId="53" xfId="0" applyFont="1" applyBorder="1" applyAlignment="1" applyProtection="1">
      <alignment horizontal="left" vertical="center"/>
      <protection hidden="1"/>
    </xf>
    <xf numFmtId="0" fontId="0" fillId="26" borderId="0" xfId="0" applyFill="1" applyAlignment="1" applyProtection="1">
      <alignment horizontal="center" vertical="center"/>
      <protection hidden="1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5" fillId="7" borderId="1" xfId="0" applyFont="1" applyFill="1" applyBorder="1" applyAlignment="1" applyProtection="1">
      <alignment horizontal="center" vertical="center"/>
      <protection hidden="1"/>
    </xf>
    <xf numFmtId="3" fontId="5" fillId="3" borderId="1" xfId="0" applyNumberFormat="1" applyFont="1" applyFill="1" applyBorder="1" applyAlignment="1" applyProtection="1">
      <alignment horizontal="center" vertical="center"/>
      <protection locked="0"/>
    </xf>
    <xf numFmtId="0" fontId="5" fillId="3" borderId="2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>
      <alignment horizontal="center" vertical="center"/>
      <protection locked="0"/>
    </xf>
    <xf numFmtId="0" fontId="5" fillId="3" borderId="4" xfId="0" applyFont="1" applyFill="1" applyBorder="1" applyAlignment="1" applyProtection="1">
      <alignment horizontal="center" vertical="center"/>
      <protection locked="0"/>
    </xf>
    <xf numFmtId="14" fontId="5" fillId="3" borderId="2" xfId="0" applyNumberFormat="1" applyFont="1" applyFill="1" applyBorder="1" applyAlignment="1" applyProtection="1">
      <alignment horizontal="center" vertical="center"/>
      <protection locked="0"/>
    </xf>
    <xf numFmtId="14" fontId="5" fillId="3" borderId="4" xfId="0" applyNumberFormat="1" applyFont="1" applyFill="1" applyBorder="1" applyAlignment="1" applyProtection="1">
      <alignment horizontal="center" vertical="center"/>
      <protection locked="0"/>
    </xf>
    <xf numFmtId="0" fontId="10" fillId="4" borderId="5" xfId="0" applyFont="1" applyFill="1" applyBorder="1" applyAlignment="1" applyProtection="1">
      <alignment horizontal="center" vertical="center"/>
      <protection hidden="1"/>
    </xf>
    <xf numFmtId="0" fontId="10" fillId="4" borderId="6" xfId="0" applyFont="1" applyFill="1" applyBorder="1" applyAlignment="1" applyProtection="1">
      <alignment horizontal="center" vertical="center"/>
      <protection hidden="1"/>
    </xf>
    <xf numFmtId="15" fontId="5" fillId="3" borderId="1" xfId="0" applyNumberFormat="1" applyFont="1" applyFill="1" applyBorder="1" applyAlignment="1" applyProtection="1">
      <alignment horizontal="center" vertical="center"/>
      <protection locked="0"/>
    </xf>
    <xf numFmtId="0" fontId="10" fillId="5" borderId="24" xfId="0" applyFont="1" applyFill="1" applyBorder="1" applyAlignment="1" applyProtection="1">
      <alignment horizontal="center" vertical="center"/>
      <protection hidden="1"/>
    </xf>
    <xf numFmtId="0" fontId="10" fillId="5" borderId="31" xfId="0" applyFont="1" applyFill="1" applyBorder="1" applyAlignment="1" applyProtection="1">
      <alignment horizontal="center" vertical="center"/>
      <protection hidden="1"/>
    </xf>
    <xf numFmtId="0" fontId="10" fillId="5" borderId="32" xfId="0" applyFont="1" applyFill="1" applyBorder="1" applyAlignment="1" applyProtection="1">
      <alignment horizontal="center" vertical="center"/>
      <protection hidden="1"/>
    </xf>
    <xf numFmtId="165" fontId="7" fillId="0" borderId="12" xfId="0" applyNumberFormat="1" applyFont="1" applyBorder="1" applyAlignment="1" applyProtection="1">
      <alignment horizontal="center" vertical="center"/>
      <protection hidden="1"/>
    </xf>
    <xf numFmtId="0" fontId="7" fillId="0" borderId="13" xfId="0" applyFont="1" applyBorder="1" applyAlignment="1" applyProtection="1">
      <alignment horizontal="center" vertical="center"/>
      <protection hidden="1"/>
    </xf>
    <xf numFmtId="165" fontId="7" fillId="0" borderId="13" xfId="0" applyNumberFormat="1" applyFont="1" applyBorder="1" applyAlignment="1" applyProtection="1">
      <alignment horizontal="center" vertical="center"/>
      <protection hidden="1"/>
    </xf>
    <xf numFmtId="165" fontId="14" fillId="0" borderId="13" xfId="0" applyNumberFormat="1" applyFont="1" applyBorder="1" applyAlignment="1" applyProtection="1">
      <alignment horizontal="center" vertical="center"/>
      <protection hidden="1"/>
    </xf>
    <xf numFmtId="0" fontId="14" fillId="0" borderId="26" xfId="0" applyFont="1" applyBorder="1" applyAlignment="1" applyProtection="1">
      <alignment horizontal="center" vertical="center"/>
      <protection hidden="1"/>
    </xf>
    <xf numFmtId="0" fontId="10" fillId="6" borderId="6" xfId="0" quotePrefix="1" applyFont="1" applyFill="1" applyBorder="1" applyAlignment="1" applyProtection="1">
      <alignment horizontal="center" vertical="center"/>
      <protection hidden="1"/>
    </xf>
    <xf numFmtId="0" fontId="10" fillId="6" borderId="7" xfId="0" applyFont="1" applyFill="1" applyBorder="1" applyAlignment="1" applyProtection="1">
      <alignment horizontal="center" vertical="center"/>
      <protection hidden="1"/>
    </xf>
    <xf numFmtId="0" fontId="11" fillId="4" borderId="1" xfId="0" applyFont="1" applyFill="1" applyBorder="1" applyAlignment="1" applyProtection="1">
      <alignment horizontal="center" vertical="center"/>
      <protection hidden="1"/>
    </xf>
    <xf numFmtId="14" fontId="12" fillId="3" borderId="1" xfId="0" applyNumberFormat="1" applyFont="1" applyFill="1" applyBorder="1" applyAlignment="1" applyProtection="1">
      <alignment horizontal="left" vertical="center"/>
      <protection locked="0"/>
    </xf>
    <xf numFmtId="0" fontId="11" fillId="4" borderId="0" xfId="0" applyFont="1" applyFill="1" applyAlignment="1" applyProtection="1">
      <alignment horizontal="center" vertical="center"/>
      <protection hidden="1"/>
    </xf>
    <xf numFmtId="166" fontId="12" fillId="0" borderId="2" xfId="0" applyNumberFormat="1" applyFont="1" applyBorder="1" applyAlignment="1" applyProtection="1">
      <alignment horizontal="center" vertical="center"/>
      <protection hidden="1"/>
    </xf>
    <xf numFmtId="166" fontId="12" fillId="0" borderId="4" xfId="0" applyNumberFormat="1" applyFont="1" applyBorder="1" applyAlignment="1" applyProtection="1">
      <alignment horizontal="center" vertical="center"/>
      <protection hidden="1"/>
    </xf>
    <xf numFmtId="0" fontId="7" fillId="0" borderId="2" xfId="0" applyFont="1" applyBorder="1" applyAlignment="1" applyProtection="1">
      <alignment horizontal="left" vertical="center"/>
      <protection hidden="1"/>
    </xf>
    <xf numFmtId="0" fontId="7" fillId="0" borderId="3" xfId="0" applyFont="1" applyBorder="1" applyAlignment="1" applyProtection="1">
      <alignment horizontal="left" vertical="center"/>
      <protection hidden="1"/>
    </xf>
    <xf numFmtId="0" fontId="7" fillId="0" borderId="4" xfId="0" applyFont="1" applyBorder="1" applyAlignment="1" applyProtection="1">
      <alignment horizontal="left" vertical="center"/>
      <protection hidden="1"/>
    </xf>
    <xf numFmtId="14" fontId="12" fillId="0" borderId="2" xfId="0" applyNumberFormat="1" applyFont="1" applyBorder="1" applyAlignment="1" applyProtection="1">
      <alignment horizontal="center" vertical="center"/>
      <protection hidden="1"/>
    </xf>
    <xf numFmtId="14" fontId="12" fillId="0" borderId="3" xfId="0" applyNumberFormat="1" applyFont="1" applyBorder="1" applyAlignment="1" applyProtection="1">
      <alignment horizontal="center" vertical="center"/>
      <protection hidden="1"/>
    </xf>
    <xf numFmtId="166" fontId="12" fillId="0" borderId="1" xfId="0" applyNumberFormat="1" applyFont="1" applyBorder="1" applyAlignment="1" applyProtection="1">
      <alignment horizontal="center" vertical="center"/>
      <protection hidden="1"/>
    </xf>
    <xf numFmtId="0" fontId="11" fillId="4" borderId="22" xfId="0" applyFont="1" applyFill="1" applyBorder="1" applyAlignment="1" applyProtection="1">
      <alignment horizontal="center" vertical="center"/>
      <protection hidden="1"/>
    </xf>
    <xf numFmtId="0" fontId="11" fillId="4" borderId="27" xfId="0" applyFont="1" applyFill="1" applyBorder="1" applyAlignment="1" applyProtection="1">
      <alignment horizontal="center" vertical="center"/>
      <protection hidden="1"/>
    </xf>
    <xf numFmtId="165" fontId="7" fillId="12" borderId="23" xfId="0" applyNumberFormat="1" applyFont="1" applyFill="1" applyBorder="1" applyAlignment="1" applyProtection="1">
      <alignment horizontal="right" vertical="center"/>
      <protection hidden="1"/>
    </xf>
    <xf numFmtId="165" fontId="7" fillId="12" borderId="29" xfId="0" applyNumberFormat="1" applyFont="1" applyFill="1" applyBorder="1" applyAlignment="1" applyProtection="1">
      <alignment horizontal="right" vertical="center"/>
      <protection hidden="1"/>
    </xf>
    <xf numFmtId="165" fontId="7" fillId="11" borderId="3" xfId="0" applyNumberFormat="1" applyFont="1" applyFill="1" applyBorder="1" applyAlignment="1" applyProtection="1">
      <alignment horizontal="right" vertical="center"/>
      <protection hidden="1"/>
    </xf>
    <xf numFmtId="165" fontId="7" fillId="11" borderId="4" xfId="0" applyNumberFormat="1" applyFont="1" applyFill="1" applyBorder="1" applyAlignment="1" applyProtection="1">
      <alignment horizontal="right" vertical="center"/>
      <protection hidden="1"/>
    </xf>
    <xf numFmtId="165" fontId="7" fillId="3" borderId="23" xfId="0" applyNumberFormat="1" applyFont="1" applyFill="1" applyBorder="1" applyAlignment="1" applyProtection="1">
      <alignment horizontal="right" vertical="center"/>
      <protection hidden="1"/>
    </xf>
    <xf numFmtId="165" fontId="7" fillId="3" borderId="27" xfId="0" applyNumberFormat="1" applyFont="1" applyFill="1" applyBorder="1" applyAlignment="1" applyProtection="1">
      <alignment horizontal="right" vertical="center"/>
      <protection hidden="1"/>
    </xf>
    <xf numFmtId="0" fontId="2" fillId="4" borderId="22" xfId="0" applyFont="1" applyFill="1" applyBorder="1" applyAlignment="1" applyProtection="1">
      <alignment horizontal="center" vertical="center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28" xfId="0" applyFont="1" applyFill="1" applyBorder="1" applyAlignment="1" applyProtection="1">
      <alignment horizontal="center" vertical="center"/>
      <protection hidden="1"/>
    </xf>
    <xf numFmtId="0" fontId="18" fillId="3" borderId="1" xfId="0" applyFont="1" applyFill="1" applyBorder="1" applyAlignment="1" applyProtection="1">
      <alignment horizontal="left" vertical="center"/>
      <protection locked="0"/>
    </xf>
    <xf numFmtId="0" fontId="10" fillId="6" borderId="34" xfId="0" applyFont="1" applyFill="1" applyBorder="1" applyAlignment="1" applyProtection="1">
      <alignment horizontal="center" vertical="center"/>
      <protection hidden="1"/>
    </xf>
    <xf numFmtId="0" fontId="10" fillId="6" borderId="18" xfId="0" applyFont="1" applyFill="1" applyBorder="1" applyAlignment="1" applyProtection="1">
      <alignment horizontal="center" vertical="center"/>
      <protection hidden="1"/>
    </xf>
    <xf numFmtId="0" fontId="10" fillId="6" borderId="35" xfId="0" applyFont="1" applyFill="1" applyBorder="1" applyAlignment="1" applyProtection="1">
      <alignment horizontal="center" vertical="center"/>
      <protection hidden="1"/>
    </xf>
    <xf numFmtId="165" fontId="14" fillId="0" borderId="33" xfId="0" applyNumberFormat="1" applyFont="1" applyBorder="1" applyAlignment="1" applyProtection="1">
      <alignment horizontal="center" vertical="center"/>
      <protection hidden="1"/>
    </xf>
    <xf numFmtId="165" fontId="14" fillId="0" borderId="20" xfId="0" applyNumberFormat="1" applyFont="1" applyBorder="1" applyAlignment="1" applyProtection="1">
      <alignment horizontal="center" vertical="center"/>
      <protection hidden="1"/>
    </xf>
    <xf numFmtId="165" fontId="14" fillId="0" borderId="17" xfId="0" applyNumberFormat="1" applyFont="1" applyBorder="1" applyAlignment="1" applyProtection="1">
      <alignment horizontal="center" vertical="center"/>
      <protection hidden="1"/>
    </xf>
    <xf numFmtId="165" fontId="7" fillId="10" borderId="19" xfId="0" applyNumberFormat="1" applyFont="1" applyFill="1" applyBorder="1" applyAlignment="1" applyProtection="1">
      <alignment horizontal="center" vertical="center"/>
      <protection hidden="1"/>
    </xf>
    <xf numFmtId="165" fontId="7" fillId="10" borderId="20" xfId="0" applyNumberFormat="1" applyFont="1" applyFill="1" applyBorder="1" applyAlignment="1" applyProtection="1">
      <alignment horizontal="center" vertical="center"/>
      <protection hidden="1"/>
    </xf>
    <xf numFmtId="165" fontId="7" fillId="10" borderId="21" xfId="0" applyNumberFormat="1" applyFont="1" applyFill="1" applyBorder="1" applyAlignment="1" applyProtection="1">
      <alignment horizontal="center" vertical="center"/>
      <protection hidden="1"/>
    </xf>
    <xf numFmtId="165" fontId="7" fillId="3" borderId="33" xfId="0" applyNumberFormat="1" applyFont="1" applyFill="1" applyBorder="1" applyAlignment="1" applyProtection="1">
      <alignment horizontal="center" vertical="center"/>
      <protection hidden="1"/>
    </xf>
    <xf numFmtId="165" fontId="7" fillId="3" borderId="20" xfId="0" applyNumberFormat="1" applyFont="1" applyFill="1" applyBorder="1" applyAlignment="1" applyProtection="1">
      <alignment horizontal="center" vertical="center"/>
      <protection hidden="1"/>
    </xf>
    <xf numFmtId="165" fontId="7" fillId="3" borderId="17" xfId="0" applyNumberFormat="1" applyFont="1" applyFill="1" applyBorder="1" applyAlignment="1" applyProtection="1">
      <alignment horizontal="center" vertical="center"/>
      <protection hidden="1"/>
    </xf>
    <xf numFmtId="0" fontId="10" fillId="5" borderId="30" xfId="0" applyFont="1" applyFill="1" applyBorder="1" applyAlignment="1" applyProtection="1">
      <alignment horizontal="center" vertical="center"/>
      <protection hidden="1"/>
    </xf>
    <xf numFmtId="0" fontId="10" fillId="5" borderId="25" xfId="0" applyFont="1" applyFill="1" applyBorder="1" applyAlignment="1" applyProtection="1">
      <alignment horizontal="center" vertical="center"/>
      <protection hidden="1"/>
    </xf>
    <xf numFmtId="0" fontId="23" fillId="25" borderId="0" xfId="0" applyFont="1" applyFill="1" applyAlignment="1">
      <alignment horizontal="center" vertical="center" wrapText="1"/>
    </xf>
    <xf numFmtId="0" fontId="25" fillId="18" borderId="0" xfId="0" applyFont="1" applyFill="1" applyAlignment="1">
      <alignment horizontal="center" vertical="center" wrapText="1"/>
    </xf>
    <xf numFmtId="0" fontId="25" fillId="17" borderId="0" xfId="0" applyFont="1" applyFill="1" applyAlignment="1">
      <alignment horizontal="center" vertical="center" wrapText="1"/>
    </xf>
    <xf numFmtId="0" fontId="25" fillId="22" borderId="0" xfId="0" applyFont="1" applyFill="1" applyAlignment="1">
      <alignment horizontal="center" vertical="center" wrapText="1"/>
    </xf>
    <xf numFmtId="0" fontId="25" fillId="23" borderId="0" xfId="0" applyFont="1" applyFill="1" applyAlignment="1">
      <alignment horizontal="center" vertical="center" wrapText="1"/>
    </xf>
    <xf numFmtId="0" fontId="25" fillId="4" borderId="0" xfId="0" applyFont="1" applyFill="1" applyAlignment="1">
      <alignment horizontal="center" vertical="center" wrapText="1"/>
    </xf>
    <xf numFmtId="0" fontId="25" fillId="21" borderId="0" xfId="0" applyFont="1" applyFill="1" applyAlignment="1">
      <alignment horizontal="center" vertical="center" wrapText="1"/>
    </xf>
    <xf numFmtId="0" fontId="25" fillId="20" borderId="0" xfId="0" applyFont="1" applyFill="1" applyAlignment="1">
      <alignment horizontal="center" vertical="center" wrapText="1"/>
    </xf>
    <xf numFmtId="0" fontId="25" fillId="6" borderId="0" xfId="0" applyFont="1" applyFill="1" applyAlignment="1">
      <alignment horizontal="center" vertical="center" wrapText="1"/>
    </xf>
    <xf numFmtId="0" fontId="25" fillId="19" borderId="0" xfId="0" applyFont="1" applyFill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37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1"/>
    </dxf>
    <dxf>
      <border outline="0">
        <top style="thin">
          <color theme="4" tint="0.39997558519241921"/>
        </top>
      </border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protection locked="0" hidden="1"/>
    </dxf>
  </dxfs>
  <tableStyles count="0" defaultTableStyle="TableStyleMedium2" defaultPivotStyle="PivotStyleLight16"/>
  <colors>
    <mruColors>
      <color rgb="FF92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25400</xdr:colOff>
      <xdr:row>1</xdr:row>
      <xdr:rowOff>25400</xdr:rowOff>
    </xdr:from>
    <xdr:to>
      <xdr:col>16</xdr:col>
      <xdr:colOff>82550</xdr:colOff>
      <xdr:row>68</xdr:row>
      <xdr:rowOff>133350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B27005DD-29BE-795C-628E-76B8D13D175C}"/>
            </a:ext>
          </a:extLst>
        </xdr:cNvPr>
        <xdr:cNvSpPr/>
      </xdr:nvSpPr>
      <xdr:spPr>
        <a:xfrm>
          <a:off x="82550" y="88900"/>
          <a:ext cx="7594600" cy="10623550"/>
        </a:xfrm>
        <a:prstGeom prst="rect">
          <a:avLst/>
        </a:prstGeom>
        <a:noFill/>
        <a:ln w="38100"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3</xdr:col>
      <xdr:colOff>44828</xdr:colOff>
      <xdr:row>2</xdr:row>
      <xdr:rowOff>23166</xdr:rowOff>
    </xdr:from>
    <xdr:to>
      <xdr:col>5</xdr:col>
      <xdr:colOff>141942</xdr:colOff>
      <xdr:row>6</xdr:row>
      <xdr:rowOff>14991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117FD71-2036-7AD7-9848-F80EA4C20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22" y="157637"/>
          <a:ext cx="769467" cy="738883"/>
        </a:xfrm>
        <a:prstGeom prst="rect">
          <a:avLst/>
        </a:prstGeom>
        <a:ln>
          <a:solidFill>
            <a:schemeClr val="bg1"/>
          </a:solidFill>
        </a:ln>
      </xdr:spPr>
    </xdr:pic>
    <xdr:clientData/>
  </xdr:twoCellAnchor>
  <xdr:twoCellAnchor editAs="absolute">
    <xdr:from>
      <xdr:col>5</xdr:col>
      <xdr:colOff>149412</xdr:colOff>
      <xdr:row>0</xdr:row>
      <xdr:rowOff>50014</xdr:rowOff>
    </xdr:from>
    <xdr:to>
      <xdr:col>16</xdr:col>
      <xdr:colOff>50800</xdr:colOff>
      <xdr:row>5</xdr:row>
      <xdr:rowOff>86924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E9A37B7B-9457-1D51-10C8-3F8DEFB2782F}"/>
            </a:ext>
          </a:extLst>
        </xdr:cNvPr>
        <xdr:cNvSpPr/>
      </xdr:nvSpPr>
      <xdr:spPr>
        <a:xfrm>
          <a:off x="1001059" y="50014"/>
          <a:ext cx="6684682" cy="73167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r>
            <a:rPr lang="en-US" sz="445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itannic Bold" panose="020B0903060703020204" pitchFamily="34" charset="0"/>
            </a:rPr>
            <a:t>Mahaind Overseas Pvt Ltd</a:t>
          </a:r>
        </a:p>
      </xdr:txBody>
    </xdr:sp>
    <xdr:clientData/>
  </xdr:twoCellAnchor>
  <xdr:twoCellAnchor editAs="absolute">
    <xdr:from>
      <xdr:col>6</xdr:col>
      <xdr:colOff>114300</xdr:colOff>
      <xdr:row>5</xdr:row>
      <xdr:rowOff>12700</xdr:rowOff>
    </xdr:from>
    <xdr:to>
      <xdr:col>15</xdr:col>
      <xdr:colOff>553100</xdr:colOff>
      <xdr:row>5</xdr:row>
      <xdr:rowOff>12700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3CDB97C9-7C5D-6EB3-C8C9-606F37C7682C}"/>
            </a:ext>
          </a:extLst>
        </xdr:cNvPr>
        <xdr:cNvCxnSpPr/>
      </xdr:nvCxnSpPr>
      <xdr:spPr>
        <a:xfrm flipH="1">
          <a:off x="1562100" y="692150"/>
          <a:ext cx="5976000" cy="0"/>
        </a:xfrm>
        <a:prstGeom prst="line">
          <a:avLst/>
        </a:prstGeom>
        <a:ln w="38100"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565150</xdr:colOff>
      <xdr:row>5</xdr:row>
      <xdr:rowOff>69850</xdr:rowOff>
    </xdr:from>
    <xdr:to>
      <xdr:col>15</xdr:col>
      <xdr:colOff>552450</xdr:colOff>
      <xdr:row>5</xdr:row>
      <xdr:rowOff>69850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CA7FBE9B-2CA7-4D55-8922-AA007153EBDF}"/>
            </a:ext>
          </a:extLst>
        </xdr:cNvPr>
        <xdr:cNvCxnSpPr/>
      </xdr:nvCxnSpPr>
      <xdr:spPr>
        <a:xfrm flipH="1" flipV="1">
          <a:off x="2679700" y="749300"/>
          <a:ext cx="4857750" cy="0"/>
        </a:xfrm>
        <a:prstGeom prst="line">
          <a:avLst/>
        </a:prstGeom>
        <a:ln w="28575">
          <a:solidFill>
            <a:sysClr val="windowText" lastClr="000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oneCellAnchor>
    <xdr:from>
      <xdr:col>1</xdr:col>
      <xdr:colOff>37684</xdr:colOff>
      <xdr:row>5</xdr:row>
      <xdr:rowOff>172535</xdr:rowOff>
    </xdr:from>
    <xdr:ext cx="2850524" cy="609013"/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BC5F3EBD-C1F4-BC14-EEDD-1644113A9628}"/>
            </a:ext>
          </a:extLst>
        </xdr:cNvPr>
        <xdr:cNvSpPr/>
      </xdr:nvSpPr>
      <xdr:spPr>
        <a:xfrm>
          <a:off x="94834" y="851985"/>
          <a:ext cx="2850524" cy="609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l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Bahirat Patil Industrial Park, Gat no 537 &amp; 538,</a:t>
          </a:r>
        </a:p>
        <a:p>
          <a:pPr algn="l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Bandhalwadi (Navlakh Umbre), </a:t>
          </a:r>
        </a:p>
        <a:p>
          <a:pPr algn="l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Tal. Maval, Dis - Pune, Maharashtra - 410 507.</a:t>
          </a:r>
        </a:p>
      </xdr:txBody>
    </xdr:sp>
    <xdr:clientData/>
  </xdr:oneCellAnchor>
  <xdr:oneCellAnchor>
    <xdr:from>
      <xdr:col>13</xdr:col>
      <xdr:colOff>158334</xdr:colOff>
      <xdr:row>7</xdr:row>
      <xdr:rowOff>7435</xdr:rowOff>
    </xdr:from>
    <xdr:ext cx="1689515" cy="280205"/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2E513DB0-EA7F-422D-88E4-E1D692759198}"/>
            </a:ext>
          </a:extLst>
        </xdr:cNvPr>
        <xdr:cNvSpPr/>
      </xdr:nvSpPr>
      <xdr:spPr>
        <a:xfrm>
          <a:off x="5866984" y="1055185"/>
          <a:ext cx="1689515" cy="28020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r>
            <a:rPr lang="en-IN" sz="1200" b="0" i="0" u="none" strike="noStrike" baseline="0">
              <a:latin typeface="+mn-lt"/>
              <a:ea typeface="+mn-ea"/>
              <a:cs typeface="+mn-cs"/>
            </a:rPr>
            <a:t>sales@mahaindopl.com</a:t>
          </a:r>
          <a:endParaRPr lang="en-US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13</xdr:col>
      <xdr:colOff>164684</xdr:colOff>
      <xdr:row>5</xdr:row>
      <xdr:rowOff>147135</xdr:rowOff>
    </xdr:from>
    <xdr:ext cx="1266565" cy="280205"/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B289D3F6-AA9A-4CD6-AFC6-7CDBA4992447}"/>
            </a:ext>
          </a:extLst>
        </xdr:cNvPr>
        <xdr:cNvSpPr/>
      </xdr:nvSpPr>
      <xdr:spPr>
        <a:xfrm>
          <a:off x="5873334" y="826585"/>
          <a:ext cx="1266565" cy="2802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l"/>
          <a:r>
            <a:rPr lang="en-IN" sz="1200" b="0" i="0" u="none" strike="noStrike" baseline="0">
              <a:latin typeface="+mn-lt"/>
              <a:ea typeface="+mn-ea"/>
              <a:cs typeface="+mn-cs"/>
            </a:rPr>
            <a:t>+91 80877 66667</a:t>
          </a:r>
          <a:endParaRPr lang="en-US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8</xdr:col>
      <xdr:colOff>1091784</xdr:colOff>
      <xdr:row>5</xdr:row>
      <xdr:rowOff>109035</xdr:rowOff>
    </xdr:from>
    <xdr:ext cx="2154629" cy="655885"/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61ECDD9B-E042-4781-BE3A-C5A64B535641}"/>
            </a:ext>
          </a:extLst>
        </xdr:cNvPr>
        <xdr:cNvSpPr/>
      </xdr:nvSpPr>
      <xdr:spPr>
        <a:xfrm>
          <a:off x="3149184" y="788485"/>
          <a:ext cx="2154629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l"/>
          <a:r>
            <a:rPr lang="en-IN" sz="3600" b="1" i="0" u="none" strike="noStrike" baseline="0">
              <a:solidFill>
                <a:srgbClr val="FFC000"/>
              </a:solidFill>
              <a:latin typeface="+mn-lt"/>
              <a:ea typeface="+mn-ea"/>
              <a:cs typeface="+mn-cs"/>
            </a:rPr>
            <a:t>Quotation</a:t>
          </a:r>
          <a:endParaRPr lang="en-US" sz="4000" b="1" cap="none" spc="0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</xdr:col>
      <xdr:colOff>37684</xdr:colOff>
      <xdr:row>37</xdr:row>
      <xdr:rowOff>20135</xdr:rowOff>
    </xdr:from>
    <xdr:ext cx="1856214" cy="264560"/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3B0E8C9B-9A82-4B73-AA7F-815619E2B2E0}"/>
            </a:ext>
          </a:extLst>
        </xdr:cNvPr>
        <xdr:cNvSpPr/>
      </xdr:nvSpPr>
      <xdr:spPr>
        <a:xfrm>
          <a:off x="94834" y="5462085"/>
          <a:ext cx="1856214" cy="26456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l"/>
          <a:r>
            <a:rPr lang="en-IN" sz="1100" b="1" i="0" u="none" strike="noStrike" baseline="0">
              <a:latin typeface="+mn-lt"/>
              <a:ea typeface="+mn-ea"/>
              <a:cs typeface="+mn-cs"/>
            </a:rPr>
            <a:t>GSTIN : 27AAQCM7594N1ZA</a:t>
          </a:r>
          <a:endParaRPr lang="en-US" sz="11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</xdr:col>
      <xdr:colOff>44034</xdr:colOff>
      <xdr:row>39</xdr:row>
      <xdr:rowOff>20135</xdr:rowOff>
    </xdr:from>
    <xdr:ext cx="2781787" cy="796885"/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2EE1B368-26BD-4B74-A256-73E3DBCAE47C}"/>
            </a:ext>
          </a:extLst>
        </xdr:cNvPr>
        <xdr:cNvSpPr/>
      </xdr:nvSpPr>
      <xdr:spPr>
        <a:xfrm>
          <a:off x="101184" y="5684335"/>
          <a:ext cx="2781787" cy="796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r>
            <a:rPr lang="en-IN" sz="1200" b="0" i="0" u="none" strike="noStrike" baseline="0">
              <a:latin typeface="+mn-lt"/>
              <a:ea typeface="+mn-ea"/>
              <a:cs typeface="+mn-cs"/>
            </a:rPr>
            <a:t>Branch Office:</a:t>
          </a:r>
        </a:p>
        <a:p>
          <a:r>
            <a:rPr lang="en-IN" sz="1100" b="0" i="0" u="none" strike="noStrike" baseline="0">
              <a:latin typeface="+mn-lt"/>
              <a:ea typeface="+mn-ea"/>
              <a:cs typeface="+mn-cs"/>
            </a:rPr>
            <a:t>1019/2, Datta Niwas, Deep Bungalow Chowk,</a:t>
          </a:r>
        </a:p>
        <a:p>
          <a:r>
            <a:rPr lang="en-IN" sz="1100" b="0" i="0" u="none" strike="noStrike" baseline="0">
              <a:latin typeface="+mn-lt"/>
              <a:ea typeface="+mn-ea"/>
              <a:cs typeface="+mn-cs"/>
            </a:rPr>
            <a:t>Shivajinagar, Pune, Maharashtra,</a:t>
          </a:r>
        </a:p>
        <a:p>
          <a:r>
            <a:rPr lang="en-IN" sz="1100" b="0" i="0" u="none" strike="noStrike" baseline="0">
              <a:latin typeface="+mn-lt"/>
              <a:ea typeface="+mn-ea"/>
              <a:cs typeface="+mn-cs"/>
            </a:rPr>
            <a:t>India - 411 016</a:t>
          </a:r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</xdr:col>
      <xdr:colOff>50385</xdr:colOff>
      <xdr:row>44</xdr:row>
      <xdr:rowOff>32835</xdr:rowOff>
    </xdr:from>
    <xdr:ext cx="7512466" cy="4115037"/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98BB2815-AC16-45C2-8524-69BAA115E598}"/>
            </a:ext>
          </a:extLst>
        </xdr:cNvPr>
        <xdr:cNvSpPr/>
      </xdr:nvSpPr>
      <xdr:spPr>
        <a:xfrm>
          <a:off x="107535" y="6484435"/>
          <a:ext cx="7512466" cy="411503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r>
            <a:rPr lang="en-IN" sz="1200" b="0" i="0" u="none" strike="noStrike" baseline="0">
              <a:latin typeface="+mn-lt"/>
              <a:ea typeface="+mn-ea"/>
              <a:cs typeface="+mn-cs"/>
            </a:rPr>
            <a:t>Terms &amp; Conditions:</a:t>
          </a:r>
          <a:endParaRPr lang="en-IN" sz="1100" b="0" i="0" u="none" strike="noStrike" baseline="0">
            <a:latin typeface="+mn-lt"/>
            <a:ea typeface="+mn-ea"/>
            <a:cs typeface="+mn-cs"/>
          </a:endParaRPr>
        </a:p>
        <a:p>
          <a:endParaRPr lang="en-IN" sz="500" b="1" i="0" u="none" strike="noStrike" baseline="0">
            <a:latin typeface="+mn-lt"/>
            <a:ea typeface="+mn-ea"/>
            <a:cs typeface="+mn-cs"/>
          </a:endParaRPr>
        </a:p>
        <a:p>
          <a:r>
            <a:rPr lang="en-IN" sz="1000" b="1" i="0" u="none" strike="noStrike" baseline="0">
              <a:latin typeface="+mn-lt"/>
              <a:ea typeface="+mn-ea"/>
              <a:cs typeface="+mn-cs"/>
            </a:rPr>
            <a:t>Prices:</a:t>
          </a:r>
        </a:p>
        <a:p>
          <a:r>
            <a:rPr lang="en-IN" sz="1000" b="0" i="0" u="none" strike="noStrike" baseline="0">
              <a:latin typeface="+mn-lt"/>
              <a:ea typeface="+mn-ea"/>
              <a:cs typeface="+mn-cs"/>
            </a:rPr>
            <a:t>A) Prices quoted are in INR and are inclusive of GST, transportation, insurance and octroi/LBT (if applicable), unless stated otherwise.</a:t>
          </a:r>
        </a:p>
        <a:p>
          <a:r>
            <a:rPr lang="en-IN" sz="1000" b="0" i="0" u="none" strike="noStrike" baseline="0">
              <a:latin typeface="+mn-lt"/>
              <a:ea typeface="+mn-ea"/>
              <a:cs typeface="+mn-cs"/>
            </a:rPr>
            <a:t>B) GST will be charged extra as per prevailing rates at the time of billing.</a:t>
          </a:r>
        </a:p>
        <a:p>
          <a:endParaRPr lang="en-IN" sz="500" b="1" i="0" u="none" strike="noStrike" baseline="0">
            <a:latin typeface="+mn-lt"/>
            <a:ea typeface="+mn-ea"/>
            <a:cs typeface="+mn-cs"/>
          </a:endParaRPr>
        </a:p>
        <a:p>
          <a:r>
            <a:rPr lang="en-IN" sz="1000" b="1" i="0" u="none" strike="noStrike" baseline="0">
              <a:latin typeface="+mn-lt"/>
              <a:ea typeface="+mn-ea"/>
              <a:cs typeface="+mn-cs"/>
            </a:rPr>
            <a:t>Validity:</a:t>
          </a:r>
        </a:p>
        <a:p>
          <a:r>
            <a:rPr lang="en-IN" sz="1000" b="0" i="0" u="none" strike="noStrike" baseline="0">
              <a:latin typeface="+mn-lt"/>
              <a:ea typeface="+mn-ea"/>
              <a:cs typeface="+mn-cs"/>
            </a:rPr>
            <a:t>A) The quotation is valid for 15 days (or as mentioned) from the date of issue.</a:t>
          </a:r>
        </a:p>
        <a:p>
          <a:r>
            <a:rPr lang="en-IN" sz="1000" b="0" i="0" u="none" strike="noStrike" baseline="0">
              <a:latin typeface="+mn-lt"/>
              <a:ea typeface="+mn-ea"/>
              <a:cs typeface="+mn-cs"/>
            </a:rPr>
            <a:t>B) Prices are subject to change thereafter without prior notice, depending on fluctuations in raw material and fuel costs.</a:t>
          </a:r>
        </a:p>
        <a:p>
          <a:endParaRPr lang="en-IN" sz="500" b="1" i="0" u="none" strike="noStrike" baseline="0">
            <a:latin typeface="+mn-lt"/>
            <a:ea typeface="+mn-ea"/>
            <a:cs typeface="+mn-cs"/>
          </a:endParaRPr>
        </a:p>
        <a:p>
          <a:r>
            <a:rPr lang="en-IN" sz="1000" b="1" i="0" u="none" strike="noStrike" baseline="0">
              <a:latin typeface="+mn-lt"/>
              <a:ea typeface="+mn-ea"/>
              <a:cs typeface="+mn-cs"/>
            </a:rPr>
            <a:t>Payment Terms:</a:t>
          </a:r>
        </a:p>
        <a:p>
          <a:r>
            <a:rPr lang="en-IN" sz="1000" b="0" i="0" u="none" strike="noStrike" baseline="0">
              <a:latin typeface="+mn-lt"/>
              <a:ea typeface="+mn-ea"/>
              <a:cs typeface="+mn-cs"/>
            </a:rPr>
            <a:t>A) 50% advance with Purchase Order confirmation; balance After dispatch (unless otherwise agreed in writing).</a:t>
          </a:r>
        </a:p>
        <a:p>
          <a:r>
            <a:rPr lang="en-IN" sz="1000" b="0" i="0" u="none" strike="noStrike" baseline="0">
              <a:latin typeface="+mn-lt"/>
              <a:ea typeface="+mn-ea"/>
              <a:cs typeface="+mn-cs"/>
            </a:rPr>
            <a:t>B) Delayed payment beyond agreed credit terms will attract 18% p.a. interest.</a:t>
          </a:r>
        </a:p>
        <a:p>
          <a:endParaRPr lang="en-IN" sz="500" b="1" i="0" u="none" strike="noStrike" baseline="0">
            <a:latin typeface="+mn-lt"/>
            <a:ea typeface="+mn-ea"/>
            <a:cs typeface="+mn-cs"/>
          </a:endParaRPr>
        </a:p>
        <a:p>
          <a:r>
            <a:rPr lang="en-IN" sz="1000" b="1" i="0" u="none" strike="noStrike" baseline="0">
              <a:latin typeface="+mn-lt"/>
              <a:ea typeface="+mn-ea"/>
              <a:cs typeface="+mn-cs"/>
            </a:rPr>
            <a:t>Delivery:</a:t>
          </a:r>
        </a:p>
        <a:p>
          <a:r>
            <a:rPr lang="en-IN" sz="1000" b="0" i="0" u="none" strike="noStrike" baseline="0">
              <a:latin typeface="+mn-lt"/>
              <a:ea typeface="+mn-ea"/>
              <a:cs typeface="+mn-cs"/>
            </a:rPr>
            <a:t>A) Delivery timelines are indicative and subject to raw material availability, production capacity, and unforeseen delays (transport strike,</a:t>
          </a:r>
        </a:p>
        <a:p>
          <a:r>
            <a:rPr lang="en-IN" sz="1000" b="0" i="0" u="none" strike="noStrike" baseline="0">
              <a:latin typeface="+mn-lt"/>
              <a:ea typeface="+mn-ea"/>
              <a:cs typeface="+mn-cs"/>
            </a:rPr>
            <a:t>weather, government restrictions etc).</a:t>
          </a:r>
        </a:p>
        <a:p>
          <a:r>
            <a:rPr lang="en-IN" sz="1000" b="0" i="0" u="none" strike="noStrike" baseline="0">
              <a:latin typeface="+mn-lt"/>
              <a:ea typeface="+mn-ea"/>
              <a:cs typeface="+mn-cs"/>
            </a:rPr>
            <a:t>B) Risk transfers to the buyer on dispatch from our factory/warehouse.</a:t>
          </a:r>
        </a:p>
        <a:p>
          <a:endParaRPr lang="en-IN" sz="500" b="1" i="0" u="none" strike="noStrike" baseline="0">
            <a:latin typeface="+mn-lt"/>
            <a:ea typeface="+mn-ea"/>
            <a:cs typeface="+mn-cs"/>
          </a:endParaRPr>
        </a:p>
        <a:p>
          <a:r>
            <a:rPr lang="en-IN" sz="1000" b="1" i="0" u="none" strike="noStrike" baseline="0">
              <a:latin typeface="+mn-lt"/>
              <a:ea typeface="+mn-ea"/>
              <a:cs typeface="+mn-cs"/>
            </a:rPr>
            <a:t>Transport:</a:t>
          </a:r>
        </a:p>
        <a:p>
          <a:r>
            <a:rPr lang="en-IN" sz="1000" b="0" i="0" u="none" strike="noStrike" baseline="0">
              <a:latin typeface="+mn-lt"/>
              <a:ea typeface="+mn-ea"/>
              <a:cs typeface="+mn-cs"/>
            </a:rPr>
            <a:t>A) Transportation will be arranged by the buyer. If arranged by the seller, freight will be charged at actuals.</a:t>
          </a:r>
        </a:p>
        <a:p>
          <a:r>
            <a:rPr lang="en-IN" sz="1000" b="0" i="0" u="none" strike="noStrike" baseline="0">
              <a:latin typeface="+mn-lt"/>
              <a:ea typeface="+mn-ea"/>
              <a:cs typeface="+mn-cs"/>
            </a:rPr>
            <a:t>Order Confirmation &amp; Cancellation:</a:t>
          </a:r>
        </a:p>
        <a:p>
          <a:r>
            <a:rPr lang="en-IN" sz="1000" b="0" i="0" u="none" strike="noStrike" baseline="0">
              <a:latin typeface="+mn-lt"/>
              <a:ea typeface="+mn-ea"/>
              <a:cs typeface="+mn-cs"/>
            </a:rPr>
            <a:t>A) Orders once confirmed cannot be cancelled without written approval.</a:t>
          </a:r>
        </a:p>
        <a:p>
          <a:r>
            <a:rPr lang="en-IN" sz="1000" b="0" i="0" u="none" strike="noStrike" baseline="0">
              <a:latin typeface="+mn-lt"/>
              <a:ea typeface="+mn-ea"/>
              <a:cs typeface="+mn-cs"/>
            </a:rPr>
            <a:t>B) In case of cancellation, the buyer shall bear costs incurred up to that point (raw material booking, processing, etc.).</a:t>
          </a:r>
        </a:p>
        <a:p>
          <a:endParaRPr lang="en-IN" sz="500" b="1" i="0" u="none" strike="noStrike" baseline="0">
            <a:latin typeface="+mn-lt"/>
            <a:ea typeface="+mn-ea"/>
            <a:cs typeface="+mn-cs"/>
          </a:endParaRPr>
        </a:p>
        <a:p>
          <a:r>
            <a:rPr lang="en-IN" sz="1000" b="1" i="0" u="none" strike="noStrike" baseline="0">
              <a:latin typeface="+mn-lt"/>
              <a:ea typeface="+mn-ea"/>
              <a:cs typeface="+mn-cs"/>
            </a:rPr>
            <a:t>Quality &amp; Standards:</a:t>
          </a:r>
        </a:p>
        <a:p>
          <a:r>
            <a:rPr lang="en-IN" sz="1000" b="0" i="0" u="none" strike="noStrike" baseline="0">
              <a:latin typeface="+mn-lt"/>
              <a:ea typeface="+mn-ea"/>
              <a:cs typeface="+mn-cs"/>
            </a:rPr>
            <a:t>A)Bags will be supplied as per mutually agreed specifications (Denier, GSM, Mesh, Colour, Printing, BOPP Lamination, etc.).</a:t>
          </a:r>
        </a:p>
        <a:p>
          <a:r>
            <a:rPr lang="en-IN" sz="1000" b="0" i="0" u="none" strike="noStrike" baseline="0">
              <a:latin typeface="+mn-lt"/>
              <a:ea typeface="+mn-ea"/>
              <a:cs typeface="+mn-cs"/>
            </a:rPr>
            <a:t>B) Variations of ±5% in weight, size, and colour shade are considered acceptable as per industry norms and BIS standards.</a:t>
          </a:r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 editAs="oneCell">
    <xdr:from>
      <xdr:col>12</xdr:col>
      <xdr:colOff>635000</xdr:colOff>
      <xdr:row>6</xdr:row>
      <xdr:rowOff>25400</xdr:rowOff>
    </xdr:from>
    <xdr:to>
      <xdr:col>13</xdr:col>
      <xdr:colOff>183821</xdr:colOff>
      <xdr:row>7</xdr:row>
      <xdr:rowOff>16510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EFBF3BF9-0FF9-4ED6-8945-B19631419092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0400" y="889000"/>
          <a:ext cx="209221" cy="175260"/>
        </a:xfrm>
        <a:prstGeom prst="rect">
          <a:avLst/>
        </a:prstGeom>
      </xdr:spPr>
    </xdr:pic>
    <xdr:clientData/>
  </xdr:twoCellAnchor>
  <xdr:twoCellAnchor editAs="oneCell">
    <xdr:from>
      <xdr:col>12</xdr:col>
      <xdr:colOff>628650</xdr:colOff>
      <xdr:row>7</xdr:row>
      <xdr:rowOff>63500</xdr:rowOff>
    </xdr:from>
    <xdr:to>
      <xdr:col>13</xdr:col>
      <xdr:colOff>190171</xdr:colOff>
      <xdr:row>8</xdr:row>
      <xdr:rowOff>67310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186FBAD3-8CA0-43C3-BC42-182B33DE794F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4050" y="1111250"/>
          <a:ext cx="221921" cy="187960"/>
        </a:xfrm>
        <a:prstGeom prst="rect">
          <a:avLst/>
        </a:prstGeom>
      </xdr:spPr>
    </xdr:pic>
    <xdr:clientData/>
  </xdr:twoCellAnchor>
  <xdr:twoCellAnchor editAs="oneCell">
    <xdr:from>
      <xdr:col>17</xdr:col>
      <xdr:colOff>95250</xdr:colOff>
      <xdr:row>1</xdr:row>
      <xdr:rowOff>12700</xdr:rowOff>
    </xdr:from>
    <xdr:to>
      <xdr:col>18</xdr:col>
      <xdr:colOff>127593</xdr:colOff>
      <xdr:row>4</xdr:row>
      <xdr:rowOff>171450</xdr:rowOff>
    </xdr:to>
    <xdr:pic macro="[0]!ThisWorkbook.printquote1">
      <xdr:nvPicPr>
        <xdr:cNvPr id="4" name="Picture 3">
          <a:extLst>
            <a:ext uri="{FF2B5EF4-FFF2-40B4-BE49-F238E27FC236}">
              <a16:creationId xmlns:a16="http://schemas.microsoft.com/office/drawing/2014/main" id="{CC83763F-B1DB-6CD0-98C8-C61D5697C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4150" y="76200"/>
          <a:ext cx="705443" cy="5905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44447</xdr:colOff>
      <xdr:row>3</xdr:row>
      <xdr:rowOff>37613</xdr:rowOff>
    </xdr:from>
    <xdr:ext cx="530023" cy="501468"/>
    <xdr:pic>
      <xdr:nvPicPr>
        <xdr:cNvPr id="2" name="Picture 1">
          <a:extLst>
            <a:ext uri="{FF2B5EF4-FFF2-40B4-BE49-F238E27FC236}">
              <a16:creationId xmlns:a16="http://schemas.microsoft.com/office/drawing/2014/main" id="{D5C15E08-293A-443C-8E6E-9BAAF020DD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565" t="4399" r="7871" b="15509"/>
        <a:stretch/>
      </xdr:blipFill>
      <xdr:spPr>
        <a:xfrm>
          <a:off x="1873247" y="590063"/>
          <a:ext cx="530023" cy="501468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oneCellAnchor>
  <xdr:oneCellAnchor>
    <xdr:from>
      <xdr:col>3</xdr:col>
      <xdr:colOff>534751</xdr:colOff>
      <xdr:row>2</xdr:row>
      <xdr:rowOff>55430</xdr:rowOff>
    </xdr:from>
    <xdr:ext cx="7364264" cy="61415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AD07D847-7944-4625-99CB-2AF0AFCA2D10}"/>
            </a:ext>
          </a:extLst>
        </xdr:cNvPr>
        <xdr:cNvSpPr/>
      </xdr:nvSpPr>
      <xdr:spPr>
        <a:xfrm>
          <a:off x="707933" y="193975"/>
          <a:ext cx="7364264" cy="614152"/>
        </a:xfrm>
        <a:prstGeom prst="rect">
          <a:avLst/>
        </a:prstGeom>
        <a:noFill/>
        <a:effectLst/>
      </xdr:spPr>
      <xdr:txBody>
        <a:bodyPr wrap="none" lIns="91440" tIns="45720" rIns="91440" bIns="45720" anchor="ctr">
          <a:noAutofit/>
        </a:bodyPr>
        <a:lstStyle/>
        <a:p>
          <a:pPr algn="l"/>
          <a:r>
            <a:rPr lang="en-US" sz="4000" b="1" cap="none" spc="0">
              <a:ln w="22225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/>
              <a:latin typeface="Aptos" panose="020B0004020202020204" pitchFamily="34" charset="0"/>
            </a:rPr>
            <a:t>MAHAIND</a:t>
          </a:r>
          <a:r>
            <a:rPr lang="en-US" sz="4000" b="1" cap="none" spc="0" baseline="0">
              <a:ln w="22225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/>
              <a:latin typeface="Aptos" panose="020B0004020202020204" pitchFamily="34" charset="0"/>
            </a:rPr>
            <a:t> OVERSEAS PVT LTD</a:t>
          </a:r>
          <a:endParaRPr lang="en-US" sz="4000" b="1" cap="none" spc="0">
            <a:ln w="22225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/>
            <a:latin typeface="Aptos" panose="020B0004020202020204" pitchFamily="34" charset="0"/>
          </a:endParaRPr>
        </a:p>
      </xdr:txBody>
    </xdr:sp>
    <xdr:clientData/>
  </xdr:oneCellAnchor>
  <xdr:twoCellAnchor>
    <xdr:from>
      <xdr:col>7</xdr:col>
      <xdr:colOff>39076</xdr:colOff>
      <xdr:row>28</xdr:row>
      <xdr:rowOff>47622</xdr:rowOff>
    </xdr:from>
    <xdr:to>
      <xdr:col>7</xdr:col>
      <xdr:colOff>1083076</xdr:colOff>
      <xdr:row>29</xdr:row>
      <xdr:rowOff>231238</xdr:rowOff>
    </xdr:to>
    <xdr:sp macro="[0]!ThisWorkbook.orderdat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B3924F-6158-4129-B40D-5FE622C3D06B}"/>
            </a:ext>
          </a:extLst>
        </xdr:cNvPr>
        <xdr:cNvSpPr/>
      </xdr:nvSpPr>
      <xdr:spPr>
        <a:xfrm>
          <a:off x="4306276" y="5203822"/>
          <a:ext cx="567750" cy="323316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Date</a:t>
          </a:r>
        </a:p>
      </xdr:txBody>
    </xdr:sp>
    <xdr:clientData/>
  </xdr:twoCellAnchor>
  <xdr:oneCellAnchor>
    <xdr:from>
      <xdr:col>35</xdr:col>
      <xdr:colOff>53259</xdr:colOff>
      <xdr:row>2</xdr:row>
      <xdr:rowOff>1</xdr:rowOff>
    </xdr:from>
    <xdr:ext cx="846666" cy="846666"/>
    <xdr:pic macro="[0]!ThisWorkbook.printquote">
      <xdr:nvPicPr>
        <xdr:cNvPr id="5" name="Picture 4">
          <a:extLst>
            <a:ext uri="{FF2B5EF4-FFF2-40B4-BE49-F238E27FC236}">
              <a16:creationId xmlns:a16="http://schemas.microsoft.com/office/drawing/2014/main" id="{E2453C7C-A041-4D89-A8D1-71E60BE8CD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52614" y="122904"/>
          <a:ext cx="846666" cy="846666"/>
        </a:xfrm>
        <a:prstGeom prst="rect">
          <a:avLst/>
        </a:prstGeom>
      </xdr:spPr>
    </xdr:pic>
    <xdr:clientData/>
  </xdr:oneCellAnchor>
  <xdr:twoCellAnchor>
    <xdr:from>
      <xdr:col>35</xdr:col>
      <xdr:colOff>72905</xdr:colOff>
      <xdr:row>7</xdr:row>
      <xdr:rowOff>206856</xdr:rowOff>
    </xdr:from>
    <xdr:to>
      <xdr:col>36</xdr:col>
      <xdr:colOff>256048</xdr:colOff>
      <xdr:row>12</xdr:row>
      <xdr:rowOff>51208</xdr:rowOff>
    </xdr:to>
    <xdr:sp macro="[0]!ThisWorkbook.Quot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28F59F2C-0A4E-83CC-C2CA-B2C7D4E864E8}"/>
            </a:ext>
          </a:extLst>
        </xdr:cNvPr>
        <xdr:cNvSpPr/>
      </xdr:nvSpPr>
      <xdr:spPr>
        <a:xfrm>
          <a:off x="18672260" y="1036453"/>
          <a:ext cx="797659" cy="68419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50"/>
            <a:t>Quote</a:t>
          </a:r>
        </a:p>
        <a:p>
          <a:pPr algn="ctr"/>
          <a:r>
            <a:rPr lang="en-IN" sz="1650"/>
            <a:t>Save</a:t>
          </a:r>
        </a:p>
      </xdr:txBody>
    </xdr:sp>
    <xdr:clientData/>
  </xdr:twoCellAnchor>
  <xdr:twoCellAnchor>
    <xdr:from>
      <xdr:col>35</xdr:col>
      <xdr:colOff>71675</xdr:colOff>
      <xdr:row>13</xdr:row>
      <xdr:rowOff>113450</xdr:rowOff>
    </xdr:from>
    <xdr:to>
      <xdr:col>36</xdr:col>
      <xdr:colOff>245806</xdr:colOff>
      <xdr:row>17</xdr:row>
      <xdr:rowOff>172883</xdr:rowOff>
    </xdr:to>
    <xdr:sp macro="[0]!ThisWorkbook.productionplan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C4559D6E-71E7-4DB5-9C09-95C9E164E5AF}"/>
            </a:ext>
          </a:extLst>
        </xdr:cNvPr>
        <xdr:cNvSpPr/>
      </xdr:nvSpPr>
      <xdr:spPr>
        <a:xfrm>
          <a:off x="18671030" y="1844337"/>
          <a:ext cx="788647" cy="673949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50"/>
            <a:t>Prod.</a:t>
          </a:r>
        </a:p>
        <a:p>
          <a:pPr algn="ctr"/>
          <a:r>
            <a:rPr lang="en-IN" sz="1650"/>
            <a:t>Plan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5E6652C-9D9E-4B3D-9B70-C8B0403B0967}" name="Table15" displayName="Table15" ref="W1:W11" totalsRowShown="0" headerRowDxfId="36" dataDxfId="35" tableBorderDxfId="34">
  <autoFilter ref="W1:W11" xr:uid="{D5E6652C-9D9E-4B3D-9B70-C8B0403B0967}"/>
  <tableColumns count="1">
    <tableColumn id="1" xr3:uid="{B2878694-F4A9-41D4-9851-693C2806726B}" name="MOPLSANT-18825-26" dataDxfId="3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308C22-0D79-4927-A2C1-BBD8C90A4EA4}" name="ProductionType" displayName="ProductionType" ref="A1:A3" totalsRowShown="0" headerRowDxfId="21" dataDxfId="20">
  <autoFilter ref="A1:A3" xr:uid="{35308C22-0D79-4927-A2C1-BBD8C90A4EA4}"/>
  <tableColumns count="1">
    <tableColumn id="1" xr3:uid="{11B93556-2683-45E7-9938-BFF0A313CA25}" name="Production Type" dataDxfId="1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EA194F3-96C8-484C-94AE-CA5A045113BB}" name="BagCertification" displayName="BagCertification" ref="B1:B3" totalsRowShown="0" headerRowDxfId="18" dataDxfId="17">
  <autoFilter ref="B1:B3" xr:uid="{9EA194F3-96C8-484C-94AE-CA5A045113BB}"/>
  <tableColumns count="1">
    <tableColumn id="1" xr3:uid="{417541ED-3EA5-4657-AEC8-D0A6E2892D60}" name="Bag Certification" dataDxfId="1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D896D5E-F27B-42C0-BCEA-6BCA646FE6FA}" name="BagType" displayName="BagType" ref="C1:C6" totalsRowShown="0" headerRowDxfId="15" dataDxfId="14">
  <autoFilter ref="C1:C6" xr:uid="{ED896D5E-F27B-42C0-BCEA-6BCA646FE6FA}"/>
  <tableColumns count="1">
    <tableColumn id="1" xr3:uid="{EB606810-4F43-4F36-82CB-681D730CFA9D}" name="Bag Type" dataDxfId="1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EFC9E7E-2021-4600-8A3E-365F3B1725A0}" name="Liner" displayName="Liner" ref="D1:D4" totalsRowShown="0" headerRowDxfId="12" dataDxfId="11">
  <autoFilter ref="D1:D4" xr:uid="{5EFC9E7E-2021-4600-8A3E-365F3B1725A0}"/>
  <tableColumns count="1">
    <tableColumn id="1" xr3:uid="{7497054F-3C6D-40CB-A662-2F83C5DC6201}" name="Liner" dataDxfId="1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F03B198-756D-4172-846C-A588C11A2F41}" name="BagWeight" displayName="BagWeight" ref="E1:E16" totalsRowShown="0" headerRowDxfId="9" dataDxfId="8">
  <autoFilter ref="E1:E16" xr:uid="{7F03B198-756D-4172-846C-A588C11A2F41}"/>
  <tableColumns count="1">
    <tableColumn id="1" xr3:uid="{983560A1-BB01-4211-BA37-9B77117D066A}" name="Bag Weight" dataDxfId="7">
      <calculatedColumnFormula>E1+5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69146CF-16A2-4AA3-B279-51AA4B3E1946}" name="LinerWeight" displayName="LinerWeight" ref="F1:F8" totalsRowShown="0" headerRowDxfId="6" dataDxfId="5">
  <autoFilter ref="F1:F8" xr:uid="{769146CF-16A2-4AA3-B279-51AA4B3E1946}"/>
  <tableColumns count="1">
    <tableColumn id="1" xr3:uid="{582A734A-AC6A-42CC-8192-4E4795C82845}" name="Liner Weight" dataDxfId="4">
      <calculatedColumnFormula>F1+5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8884926-6856-47FB-9B29-47CE832A6506}" name="Mess" displayName="Mess" ref="G1:G4" totalsRowShown="0" dataDxfId="3">
  <autoFilter ref="G1:G4" xr:uid="{E8884926-6856-47FB-9B29-47CE832A6506}"/>
  <tableColumns count="1">
    <tableColumn id="1" xr3:uid="{7393191A-5B49-48E2-897A-86D0E0618CF3}" name="Mess" dataDxfId="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16A41E-54E5-4DBD-B71F-97C49FBFA226}" name="Colour" displayName="Colour" ref="H1:H13" totalsRowShown="0">
  <autoFilter ref="H1:H13" xr:uid="{8816A41E-54E5-4DBD-B71F-97C49FBFA226}"/>
  <tableColumns count="1">
    <tableColumn id="1" xr3:uid="{6BFAFB79-9747-4100-9AFA-119F53EE8198}" name="Colour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174145F-34E2-43C6-BADF-BE342E53D317}" name="Size" displayName="Size" ref="I1:I12" totalsRowShown="0">
  <autoFilter ref="I1:I12" xr:uid="{5174145F-34E2-43C6-BADF-BE342E53D317}"/>
  <tableColumns count="1">
    <tableColumn id="1" xr3:uid="{29D9C76D-CC62-436C-A5CF-2683F77C4D1E}" name="Bag Siz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80E5080-AA22-47CF-AC60-FD42C655B03B}" name="Bottom" displayName="Bottom" ref="K1:K14" totalsRowShown="0">
  <autoFilter ref="K1:K14" xr:uid="{780E5080-AA22-47CF-AC60-FD42C655B03B}"/>
  <tableColumns count="1">
    <tableColumn id="1" xr3:uid="{61404BCD-84F9-4097-8D80-A91598B981D3}" name="Stitching Type (Bottom)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148FEAE-E91F-4744-B7B0-5F61C856CAFB}" name="Table11" displayName="Table11" ref="L1:L5" totalsRowShown="0">
  <autoFilter ref="L1:L5" xr:uid="{9148FEAE-E91F-4744-B7B0-5F61C856CAFB}"/>
  <tableColumns count="1">
    <tableColumn id="1" xr3:uid="{833864CD-2634-4A4C-8EF8-297F5EBB3BFD}" name="Fabric Typ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3EEAB2C-A6CD-4FAD-A6F9-E693AA5D5D6D}" name="Top" displayName="Top" ref="J1:J15" totalsRowShown="0" dataDxfId="1">
  <autoFilter ref="J1:J15" xr:uid="{B3EEAB2C-A6CD-4FAD-A6F9-E693AA5D5D6D}"/>
  <tableColumns count="1">
    <tableColumn id="1" xr3:uid="{05B4D986-CBFA-4611-B1A2-3745B9D0AD33}" name="Stitching Type (TOP)" dataDxfId="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12014D-346F-4EB2-8DFD-AB8641E41679}" name="Creditterms" displayName="Creditterms" ref="M1:M10" totalsRowShown="0">
  <autoFilter ref="M1:M10" xr:uid="{8B12014D-346F-4EB2-8DFD-AB8641E41679}"/>
  <tableColumns count="1">
    <tableColumn id="1" xr3:uid="{7A9F50C5-13E4-4C4F-815F-565E728F6D3F}" name="Credit Ter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32496-C939-4D44-9704-8C3A78F08BED}">
  <sheetPr codeName="Sheet5"/>
  <dimension ref="A1:X70"/>
  <sheetViews>
    <sheetView showGridLines="0" showRowColHeaders="0" zoomScaleNormal="100" workbookViewId="0">
      <selection activeCell="N11" sqref="N11:P11"/>
    </sheetView>
  </sheetViews>
  <sheetFormatPr defaultColWidth="0" defaultRowHeight="14.5" zeroHeight="1" x14ac:dyDescent="0.35"/>
  <cols>
    <col min="1" max="3" width="0.81640625" style="6" customWidth="1"/>
    <col min="4" max="4" width="8.7265625" style="6" customWidth="1"/>
    <col min="5" max="5" width="0.81640625" style="6" customWidth="1"/>
    <col min="6" max="7" width="8.7265625" style="6" customWidth="1"/>
    <col min="8" max="8" width="0.81640625" style="6" customWidth="1"/>
    <col min="9" max="9" width="16.6328125" style="6" customWidth="1"/>
    <col min="10" max="12" width="8.7265625" style="6" customWidth="1"/>
    <col min="13" max="13" width="9.453125" style="6" bestFit="1" customWidth="1"/>
    <col min="14" max="16" width="8.7265625" style="6" customWidth="1"/>
    <col min="17" max="17" width="1.6328125" style="6" customWidth="1"/>
    <col min="18" max="21" width="9.6328125" style="6" customWidth="1"/>
    <col min="22" max="22" width="0.81640625" style="6" customWidth="1"/>
    <col min="23" max="23" width="20.90625" style="126" hidden="1" customWidth="1"/>
    <col min="24" max="24" width="0" style="6" hidden="1" customWidth="1"/>
    <col min="25" max="16384" width="8.7265625" style="6" hidden="1"/>
  </cols>
  <sheetData>
    <row r="1" spans="4:24" ht="5" customHeight="1" x14ac:dyDescent="0.35">
      <c r="W1" s="121" t="s">
        <v>400</v>
      </c>
      <c r="X1" s="122" t="s">
        <v>383</v>
      </c>
    </row>
    <row r="2" spans="4:24" ht="5" customHeight="1" x14ac:dyDescent="0.35">
      <c r="W2" s="123" t="s">
        <v>373</v>
      </c>
      <c r="X2" s="124">
        <f>IFERROR(VLOOKUP($N$11,Quotations!$D$2:$FE$1000,158,0),"")</f>
        <v>20.99</v>
      </c>
    </row>
    <row r="3" spans="4:24" x14ac:dyDescent="0.35">
      <c r="W3" s="125" t="s">
        <v>397</v>
      </c>
      <c r="X3" s="124">
        <f>IFERROR(VLOOKUP($N$11,Quotations!$D$2:$FF$1000,159,0),"")</f>
        <v>21.77</v>
      </c>
    </row>
    <row r="4" spans="4:24" x14ac:dyDescent="0.35">
      <c r="W4" s="125" t="s">
        <v>398</v>
      </c>
    </row>
    <row r="5" spans="4:24" x14ac:dyDescent="0.35">
      <c r="W5" s="125" t="s">
        <v>406</v>
      </c>
    </row>
    <row r="6" spans="4:24" x14ac:dyDescent="0.35">
      <c r="W6" s="125" t="s">
        <v>411</v>
      </c>
    </row>
    <row r="7" spans="4:24" x14ac:dyDescent="0.35">
      <c r="W7" s="125" t="s">
        <v>417</v>
      </c>
    </row>
    <row r="8" spans="4:24" x14ac:dyDescent="0.35">
      <c r="W8" s="125" t="s">
        <v>420</v>
      </c>
    </row>
    <row r="9" spans="4:24" x14ac:dyDescent="0.35">
      <c r="W9" s="125" t="s">
        <v>420</v>
      </c>
    </row>
    <row r="10" spans="4:24" ht="5" customHeight="1" x14ac:dyDescent="0.35">
      <c r="W10" s="125" t="s">
        <v>447</v>
      </c>
    </row>
    <row r="11" spans="4:24" ht="15.5" x14ac:dyDescent="0.35">
      <c r="D11" s="127" t="s">
        <v>374</v>
      </c>
      <c r="E11" s="127"/>
      <c r="F11" s="174"/>
      <c r="G11" s="175"/>
      <c r="H11" s="175"/>
      <c r="I11" s="175"/>
      <c r="J11" s="175"/>
      <c r="K11" s="175"/>
      <c r="L11" s="176"/>
      <c r="M11" s="128" t="s">
        <v>376</v>
      </c>
      <c r="N11" s="152" t="s">
        <v>538</v>
      </c>
      <c r="O11" s="153"/>
      <c r="P11" s="154"/>
      <c r="W11" s="125" t="s">
        <v>461</v>
      </c>
    </row>
    <row r="12" spans="4:24" ht="3" customHeight="1" x14ac:dyDescent="0.35">
      <c r="D12" s="129"/>
      <c r="E12" s="129"/>
      <c r="M12" s="130"/>
      <c r="W12" s="126" t="s">
        <v>466</v>
      </c>
    </row>
    <row r="13" spans="4:24" x14ac:dyDescent="0.35">
      <c r="D13" s="131" t="s">
        <v>375</v>
      </c>
      <c r="E13" s="131"/>
      <c r="F13" s="152"/>
      <c r="G13" s="153"/>
      <c r="H13" s="153"/>
      <c r="I13" s="153"/>
      <c r="J13" s="153"/>
      <c r="K13" s="153"/>
      <c r="L13" s="154"/>
      <c r="M13" s="131" t="s">
        <v>463</v>
      </c>
      <c r="N13" s="197" t="str">
        <f>IFERROR(VLOOKUP(N11,Quotations!D:J,7,0),"")</f>
        <v>Panchganga - 170g</v>
      </c>
      <c r="O13" s="198"/>
      <c r="P13" s="199"/>
      <c r="W13" s="126" t="s">
        <v>468</v>
      </c>
    </row>
    <row r="14" spans="4:24" ht="3" customHeight="1" x14ac:dyDescent="0.35">
      <c r="W14" s="126" t="s">
        <v>468</v>
      </c>
    </row>
    <row r="15" spans="4:24" x14ac:dyDescent="0.35">
      <c r="D15" s="131" t="s">
        <v>377</v>
      </c>
      <c r="E15" s="131"/>
      <c r="F15" s="152"/>
      <c r="G15" s="153"/>
      <c r="H15" s="153"/>
      <c r="I15" s="154"/>
      <c r="J15" s="131" t="s">
        <v>378</v>
      </c>
      <c r="K15" s="152" t="s">
        <v>381</v>
      </c>
      <c r="L15" s="154"/>
      <c r="M15" s="131" t="s">
        <v>379</v>
      </c>
      <c r="N15" s="118" t="s">
        <v>380</v>
      </c>
      <c r="O15" s="131" t="s">
        <v>394</v>
      </c>
      <c r="P15" s="118"/>
      <c r="W15" s="126" t="s">
        <v>468</v>
      </c>
    </row>
    <row r="16" spans="4:24" ht="3" customHeight="1" x14ac:dyDescent="0.35">
      <c r="W16" s="126" t="s">
        <v>470</v>
      </c>
    </row>
    <row r="17" spans="4:23" ht="3" customHeight="1" x14ac:dyDescent="0.35">
      <c r="D17" s="132"/>
      <c r="E17" s="132"/>
      <c r="F17" s="132"/>
      <c r="G17" s="132"/>
      <c r="H17" s="132"/>
      <c r="I17" s="132"/>
      <c r="J17" s="132"/>
      <c r="K17" s="132"/>
      <c r="L17" s="132"/>
      <c r="M17" s="132"/>
      <c r="N17" s="132"/>
      <c r="O17" s="132"/>
      <c r="P17" s="132"/>
      <c r="W17" s="126" t="s">
        <v>471</v>
      </c>
    </row>
    <row r="18" spans="4:23" ht="3" customHeight="1" x14ac:dyDescent="0.35">
      <c r="W18" s="126" t="s">
        <v>474</v>
      </c>
    </row>
    <row r="19" spans="4:23" x14ac:dyDescent="0.35">
      <c r="D19" s="133" t="s">
        <v>382</v>
      </c>
      <c r="E19" s="155" t="s">
        <v>384</v>
      </c>
      <c r="F19" s="156"/>
      <c r="G19" s="156"/>
      <c r="H19" s="156"/>
      <c r="I19" s="156"/>
      <c r="J19" s="157"/>
      <c r="K19" s="203" t="s">
        <v>13</v>
      </c>
      <c r="L19" s="202"/>
      <c r="M19" s="134" t="s">
        <v>383</v>
      </c>
      <c r="N19" s="202" t="s">
        <v>403</v>
      </c>
      <c r="O19" s="202"/>
      <c r="P19" s="202"/>
      <c r="W19" s="126" t="s">
        <v>474</v>
      </c>
    </row>
    <row r="20" spans="4:23" x14ac:dyDescent="0.35">
      <c r="D20" s="186">
        <v>1</v>
      </c>
      <c r="E20" s="158" t="s">
        <v>93</v>
      </c>
      <c r="F20" s="159"/>
      <c r="G20" s="159"/>
      <c r="H20" s="159"/>
      <c r="I20" s="159"/>
      <c r="J20" s="160"/>
      <c r="K20" s="180">
        <f>IFERROR(VLOOKUP(N11,Quotations!D1:K996,8,0),"")</f>
        <v>2000000</v>
      </c>
      <c r="L20" s="181"/>
      <c r="M20" s="188"/>
      <c r="N20" s="161">
        <f>IFERROR((K20*M20),0)</f>
        <v>0</v>
      </c>
      <c r="O20" s="162"/>
      <c r="P20" s="163"/>
      <c r="W20" s="126" t="s">
        <v>531</v>
      </c>
    </row>
    <row r="21" spans="4:23" x14ac:dyDescent="0.35">
      <c r="D21" s="187"/>
      <c r="E21" s="135"/>
      <c r="F21" s="194" t="s">
        <v>385</v>
      </c>
      <c r="G21" s="194"/>
      <c r="I21" s="171"/>
      <c r="J21" s="172"/>
      <c r="K21" s="182"/>
      <c r="L21" s="183"/>
      <c r="M21" s="189"/>
      <c r="N21" s="164"/>
      <c r="O21" s="165"/>
      <c r="P21" s="166"/>
      <c r="W21" s="126" t="s">
        <v>538</v>
      </c>
    </row>
    <row r="22" spans="4:23" x14ac:dyDescent="0.35">
      <c r="D22" s="187"/>
      <c r="E22" s="135"/>
      <c r="F22" s="170" t="s">
        <v>390</v>
      </c>
      <c r="G22" s="170"/>
      <c r="H22" s="6" t="s">
        <v>387</v>
      </c>
      <c r="I22" s="137" t="str">
        <f>IFERROR(VLOOKUP($N$11,Quotations!$D$1:$FQ$996,170,0),"")</f>
        <v>Brown</v>
      </c>
      <c r="J22" s="138"/>
      <c r="K22" s="182"/>
      <c r="L22" s="183"/>
      <c r="M22" s="189"/>
      <c r="N22" s="164"/>
      <c r="O22" s="165"/>
      <c r="P22" s="166"/>
    </row>
    <row r="23" spans="4:23" x14ac:dyDescent="0.35">
      <c r="D23" s="187"/>
      <c r="E23" s="135"/>
      <c r="F23" s="170" t="s">
        <v>5</v>
      </c>
      <c r="G23" s="170"/>
      <c r="H23" s="6" t="s">
        <v>387</v>
      </c>
      <c r="I23" s="170" t="str">
        <f>IF(N11="","",IFERROR(VLOOKUP($N$11,Quotations!$D$1:$P$996,9,0),"")&amp;"' - "&amp;IFERROR(VLOOKUP($N$11,Quotations!$D$1:$P$996,10,0),"")&amp;"'")</f>
        <v>24' - 36'</v>
      </c>
      <c r="J23" s="173"/>
      <c r="K23" s="182"/>
      <c r="L23" s="183"/>
      <c r="M23" s="189"/>
      <c r="N23" s="164"/>
      <c r="O23" s="165"/>
      <c r="P23" s="166"/>
    </row>
    <row r="24" spans="4:23" x14ac:dyDescent="0.35">
      <c r="D24" s="187"/>
      <c r="E24" s="135"/>
      <c r="F24" s="170" t="s">
        <v>4</v>
      </c>
      <c r="G24" s="170"/>
      <c r="H24" s="6" t="s">
        <v>387</v>
      </c>
      <c r="I24" s="170" t="str">
        <f>IF(N11="","",IFERROR(VLOOKUP($N$11,Quotations!$D$1:$FW$996,176,0),"")&amp;"  grams")</f>
        <v>120  grams</v>
      </c>
      <c r="J24" s="173"/>
      <c r="K24" s="182"/>
      <c r="L24" s="183"/>
      <c r="M24" s="189"/>
      <c r="N24" s="164"/>
      <c r="O24" s="165"/>
      <c r="P24" s="166"/>
    </row>
    <row r="25" spans="4:23" x14ac:dyDescent="0.35">
      <c r="D25" s="187"/>
      <c r="E25" s="135"/>
      <c r="F25" s="170" t="s">
        <v>353</v>
      </c>
      <c r="G25" s="170"/>
      <c r="H25" s="6" t="s">
        <v>387</v>
      </c>
      <c r="I25" s="170" t="str">
        <f>IF(N11="","",IFERROR(VLOOKUP($N$11,Quotations!$D$1:$V$996,19,0),""))</f>
        <v>11 X 11</v>
      </c>
      <c r="J25" s="173"/>
      <c r="K25" s="182"/>
      <c r="L25" s="183"/>
      <c r="M25" s="189"/>
      <c r="N25" s="164"/>
      <c r="O25" s="165"/>
      <c r="P25" s="166"/>
    </row>
    <row r="26" spans="4:23" x14ac:dyDescent="0.35">
      <c r="D26" s="187"/>
      <c r="E26" s="135"/>
      <c r="F26" s="170" t="s">
        <v>22</v>
      </c>
      <c r="G26" s="170"/>
      <c r="H26" s="6" t="s">
        <v>387</v>
      </c>
      <c r="I26" s="170" t="str">
        <f>IF(N11="","",IF(VLOOKUP($N$11,Quotations!$D$1:$FS$996,172,0)&lt;&gt;"Non-Lamination","Yes","No"))</f>
        <v>No</v>
      </c>
      <c r="J26" s="173"/>
      <c r="K26" s="182"/>
      <c r="L26" s="183"/>
      <c r="M26" s="189"/>
      <c r="N26" s="164"/>
      <c r="O26" s="165"/>
      <c r="P26" s="166"/>
    </row>
    <row r="27" spans="4:23" x14ac:dyDescent="0.35">
      <c r="D27" s="187"/>
      <c r="E27" s="135"/>
      <c r="F27" s="170" t="s">
        <v>114</v>
      </c>
      <c r="G27" s="170"/>
      <c r="H27" s="6" t="s">
        <v>387</v>
      </c>
      <c r="I27" s="170" t="str">
        <f>IF(N11="","",IF(IFERROR(VLOOKUP($N$11,Quotations!$D$1:$BJ$996,59,0),"")&gt;0,"Yes","No"))</f>
        <v>Yes</v>
      </c>
      <c r="J27" s="173"/>
      <c r="K27" s="182"/>
      <c r="L27" s="183"/>
      <c r="M27" s="189"/>
      <c r="N27" s="164"/>
      <c r="O27" s="165"/>
      <c r="P27" s="166"/>
    </row>
    <row r="28" spans="4:23" x14ac:dyDescent="0.35">
      <c r="D28" s="187"/>
      <c r="E28" s="135"/>
      <c r="F28" s="170" t="s">
        <v>386</v>
      </c>
      <c r="G28" s="170"/>
      <c r="H28" s="6" t="s">
        <v>387</v>
      </c>
      <c r="I28" s="170" t="str">
        <f>IF(N11="","",IF(I27="No","-",IFERROR(VLOOKUP($N$11,Quotations!$D$1:$BJ$996,59,0),"")&amp;"  Colours"))</f>
        <v>6  Colours</v>
      </c>
      <c r="J28" s="173"/>
      <c r="K28" s="182"/>
      <c r="L28" s="183"/>
      <c r="M28" s="189"/>
      <c r="N28" s="164"/>
      <c r="O28" s="165"/>
      <c r="P28" s="166"/>
    </row>
    <row r="29" spans="4:23" x14ac:dyDescent="0.35">
      <c r="D29" s="187"/>
      <c r="E29" s="135"/>
      <c r="F29" s="170" t="s">
        <v>11</v>
      </c>
      <c r="G29" s="170"/>
      <c r="H29" s="6" t="s">
        <v>387</v>
      </c>
      <c r="I29" s="170" t="str">
        <f>IFERROR(VLOOKUP($N$11,Quotations!$D$1:$FT$996,173,0),"")</f>
        <v>Folded and Stitched (Top Hemming)</v>
      </c>
      <c r="J29" s="173"/>
      <c r="K29" s="182"/>
      <c r="L29" s="183"/>
      <c r="M29" s="189"/>
      <c r="N29" s="164"/>
      <c r="O29" s="165"/>
      <c r="P29" s="166"/>
    </row>
    <row r="30" spans="4:23" x14ac:dyDescent="0.35">
      <c r="D30" s="187"/>
      <c r="E30" s="135"/>
      <c r="F30" s="170" t="s">
        <v>12</v>
      </c>
      <c r="G30" s="170"/>
      <c r="H30" s="6" t="s">
        <v>387</v>
      </c>
      <c r="I30" s="170" t="str">
        <f>IFERROR(VLOOKUP($N$11,Quotations!$D$1:$FU$996,174,0),"")</f>
        <v>Double Fold Double Stitch (DFDS)</v>
      </c>
      <c r="J30" s="173"/>
      <c r="K30" s="182"/>
      <c r="L30" s="183"/>
      <c r="M30" s="189"/>
      <c r="N30" s="164"/>
      <c r="O30" s="165"/>
      <c r="P30" s="166"/>
    </row>
    <row r="31" spans="4:23" x14ac:dyDescent="0.35">
      <c r="D31" s="177">
        <v>2</v>
      </c>
      <c r="E31" s="191" t="s">
        <v>6</v>
      </c>
      <c r="F31" s="192"/>
      <c r="G31" s="192"/>
      <c r="H31" s="192"/>
      <c r="I31" s="192"/>
      <c r="J31" s="193"/>
      <c r="K31" s="182"/>
      <c r="L31" s="183"/>
      <c r="M31" s="189"/>
      <c r="N31" s="164"/>
      <c r="O31" s="165"/>
      <c r="P31" s="166"/>
    </row>
    <row r="32" spans="4:23" x14ac:dyDescent="0.35">
      <c r="D32" s="178"/>
      <c r="E32" s="135"/>
      <c r="F32" s="194" t="s">
        <v>385</v>
      </c>
      <c r="G32" s="194"/>
      <c r="I32" s="170"/>
      <c r="J32" s="170"/>
      <c r="K32" s="182"/>
      <c r="L32" s="183"/>
      <c r="M32" s="189"/>
      <c r="N32" s="164"/>
      <c r="O32" s="165"/>
      <c r="P32" s="166"/>
    </row>
    <row r="33" spans="4:16" x14ac:dyDescent="0.35">
      <c r="D33" s="178"/>
      <c r="E33" s="135"/>
      <c r="F33" s="170" t="s">
        <v>388</v>
      </c>
      <c r="G33" s="170"/>
      <c r="H33" s="6" t="s">
        <v>387</v>
      </c>
      <c r="I33" s="137" t="str">
        <f>IFERROR(IF(VLOOKUP($N$11,Quotations!$D$2:$FR$1000,171,0)="No","No","Yes"),"")</f>
        <v>Yes</v>
      </c>
      <c r="J33" s="137"/>
      <c r="K33" s="182"/>
      <c r="L33" s="183"/>
      <c r="M33" s="189"/>
      <c r="N33" s="164"/>
      <c r="O33" s="165"/>
      <c r="P33" s="166"/>
    </row>
    <row r="34" spans="4:16" x14ac:dyDescent="0.35">
      <c r="D34" s="178"/>
      <c r="E34" s="135"/>
      <c r="F34" s="137" t="s">
        <v>389</v>
      </c>
      <c r="G34" s="137"/>
      <c r="H34" s="6" t="s">
        <v>387</v>
      </c>
      <c r="I34" s="137" t="str">
        <f>IF(I33="No","-",IFERROR(VLOOKUP($N$11,Quotations!$D$2:$FR$1000,171,0),""))</f>
        <v>Natural</v>
      </c>
      <c r="J34" s="137"/>
      <c r="K34" s="182"/>
      <c r="L34" s="183"/>
      <c r="M34" s="189"/>
      <c r="N34" s="164"/>
      <c r="O34" s="165"/>
      <c r="P34" s="166"/>
    </row>
    <row r="35" spans="4:16" x14ac:dyDescent="0.35">
      <c r="D35" s="179"/>
      <c r="E35" s="139"/>
      <c r="F35" s="195" t="s">
        <v>7</v>
      </c>
      <c r="G35" s="195"/>
      <c r="H35" s="140" t="s">
        <v>387</v>
      </c>
      <c r="I35" s="195">
        <f>IF(I33="No","-",(IFERROR(VLOOKUP($N$11,Quotations!$D$2:$FX$1000,177,0),"")))</f>
        <v>50</v>
      </c>
      <c r="J35" s="206" t="str">
        <f>IFERROR(VLOOKUP($N$11,Quotations!$D$2:$FR$1000,171,0),"")</f>
        <v>Natural</v>
      </c>
      <c r="K35" s="184"/>
      <c r="L35" s="185"/>
      <c r="M35" s="190"/>
      <c r="N35" s="167"/>
      <c r="O35" s="168"/>
      <c r="P35" s="169"/>
    </row>
    <row r="36" spans="4:16" ht="3" customHeight="1" x14ac:dyDescent="0.35"/>
    <row r="37" spans="4:16" ht="3" customHeight="1" x14ac:dyDescent="0.35">
      <c r="D37" s="132"/>
      <c r="E37" s="132"/>
      <c r="F37" s="132"/>
      <c r="G37" s="132"/>
      <c r="H37" s="132"/>
      <c r="I37" s="132"/>
      <c r="J37" s="132"/>
      <c r="K37" s="132"/>
      <c r="L37" s="132"/>
      <c r="M37" s="132"/>
      <c r="N37" s="132"/>
      <c r="O37" s="132"/>
      <c r="P37" s="132"/>
    </row>
    <row r="38" spans="4:16" ht="3" customHeight="1" x14ac:dyDescent="0.35"/>
    <row r="39" spans="4:16" x14ac:dyDescent="0.35">
      <c r="K39" s="196" t="s">
        <v>404</v>
      </c>
      <c r="L39" s="196"/>
      <c r="M39" s="196"/>
      <c r="N39" s="196">
        <f>N20</f>
        <v>0</v>
      </c>
      <c r="O39" s="196"/>
      <c r="P39" s="196"/>
    </row>
    <row r="40" spans="4:16" x14ac:dyDescent="0.35">
      <c r="K40" s="204" t="s">
        <v>391</v>
      </c>
      <c r="L40" s="204"/>
      <c r="M40" s="204"/>
      <c r="N40" s="200">
        <v>0</v>
      </c>
      <c r="O40" s="200"/>
      <c r="P40" s="200"/>
    </row>
    <row r="41" spans="4:16" x14ac:dyDescent="0.35">
      <c r="K41" s="196" t="s">
        <v>392</v>
      </c>
      <c r="L41" s="196"/>
      <c r="M41" s="196"/>
      <c r="N41" s="196">
        <f>N39-(N39*N40)</f>
        <v>0</v>
      </c>
      <c r="O41" s="196"/>
      <c r="P41" s="196"/>
    </row>
    <row r="42" spans="4:16" ht="15.5" x14ac:dyDescent="0.35">
      <c r="K42" s="205" t="s">
        <v>395</v>
      </c>
      <c r="L42" s="205"/>
      <c r="M42" s="205"/>
      <c r="N42" s="201">
        <v>0.18</v>
      </c>
      <c r="O42" s="201"/>
      <c r="P42" s="201"/>
    </row>
    <row r="43" spans="4:16" x14ac:dyDescent="0.35">
      <c r="K43" s="196" t="s">
        <v>393</v>
      </c>
      <c r="L43" s="196"/>
      <c r="M43" s="196"/>
      <c r="N43" s="196">
        <f>N41+(N41*N42)</f>
        <v>0</v>
      </c>
      <c r="O43" s="196"/>
      <c r="P43" s="196"/>
    </row>
    <row r="44" spans="4:16" ht="3" customHeight="1" x14ac:dyDescent="0.35"/>
    <row r="45" spans="4:16" ht="3" customHeight="1" x14ac:dyDescent="0.35">
      <c r="D45" s="132"/>
      <c r="E45" s="132"/>
      <c r="F45" s="132"/>
      <c r="G45" s="132"/>
      <c r="H45" s="132"/>
      <c r="I45" s="132"/>
      <c r="J45" s="132"/>
      <c r="K45" s="132"/>
      <c r="L45" s="132"/>
      <c r="M45" s="132"/>
      <c r="N45" s="132"/>
      <c r="O45" s="132"/>
      <c r="P45" s="132"/>
    </row>
    <row r="46" spans="4:16" ht="3" customHeight="1" x14ac:dyDescent="0.35"/>
    <row r="47" spans="4:16" x14ac:dyDescent="0.35"/>
    <row r="48" spans="4:16" x14ac:dyDescent="0.35"/>
    <row r="49" x14ac:dyDescent="0.35"/>
    <row r="50" x14ac:dyDescent="0.35"/>
    <row r="51" x14ac:dyDescent="0.35"/>
    <row r="52" x14ac:dyDescent="0.35"/>
    <row r="53" x14ac:dyDescent="0.35"/>
    <row r="54" x14ac:dyDescent="0.35"/>
    <row r="55" x14ac:dyDescent="0.35"/>
    <row r="56" x14ac:dyDescent="0.35"/>
    <row r="57" x14ac:dyDescent="0.35"/>
    <row r="58" x14ac:dyDescent="0.35"/>
    <row r="59" x14ac:dyDescent="0.35"/>
    <row r="60" x14ac:dyDescent="0.35"/>
    <row r="61" x14ac:dyDescent="0.35"/>
    <row r="62" x14ac:dyDescent="0.35"/>
    <row r="63" x14ac:dyDescent="0.35"/>
    <row r="64" x14ac:dyDescent="0.35"/>
    <row r="65" x14ac:dyDescent="0.35"/>
    <row r="66" x14ac:dyDescent="0.35"/>
    <row r="67" x14ac:dyDescent="0.35"/>
    <row r="68" x14ac:dyDescent="0.35"/>
    <row r="69" x14ac:dyDescent="0.35"/>
    <row r="70" ht="5" customHeight="1" x14ac:dyDescent="0.35"/>
  </sheetData>
  <sheetProtection algorithmName="SHA-512" hashValue="UfL4zmZGH0eRcWfRjkH78z1B5vPb8ozKXqEbyi9WDi5OxClcOIMLWrqHFNKtxa5CkozP844OOuzs5BNy9KKkPA==" saltValue="W6rNRsJ+s6pfHUAy6qDsxA==" spinCount="100000" sheet="1" objects="1" scenarios="1"/>
  <mergeCells count="50">
    <mergeCell ref="K43:M43"/>
    <mergeCell ref="F13:L13"/>
    <mergeCell ref="N13:P13"/>
    <mergeCell ref="K15:L15"/>
    <mergeCell ref="N39:P39"/>
    <mergeCell ref="N40:P40"/>
    <mergeCell ref="N41:P41"/>
    <mergeCell ref="N42:P42"/>
    <mergeCell ref="N19:P19"/>
    <mergeCell ref="K19:L19"/>
    <mergeCell ref="K39:M39"/>
    <mergeCell ref="K40:M40"/>
    <mergeCell ref="K41:M41"/>
    <mergeCell ref="K42:M42"/>
    <mergeCell ref="N43:P43"/>
    <mergeCell ref="I35:J35"/>
    <mergeCell ref="M20:M35"/>
    <mergeCell ref="F33:G33"/>
    <mergeCell ref="E31:J31"/>
    <mergeCell ref="F32:G32"/>
    <mergeCell ref="I32:J32"/>
    <mergeCell ref="F35:G35"/>
    <mergeCell ref="I30:J30"/>
    <mergeCell ref="F26:G26"/>
    <mergeCell ref="F27:G27"/>
    <mergeCell ref="F28:G28"/>
    <mergeCell ref="I28:J28"/>
    <mergeCell ref="I29:J29"/>
    <mergeCell ref="F21:G21"/>
    <mergeCell ref="F11:L11"/>
    <mergeCell ref="F22:G22"/>
    <mergeCell ref="D31:D35"/>
    <mergeCell ref="K20:L35"/>
    <mergeCell ref="D20:D30"/>
    <mergeCell ref="N11:P11"/>
    <mergeCell ref="F15:I15"/>
    <mergeCell ref="E19:J19"/>
    <mergeCell ref="E20:J20"/>
    <mergeCell ref="N20:P35"/>
    <mergeCell ref="F29:G29"/>
    <mergeCell ref="F30:G30"/>
    <mergeCell ref="I21:J21"/>
    <mergeCell ref="I23:J23"/>
    <mergeCell ref="I24:J24"/>
    <mergeCell ref="I25:J25"/>
    <mergeCell ref="I26:J26"/>
    <mergeCell ref="I27:J27"/>
    <mergeCell ref="F23:G23"/>
    <mergeCell ref="F24:G24"/>
    <mergeCell ref="F25:G25"/>
  </mergeCells>
  <dataValidations count="2">
    <dataValidation type="list" allowBlank="1" showInputMessage="1" showErrorMessage="1" sqref="M20:M35" xr:uid="{E78F67A9-9BE6-474C-AADC-C8FEEBBCB867}">
      <formula1>$X$2:$X$3</formula1>
    </dataValidation>
    <dataValidation type="list" allowBlank="1" showInputMessage="1" showErrorMessage="1" sqref="N11:P11" xr:uid="{C1AAFB7A-190D-4BE7-A408-9288408D0598}">
      <formula1>$W$2:$W$11</formula1>
    </dataValidation>
  </dataValidations>
  <printOptions horizontalCentered="1" verticalCentered="1"/>
  <pageMargins left="0.25" right="0.25" top="0.75" bottom="0.75" header="0.3" footer="0.3"/>
  <pageSetup scale="80" orientation="portrait" r:id="rId1"/>
  <headerFooter>
    <oddHeader>&amp;LMahaInd Overseas Pvt Ltd&amp;CQuotation Template&amp;R&amp;G</oddHeader>
    <oddFooter>&amp;LR/MAHAIND/QOUT/001 - Operations Sensetive&amp;CPage &amp;P&amp;REffective 1 August  2025</oddFooter>
  </headerFooter>
  <drawing r:id="rId2"/>
  <legacyDrawingHF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23A2B-CED8-4195-A8ED-AFCB03B2E9CB}">
  <sheetPr codeName="Sheet1"/>
  <dimension ref="B1:AR84"/>
  <sheetViews>
    <sheetView tabSelected="1" zoomScale="70" zoomScaleNormal="70" zoomScalePageLayoutView="82" workbookViewId="0">
      <selection activeCell="F18" sqref="F18:H18"/>
    </sheetView>
  </sheetViews>
  <sheetFormatPr defaultColWidth="8.7265625" defaultRowHeight="14.5" x14ac:dyDescent="0.35"/>
  <cols>
    <col min="1" max="3" width="0.81640625" style="6" customWidth="1"/>
    <col min="4" max="4" width="24.08984375" style="6" customWidth="1"/>
    <col min="5" max="5" width="0.81640625" style="6" customWidth="1"/>
    <col min="6" max="6" width="13.6328125" style="6" customWidth="1"/>
    <col min="7" max="7" width="5.6328125" style="6" customWidth="1"/>
    <col min="8" max="8" width="13.6328125" style="6" customWidth="1"/>
    <col min="9" max="9" width="0.81640625" style="6" customWidth="1"/>
    <col min="10" max="10" width="10" style="6" customWidth="1"/>
    <col min="11" max="11" width="11.1796875" style="6" bestFit="1" customWidth="1"/>
    <col min="12" max="14" width="10" style="6" customWidth="1"/>
    <col min="15" max="15" width="0.81640625" style="6" customWidth="1"/>
    <col min="16" max="23" width="10" style="6" customWidth="1"/>
    <col min="24" max="24" width="0.81640625" style="6" customWidth="1"/>
    <col min="25" max="25" width="12.26953125" style="6" bestFit="1" customWidth="1"/>
    <col min="26" max="26" width="0.81640625" style="20" customWidth="1"/>
    <col min="27" max="27" width="16.7265625" style="6" bestFit="1" customWidth="1"/>
    <col min="28" max="28" width="0.81640625" style="6" customWidth="1"/>
    <col min="29" max="29" width="13.36328125" style="6" customWidth="1"/>
    <col min="30" max="30" width="0.81640625" style="6" customWidth="1"/>
    <col min="31" max="31" width="13.36328125" style="6" bestFit="1" customWidth="1"/>
    <col min="32" max="32" width="0.81640625" style="6" customWidth="1"/>
    <col min="33" max="33" width="15.7265625" style="6" bestFit="1" customWidth="1"/>
    <col min="34" max="35" width="0.81640625" style="6" customWidth="1"/>
    <col min="36" max="37" width="8.7265625" style="6"/>
    <col min="38" max="38" width="11.1796875" style="6" bestFit="1" customWidth="1"/>
    <col min="39" max="39" width="8.7265625" style="6"/>
    <col min="40" max="40" width="13" style="6" bestFit="1" customWidth="1"/>
    <col min="41" max="41" width="8.7265625" style="6"/>
    <col min="42" max="42" width="13" style="6" bestFit="1" customWidth="1"/>
    <col min="43" max="43" width="0.81640625" style="6" customWidth="1"/>
    <col min="44" max="44" width="13" style="6" bestFit="1" customWidth="1"/>
    <col min="45" max="16384" width="8.7265625" style="6"/>
  </cols>
  <sheetData>
    <row r="1" spans="2:35" ht="5" customHeight="1" x14ac:dyDescent="0.35"/>
    <row r="2" spans="2:35" ht="5" customHeight="1" x14ac:dyDescent="0.35"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1"/>
      <c r="AA2" s="90"/>
      <c r="AB2" s="90"/>
      <c r="AC2" s="90"/>
      <c r="AD2" s="90"/>
      <c r="AE2" s="90"/>
      <c r="AF2" s="90"/>
      <c r="AG2" s="90"/>
      <c r="AH2" s="90"/>
      <c r="AI2" s="90"/>
    </row>
    <row r="3" spans="2:35" ht="7" customHeight="1" thickBot="1" x14ac:dyDescent="0.4">
      <c r="B3" s="90"/>
      <c r="AI3" s="90"/>
    </row>
    <row r="4" spans="2:35" ht="19" customHeight="1" thickBot="1" x14ac:dyDescent="0.4">
      <c r="B4" s="90"/>
      <c r="P4" s="231" t="s">
        <v>115</v>
      </c>
      <c r="Q4" s="231"/>
      <c r="R4" s="234">
        <v>91963</v>
      </c>
      <c r="S4" s="235"/>
      <c r="T4" s="236"/>
      <c r="U4" s="10" t="s">
        <v>117</v>
      </c>
      <c r="V4" s="232">
        <f ca="1">NOW()</f>
        <v>45987.788309837961</v>
      </c>
      <c r="W4" s="233"/>
      <c r="Y4" s="89" t="s">
        <v>197</v>
      </c>
      <c r="AA4" s="84" t="s">
        <v>181</v>
      </c>
      <c r="AC4" s="51" t="s">
        <v>182</v>
      </c>
      <c r="AD4" s="147">
        <f>SUM(AD5:AD32)</f>
        <v>0</v>
      </c>
      <c r="AE4" s="51" t="s">
        <v>186</v>
      </c>
      <c r="AF4" s="147">
        <f>SUM(AF5:AF32)</f>
        <v>0</v>
      </c>
      <c r="AG4" s="51" t="s">
        <v>475</v>
      </c>
      <c r="AI4" s="90"/>
    </row>
    <row r="5" spans="2:35" ht="5" customHeight="1" thickBot="1" x14ac:dyDescent="0.4">
      <c r="B5" s="90"/>
      <c r="Y5" s="8"/>
      <c r="Z5" s="83"/>
      <c r="AA5" s="8"/>
      <c r="AC5" s="14"/>
      <c r="AD5" s="20"/>
      <c r="AE5" s="14"/>
      <c r="AF5" s="20"/>
      <c r="AI5" s="90"/>
    </row>
    <row r="6" spans="2:35" ht="19" customHeight="1" thickBot="1" x14ac:dyDescent="0.4">
      <c r="B6" s="90"/>
      <c r="P6" s="231" t="s">
        <v>116</v>
      </c>
      <c r="Q6" s="231"/>
      <c r="R6" s="237">
        <f ca="1">TODAY()</f>
        <v>45987</v>
      </c>
      <c r="S6" s="238"/>
      <c r="T6" s="10" t="s">
        <v>171</v>
      </c>
      <c r="U6" s="239" t="str">
        <f ca="1">"MOPL"&amp;UPPER(LEFT(F10,4))&amp;"-"&amp;(DAY(R6)&amp;MONTH(R6)&amp;RIGHT(YEAR(R6),2)&amp;"-"&amp;LEN(F10))</f>
        <v>MOPLMAHA-261125-20</v>
      </c>
      <c r="V6" s="239"/>
      <c r="W6" s="239"/>
      <c r="Y6" s="52" t="s">
        <v>143</v>
      </c>
      <c r="Z6" s="83"/>
      <c r="AA6" s="55">
        <f>IF(F38="",0,ROUNDUP(((F38*H42)/39.37),0))</f>
        <v>0</v>
      </c>
      <c r="AC6" s="51" t="s">
        <v>87</v>
      </c>
      <c r="AD6" s="20"/>
      <c r="AE6" s="51" t="s">
        <v>99</v>
      </c>
      <c r="AF6" s="20"/>
      <c r="AG6" s="145">
        <v>0</v>
      </c>
      <c r="AI6" s="90"/>
    </row>
    <row r="7" spans="2:35" ht="5" customHeight="1" thickBot="1" x14ac:dyDescent="0.4">
      <c r="B7" s="90"/>
      <c r="Y7" s="8"/>
      <c r="Z7" s="83"/>
      <c r="AA7" s="8"/>
      <c r="AC7" s="14"/>
      <c r="AD7" s="20"/>
      <c r="AE7" s="14"/>
      <c r="AF7" s="20"/>
      <c r="AI7" s="90"/>
    </row>
    <row r="8" spans="2:35" ht="18" customHeight="1" thickBot="1" x14ac:dyDescent="0.4">
      <c r="B8" s="90"/>
      <c r="D8" s="240" t="s">
        <v>192</v>
      </c>
      <c r="E8" s="241"/>
      <c r="F8" s="65">
        <f>J8+U8+Q8+N8+S8+W8+L8</f>
        <v>0</v>
      </c>
      <c r="G8" s="6" t="s">
        <v>193</v>
      </c>
      <c r="H8" s="248" t="s">
        <v>168</v>
      </c>
      <c r="I8" s="249"/>
      <c r="J8" s="64">
        <f>F18-(Q8+N8+S8+U8+W8)</f>
        <v>0</v>
      </c>
      <c r="K8" s="23" t="s">
        <v>6</v>
      </c>
      <c r="L8" s="64">
        <f>F24</f>
        <v>0</v>
      </c>
      <c r="M8" s="23" t="s">
        <v>22</v>
      </c>
      <c r="N8" s="64">
        <f>IF(OR(F16=RAM!C3,F16=RAM!C6),0,F18*AG6)</f>
        <v>0</v>
      </c>
      <c r="O8" s="250" t="s">
        <v>135</v>
      </c>
      <c r="P8" s="249"/>
      <c r="Q8" s="64">
        <f>M18</f>
        <v>0</v>
      </c>
      <c r="R8" s="23" t="s">
        <v>103</v>
      </c>
      <c r="S8" s="64">
        <f>K18</f>
        <v>0</v>
      </c>
      <c r="T8" s="23" t="s">
        <v>134</v>
      </c>
      <c r="U8" s="66">
        <v>0</v>
      </c>
      <c r="V8" s="23" t="s">
        <v>191</v>
      </c>
      <c r="W8" s="65">
        <f>I34+I36</f>
        <v>0</v>
      </c>
      <c r="Y8" s="105">
        <f>IF(F18=0,0,0.25)</f>
        <v>0</v>
      </c>
      <c r="Z8" s="83"/>
      <c r="AA8" s="84" t="s">
        <v>177</v>
      </c>
      <c r="AC8" s="55">
        <f>F38*Q20</f>
        <v>0</v>
      </c>
      <c r="AD8" s="147">
        <f>AC8*Q14</f>
        <v>0</v>
      </c>
      <c r="AE8" s="55">
        <f>Q32*F38</f>
        <v>0</v>
      </c>
      <c r="AF8" s="147">
        <f>AE8*Q26</f>
        <v>0</v>
      </c>
      <c r="AG8" s="51" t="s">
        <v>446</v>
      </c>
      <c r="AI8" s="90"/>
    </row>
    <row r="9" spans="2:35" ht="5" customHeight="1" thickBot="1" x14ac:dyDescent="0.4">
      <c r="B9" s="90"/>
      <c r="Y9" s="8"/>
      <c r="AA9" s="8"/>
      <c r="AC9" s="14"/>
      <c r="AD9" s="20"/>
      <c r="AE9" s="14"/>
      <c r="AF9" s="20"/>
      <c r="AI9" s="90"/>
    </row>
    <row r="10" spans="2:35" ht="19" customHeight="1" thickBot="1" x14ac:dyDescent="0.4">
      <c r="B10" s="90"/>
      <c r="D10" s="9" t="s">
        <v>0</v>
      </c>
      <c r="F10" s="251" t="s">
        <v>543</v>
      </c>
      <c r="G10" s="251"/>
      <c r="H10" s="251"/>
      <c r="I10" s="20"/>
      <c r="J10" s="229" t="s">
        <v>189</v>
      </c>
      <c r="K10" s="229"/>
      <c r="L10" s="230"/>
      <c r="M10" s="230"/>
      <c r="N10" s="230"/>
      <c r="P10" s="229" t="s">
        <v>260</v>
      </c>
      <c r="Q10" s="229"/>
      <c r="R10" s="77"/>
      <c r="S10" s="244">
        <f>R10*F38</f>
        <v>0</v>
      </c>
      <c r="T10" s="245"/>
      <c r="U10" s="23" t="s">
        <v>196</v>
      </c>
      <c r="V10" s="76">
        <v>2.2000000000000002</v>
      </c>
      <c r="W10" s="26" t="str">
        <f>IF(OR(V10="",V10=0,F42="",H42=""),"",(F42*H42*0.00064516*V10))</f>
        <v/>
      </c>
      <c r="Y10" s="52" t="s">
        <v>114</v>
      </c>
      <c r="AA10" s="55">
        <f>IF(AA6=0,0,ROUNDUP((((F38*H42)/39.37)*3%),0))</f>
        <v>0</v>
      </c>
      <c r="AC10" s="51" t="s">
        <v>88</v>
      </c>
      <c r="AD10" s="20"/>
      <c r="AE10" s="35" t="s">
        <v>183</v>
      </c>
      <c r="AF10" s="20"/>
      <c r="AG10" s="148"/>
      <c r="AI10" s="90"/>
    </row>
    <row r="11" spans="2:35" ht="5" customHeight="1" thickBot="1" x14ac:dyDescent="0.4">
      <c r="B11" s="90"/>
      <c r="D11" s="7"/>
      <c r="I11" s="20"/>
      <c r="Y11" s="8"/>
      <c r="AA11" s="8"/>
      <c r="AC11" s="14"/>
      <c r="AD11" s="20"/>
      <c r="AE11" s="14"/>
      <c r="AF11" s="20"/>
      <c r="AI11" s="90"/>
    </row>
    <row r="12" spans="2:35" ht="19" customHeight="1" thickBot="1" x14ac:dyDescent="0.4">
      <c r="B12" s="90"/>
      <c r="D12" s="9" t="s">
        <v>1</v>
      </c>
      <c r="F12" s="208" t="s">
        <v>31</v>
      </c>
      <c r="G12" s="208"/>
      <c r="H12" s="208"/>
      <c r="I12" s="20"/>
      <c r="J12" s="57" t="s">
        <v>103</v>
      </c>
      <c r="K12" s="58" t="s">
        <v>104</v>
      </c>
      <c r="L12" s="58" t="s">
        <v>195</v>
      </c>
      <c r="M12" s="58" t="s">
        <v>114</v>
      </c>
      <c r="N12" s="59" t="s">
        <v>134</v>
      </c>
      <c r="P12" s="36" t="s">
        <v>93</v>
      </c>
      <c r="Q12" s="23" t="s">
        <v>87</v>
      </c>
      <c r="R12" s="23" t="s">
        <v>88</v>
      </c>
      <c r="S12" s="23" t="s">
        <v>89</v>
      </c>
      <c r="T12" s="23" t="s">
        <v>90</v>
      </c>
      <c r="U12" s="23" t="s">
        <v>91</v>
      </c>
      <c r="V12" s="23" t="s">
        <v>92</v>
      </c>
      <c r="W12" s="24" t="s">
        <v>98</v>
      </c>
      <c r="Y12" s="105">
        <f>IF(F16="Rolls",0,IF(M22=0,0,0.1))</f>
        <v>0</v>
      </c>
      <c r="AA12" s="84" t="s">
        <v>178</v>
      </c>
      <c r="AC12" s="55">
        <f>F38*R20</f>
        <v>0</v>
      </c>
      <c r="AD12" s="147">
        <f>AC12*R14</f>
        <v>0</v>
      </c>
      <c r="AE12" s="55">
        <f>R32*F38</f>
        <v>0</v>
      </c>
      <c r="AF12" s="147">
        <f>AE12*R26</f>
        <v>0</v>
      </c>
      <c r="AG12" s="51" t="s">
        <v>424</v>
      </c>
      <c r="AI12" s="90"/>
    </row>
    <row r="13" spans="2:35" ht="5" customHeight="1" thickBot="1" x14ac:dyDescent="0.4">
      <c r="B13" s="90"/>
      <c r="D13" s="7"/>
      <c r="I13" s="20"/>
      <c r="J13" s="50"/>
      <c r="K13" s="21"/>
      <c r="N13" s="42" t="str">
        <f>IF(AND(N16&lt;&gt;0,U8=0),"Y",IF(AND(N16=0,U8&lt;&gt;0),"Y","N"))</f>
        <v>N</v>
      </c>
      <c r="P13" s="11"/>
      <c r="W13" s="12"/>
      <c r="Y13" s="8"/>
      <c r="AA13" s="8"/>
      <c r="AC13" s="14"/>
      <c r="AD13" s="20"/>
      <c r="AE13" s="14"/>
      <c r="AF13" s="20"/>
      <c r="AI13" s="90"/>
    </row>
    <row r="14" spans="2:35" ht="19" customHeight="1" thickBot="1" x14ac:dyDescent="0.4">
      <c r="B14" s="90"/>
      <c r="D14" s="9" t="s">
        <v>2</v>
      </c>
      <c r="F14" s="208" t="s">
        <v>32</v>
      </c>
      <c r="G14" s="208"/>
      <c r="H14" s="208"/>
      <c r="I14" s="20"/>
      <c r="J14" s="25" t="s">
        <v>107</v>
      </c>
      <c r="K14" s="31">
        <f>RAM!O14</f>
        <v>420</v>
      </c>
      <c r="L14" s="31">
        <f>RAM!O15</f>
        <v>3000</v>
      </c>
      <c r="M14" s="31">
        <f>RAM!O16</f>
        <v>215</v>
      </c>
      <c r="N14" s="32">
        <f>RAM!O21</f>
        <v>190</v>
      </c>
      <c r="P14" s="25" t="s">
        <v>107</v>
      </c>
      <c r="Q14" s="31">
        <v>94</v>
      </c>
      <c r="R14" s="31">
        <f>RAM!O3</f>
        <v>35</v>
      </c>
      <c r="S14" s="31">
        <f>RAM!O4</f>
        <v>164.16666666666666</v>
      </c>
      <c r="T14" s="31">
        <f>RAM!O5</f>
        <v>49.5</v>
      </c>
      <c r="U14" s="31">
        <f>RAM!O6</f>
        <v>224</v>
      </c>
      <c r="V14" s="31">
        <f>RAM!O7</f>
        <v>103</v>
      </c>
      <c r="W14" s="32">
        <f>RAM!O8</f>
        <v>50</v>
      </c>
      <c r="Y14" s="52" t="s">
        <v>136</v>
      </c>
      <c r="AA14" s="85">
        <f>IF(AA10=0,0,(((J8-2)*39.37)/H42))</f>
        <v>0</v>
      </c>
      <c r="AC14" s="35" t="s">
        <v>89</v>
      </c>
      <c r="AD14" s="20"/>
      <c r="AE14" s="35" t="s">
        <v>100</v>
      </c>
      <c r="AF14" s="20"/>
      <c r="AG14" s="142">
        <v>0</v>
      </c>
      <c r="AI14" s="90"/>
    </row>
    <row r="15" spans="2:35" s="20" customFormat="1" ht="5" customHeight="1" thickBot="1" x14ac:dyDescent="0.4">
      <c r="B15" s="91"/>
      <c r="D15" s="92"/>
      <c r="J15" s="93"/>
      <c r="M15" s="20" t="str">
        <f>IF(AND(F16="Non-Lamination",M16=0),"Y","N")</f>
        <v>N</v>
      </c>
      <c r="N15" s="42"/>
      <c r="Q15" s="20" t="str">
        <f>IF(AND(F18&lt;&gt;"",SUM(Q16:W16)&lt;&gt;1),"Y","N")</f>
        <v>N</v>
      </c>
      <c r="W15" s="42"/>
      <c r="Y15" s="94"/>
      <c r="AA15" s="94"/>
      <c r="AC15" s="95"/>
      <c r="AE15" s="95"/>
      <c r="AG15" s="6"/>
      <c r="AI15" s="91"/>
    </row>
    <row r="16" spans="2:35" ht="19" customHeight="1" thickBot="1" x14ac:dyDescent="0.4">
      <c r="B16" s="90"/>
      <c r="D16" s="9" t="s">
        <v>3</v>
      </c>
      <c r="F16" s="211" t="s">
        <v>22</v>
      </c>
      <c r="G16" s="212"/>
      <c r="H16" s="213"/>
      <c r="I16" s="20"/>
      <c r="J16" s="25" t="s">
        <v>125</v>
      </c>
      <c r="K16" s="33">
        <f>IF(F16=RAM!C4,1,IF(F16=RAM!C5,2,0))</f>
        <v>0</v>
      </c>
      <c r="L16" s="34">
        <v>0</v>
      </c>
      <c r="M16" s="34">
        <v>0</v>
      </c>
      <c r="N16" s="60">
        <f>IF(F34=RAM!AK15,2,0)</f>
        <v>0</v>
      </c>
      <c r="P16" s="25" t="s">
        <v>94</v>
      </c>
      <c r="Q16" s="39">
        <v>0</v>
      </c>
      <c r="R16" s="39">
        <v>0</v>
      </c>
      <c r="S16" s="39">
        <v>0</v>
      </c>
      <c r="T16" s="39">
        <v>0</v>
      </c>
      <c r="U16" s="39">
        <v>0</v>
      </c>
      <c r="V16" s="39">
        <v>0</v>
      </c>
      <c r="W16" s="40">
        <v>0</v>
      </c>
      <c r="Y16" s="105">
        <f>IF(F16="Rolls",0,IF(F18="",0,IF(F14="BIS",0.15,0.1)))</f>
        <v>0</v>
      </c>
      <c r="AA16" s="84" t="s">
        <v>179</v>
      </c>
      <c r="AC16" s="55">
        <f>F38*S20</f>
        <v>0</v>
      </c>
      <c r="AD16" s="147">
        <f>AC16*S14</f>
        <v>0</v>
      </c>
      <c r="AE16" s="55">
        <f>S32*F38</f>
        <v>0</v>
      </c>
      <c r="AF16" s="147">
        <f>AE16*S26</f>
        <v>0</v>
      </c>
      <c r="AG16" s="51" t="s">
        <v>481</v>
      </c>
      <c r="AI16" s="90"/>
    </row>
    <row r="17" spans="2:36" ht="5" customHeight="1" thickBot="1" x14ac:dyDescent="0.4">
      <c r="B17" s="90"/>
      <c r="D17" s="7"/>
      <c r="I17" s="20"/>
      <c r="J17" s="50"/>
      <c r="K17" s="21"/>
      <c r="N17" s="12"/>
      <c r="P17" s="11"/>
      <c r="Q17" s="21"/>
      <c r="W17" s="12"/>
      <c r="Y17" s="86"/>
      <c r="AA17" s="8"/>
      <c r="AC17" s="14"/>
      <c r="AD17" s="20"/>
      <c r="AE17" s="14"/>
      <c r="AF17" s="20"/>
      <c r="AI17" s="90"/>
    </row>
    <row r="18" spans="2:36" ht="19" customHeight="1" thickBot="1" x14ac:dyDescent="0.4">
      <c r="B18" s="90"/>
      <c r="D18" s="9" t="s">
        <v>4</v>
      </c>
      <c r="F18" s="208"/>
      <c r="G18" s="208"/>
      <c r="H18" s="208"/>
      <c r="I18" s="20"/>
      <c r="J18" s="25" t="s">
        <v>96</v>
      </c>
      <c r="K18" s="26">
        <f>IF(F18="",0,(W10+((H42*(F42)*2.54*2.54)*0.0012*0.95)))*K16</f>
        <v>0</v>
      </c>
      <c r="L18" s="28">
        <f>IF(L16="",0,L14*L16)</f>
        <v>0</v>
      </c>
      <c r="M18" s="26">
        <f>M16*0.5</f>
        <v>0</v>
      </c>
      <c r="N18" s="27">
        <f>IF(N16=0,0,U8)</f>
        <v>0</v>
      </c>
      <c r="P18" s="25" t="s">
        <v>96</v>
      </c>
      <c r="Q18" s="26">
        <f t="shared" ref="Q18:W18" si="0">IF($F$18="",0,($J$8*Q16))</f>
        <v>0</v>
      </c>
      <c r="R18" s="26">
        <f t="shared" si="0"/>
        <v>0</v>
      </c>
      <c r="S18" s="26">
        <f t="shared" si="0"/>
        <v>0</v>
      </c>
      <c r="T18" s="26">
        <f t="shared" si="0"/>
        <v>0</v>
      </c>
      <c r="U18" s="26">
        <f t="shared" si="0"/>
        <v>0</v>
      </c>
      <c r="V18" s="26">
        <f t="shared" si="0"/>
        <v>0</v>
      </c>
      <c r="W18" s="27">
        <f t="shared" si="0"/>
        <v>0</v>
      </c>
      <c r="Y18" s="52" t="s">
        <v>137</v>
      </c>
      <c r="AA18" s="85">
        <f>IF(AA14=0,0,((AA14*39.37)/(F42*2)))</f>
        <v>0</v>
      </c>
      <c r="AC18" s="35" t="s">
        <v>90</v>
      </c>
      <c r="AD18" s="20"/>
      <c r="AE18" s="35" t="s">
        <v>108</v>
      </c>
      <c r="AF18" s="20"/>
      <c r="AG18" s="149"/>
      <c r="AI18" s="90"/>
    </row>
    <row r="19" spans="2:36" ht="5" customHeight="1" thickBot="1" x14ac:dyDescent="0.4">
      <c r="B19" s="90"/>
      <c r="D19" s="7"/>
      <c r="F19" s="8"/>
      <c r="G19" s="8"/>
      <c r="H19" s="8"/>
      <c r="I19" s="20"/>
      <c r="J19" s="50"/>
      <c r="K19" s="21"/>
      <c r="N19" s="12"/>
      <c r="P19" s="11"/>
      <c r="Q19" s="6" t="s">
        <v>133</v>
      </c>
      <c r="W19" s="12"/>
      <c r="Y19" s="8"/>
      <c r="AA19" s="8"/>
      <c r="AC19" s="14"/>
      <c r="AD19" s="20"/>
      <c r="AE19" s="14"/>
      <c r="AF19" s="20"/>
      <c r="AG19" s="20"/>
      <c r="AI19" s="90"/>
    </row>
    <row r="20" spans="2:36" ht="19" customHeight="1" thickBot="1" x14ac:dyDescent="0.4">
      <c r="B20" s="90"/>
      <c r="D20" s="9" t="s">
        <v>5</v>
      </c>
      <c r="F20" s="41"/>
      <c r="G20" s="14" t="s">
        <v>176</v>
      </c>
      <c r="H20" s="41"/>
      <c r="I20" s="20"/>
      <c r="J20" s="25" t="s">
        <v>95</v>
      </c>
      <c r="K20" s="26">
        <f>K18/1000</f>
        <v>0</v>
      </c>
      <c r="L20" s="26">
        <f>L18/1000</f>
        <v>0</v>
      </c>
      <c r="M20" s="26">
        <f>M18/1000</f>
        <v>0</v>
      </c>
      <c r="N20" s="27">
        <f>N18/1000</f>
        <v>0</v>
      </c>
      <c r="P20" s="25" t="s">
        <v>95</v>
      </c>
      <c r="Q20" s="26">
        <f t="shared" ref="Q20:W20" si="1">Q18/1000</f>
        <v>0</v>
      </c>
      <c r="R20" s="26">
        <f t="shared" si="1"/>
        <v>0</v>
      </c>
      <c r="S20" s="26">
        <f t="shared" si="1"/>
        <v>0</v>
      </c>
      <c r="T20" s="26">
        <f t="shared" si="1"/>
        <v>0</v>
      </c>
      <c r="U20" s="26">
        <f t="shared" si="1"/>
        <v>0</v>
      </c>
      <c r="V20" s="26">
        <f t="shared" si="1"/>
        <v>0</v>
      </c>
      <c r="W20" s="27">
        <f t="shared" si="1"/>
        <v>0</v>
      </c>
      <c r="Y20" s="105">
        <f>IF(F16="Rolls",0,IF(F18="",0,IF(F14="BIS",0.2,0.1)))</f>
        <v>0</v>
      </c>
      <c r="AA20" s="84" t="s">
        <v>180</v>
      </c>
      <c r="AC20" s="55">
        <f>T20*F38</f>
        <v>0</v>
      </c>
      <c r="AD20" s="147">
        <f>AC20*T14</f>
        <v>0</v>
      </c>
      <c r="AE20" s="55">
        <f>T32*F38</f>
        <v>0</v>
      </c>
      <c r="AF20" s="147">
        <f>AE20*T26</f>
        <v>0</v>
      </c>
      <c r="AG20" s="146" t="s">
        <v>476</v>
      </c>
      <c r="AI20" s="90"/>
    </row>
    <row r="21" spans="2:36" ht="5" customHeight="1" thickBot="1" x14ac:dyDescent="0.4">
      <c r="B21" s="90"/>
      <c r="D21" s="7"/>
      <c r="F21" s="8"/>
      <c r="G21" s="8"/>
      <c r="H21" s="8"/>
      <c r="I21" s="20"/>
      <c r="J21" s="50"/>
      <c r="K21" s="21"/>
      <c r="N21" s="12"/>
      <c r="P21" s="11"/>
      <c r="W21" s="12"/>
      <c r="Y21" s="8"/>
      <c r="AA21" s="8"/>
      <c r="AC21" s="14"/>
      <c r="AD21" s="20"/>
      <c r="AE21" s="14"/>
      <c r="AF21" s="20"/>
      <c r="AI21" s="90"/>
    </row>
    <row r="22" spans="2:36" ht="19" customHeight="1" thickBot="1" x14ac:dyDescent="0.4">
      <c r="B22" s="90"/>
      <c r="D22" s="9" t="s">
        <v>6</v>
      </c>
      <c r="F22" s="208"/>
      <c r="G22" s="208"/>
      <c r="H22" s="208"/>
      <c r="I22" s="20"/>
      <c r="J22" s="61" t="s">
        <v>97</v>
      </c>
      <c r="K22" s="62">
        <f>K20*K14</f>
        <v>0</v>
      </c>
      <c r="L22" s="62">
        <f>IF(F38="",0,L18/F38)</f>
        <v>0</v>
      </c>
      <c r="M22" s="62">
        <f>M14*M20</f>
        <v>0</v>
      </c>
      <c r="N22" s="63">
        <f>N14*N20</f>
        <v>0</v>
      </c>
      <c r="P22" s="22" t="s">
        <v>97</v>
      </c>
      <c r="Q22" s="29">
        <f t="shared" ref="Q22:W22" si="2">Q20*Q14</f>
        <v>0</v>
      </c>
      <c r="R22" s="29">
        <f t="shared" si="2"/>
        <v>0</v>
      </c>
      <c r="S22" s="29">
        <f t="shared" si="2"/>
        <v>0</v>
      </c>
      <c r="T22" s="29">
        <f t="shared" si="2"/>
        <v>0</v>
      </c>
      <c r="U22" s="29">
        <f t="shared" si="2"/>
        <v>0</v>
      </c>
      <c r="V22" s="29">
        <f t="shared" si="2"/>
        <v>0</v>
      </c>
      <c r="W22" s="30">
        <f t="shared" si="2"/>
        <v>0</v>
      </c>
      <c r="Y22" s="52" t="s">
        <v>138</v>
      </c>
      <c r="AA22" s="85">
        <f>IF(AA18=0,0,((AA18*228.6)/(LEFT(F26,2)*2)))</f>
        <v>0</v>
      </c>
      <c r="AC22" s="51" t="s">
        <v>91</v>
      </c>
      <c r="AD22" s="20"/>
      <c r="AE22" s="51" t="s">
        <v>101</v>
      </c>
      <c r="AF22" s="20"/>
      <c r="AG22" s="88" t="s">
        <v>111</v>
      </c>
      <c r="AI22" s="90"/>
    </row>
    <row r="23" spans="2:36" ht="5" customHeight="1" thickBot="1" x14ac:dyDescent="0.4">
      <c r="B23" s="90"/>
      <c r="D23" s="7"/>
      <c r="F23" s="8"/>
      <c r="G23" s="8"/>
      <c r="H23" s="8"/>
      <c r="I23" s="20"/>
      <c r="Y23" s="8"/>
      <c r="AA23" s="8"/>
      <c r="AC23" s="14"/>
      <c r="AD23" s="20"/>
      <c r="AE23" s="14"/>
      <c r="AF23" s="20"/>
      <c r="AG23" s="94"/>
      <c r="AI23" s="90"/>
    </row>
    <row r="24" spans="2:36" ht="19" customHeight="1" thickBot="1" x14ac:dyDescent="0.4">
      <c r="B24" s="90"/>
      <c r="D24" s="9" t="s">
        <v>7</v>
      </c>
      <c r="F24" s="211"/>
      <c r="G24" s="212"/>
      <c r="H24" s="213"/>
      <c r="I24" s="20"/>
      <c r="J24" s="57" t="s">
        <v>106</v>
      </c>
      <c r="K24" s="58" t="s">
        <v>465</v>
      </c>
      <c r="L24" s="58" t="s">
        <v>157</v>
      </c>
      <c r="M24" s="58" t="s">
        <v>156</v>
      </c>
      <c r="N24" s="59" t="s">
        <v>187</v>
      </c>
      <c r="P24" s="36" t="s">
        <v>6</v>
      </c>
      <c r="Q24" s="23" t="s">
        <v>99</v>
      </c>
      <c r="R24" s="23" t="s">
        <v>158</v>
      </c>
      <c r="S24" s="23" t="s">
        <v>100</v>
      </c>
      <c r="T24" s="23" t="s">
        <v>445</v>
      </c>
      <c r="U24" s="23" t="s">
        <v>101</v>
      </c>
      <c r="V24" s="23" t="s">
        <v>102</v>
      </c>
      <c r="W24" s="24" t="s">
        <v>98</v>
      </c>
      <c r="Y24" s="105">
        <f>IF(F16="Rolls",0,IF(F18="",0,0.05))</f>
        <v>0</v>
      </c>
      <c r="AA24" s="87" t="s">
        <v>198</v>
      </c>
      <c r="AC24" s="55">
        <f>U20*F38</f>
        <v>0</v>
      </c>
      <c r="AD24" s="147">
        <f>AC24*U14</f>
        <v>0</v>
      </c>
      <c r="AE24" s="55">
        <f>U32*F38</f>
        <v>0</v>
      </c>
      <c r="AF24" s="147">
        <f>AE24*U26</f>
        <v>0</v>
      </c>
      <c r="AG24" s="31">
        <f>AD4</f>
        <v>0</v>
      </c>
      <c r="AI24" s="90"/>
    </row>
    <row r="25" spans="2:36" ht="5" customHeight="1" thickBot="1" x14ac:dyDescent="0.4">
      <c r="B25" s="90"/>
      <c r="D25" s="7"/>
      <c r="I25" s="20"/>
      <c r="J25" s="50"/>
      <c r="K25" s="21"/>
      <c r="N25" s="12"/>
      <c r="P25" s="11"/>
      <c r="W25" s="12"/>
      <c r="Y25" s="8"/>
      <c r="AA25" s="8"/>
      <c r="AC25" s="14"/>
      <c r="AD25" s="20"/>
      <c r="AE25" s="14"/>
      <c r="AF25" s="20"/>
      <c r="AG25" s="20"/>
      <c r="AI25" s="90"/>
    </row>
    <row r="26" spans="2:36" ht="19" customHeight="1" thickBot="1" x14ac:dyDescent="0.4">
      <c r="B26" s="90"/>
      <c r="D26" s="9" t="s">
        <v>8</v>
      </c>
      <c r="F26" s="208"/>
      <c r="G26" s="208"/>
      <c r="H26" s="208"/>
      <c r="I26" s="20"/>
      <c r="J26" s="25" t="s">
        <v>107</v>
      </c>
      <c r="K26" s="31">
        <f>RAM!O19</f>
        <v>112.25</v>
      </c>
      <c r="L26" s="31">
        <f>RAM!O18</f>
        <v>37.1</v>
      </c>
      <c r="M26" s="31">
        <f>RAM!O20</f>
        <v>137.25</v>
      </c>
      <c r="N26" s="32">
        <f>RAM!O22</f>
        <v>55</v>
      </c>
      <c r="P26" s="25" t="s">
        <v>107</v>
      </c>
      <c r="Q26" s="31">
        <v>94.5</v>
      </c>
      <c r="R26" s="31">
        <f>RAM!O3</f>
        <v>35</v>
      </c>
      <c r="S26" s="31">
        <f>RAM!O10</f>
        <v>118</v>
      </c>
      <c r="T26" s="31">
        <f>RAM!O11</f>
        <v>90</v>
      </c>
      <c r="U26" s="31">
        <f>RAM!O12</f>
        <v>54</v>
      </c>
      <c r="V26" s="31">
        <f>RAM!O13</f>
        <v>0</v>
      </c>
      <c r="W26" s="32">
        <f>RAM!O8</f>
        <v>50</v>
      </c>
      <c r="Y26" s="52" t="s">
        <v>139</v>
      </c>
      <c r="AA26" s="88" t="s">
        <v>151</v>
      </c>
      <c r="AC26" s="35" t="s">
        <v>92</v>
      </c>
      <c r="AD26" s="20"/>
      <c r="AE26" s="35" t="s">
        <v>102</v>
      </c>
      <c r="AF26" s="20"/>
      <c r="AG26" s="88" t="s">
        <v>112</v>
      </c>
      <c r="AI26" s="90"/>
    </row>
    <row r="27" spans="2:36" s="20" customFormat="1" ht="5" customHeight="1" x14ac:dyDescent="0.35">
      <c r="B27" s="91"/>
      <c r="D27" s="92"/>
      <c r="J27" s="93" t="str">
        <f>IF(AND(K27="Y",SUM(K28:M28)&lt;&gt;1),"Y","N")</f>
        <v>Y</v>
      </c>
      <c r="K27" s="20" t="str">
        <f>IF(OR(F16=RAM!C2,F16=RAM!C4,F16=RAM!C5),"Y","N")</f>
        <v>Y</v>
      </c>
      <c r="L27" s="20" t="str">
        <f>IF(SUM(K28:M28)&lt;&gt;1,"Y","N")</f>
        <v>Y</v>
      </c>
      <c r="N27" s="42"/>
      <c r="P27" s="20" t="str">
        <f>IF(F22="","",IF(F22&lt;&gt;"No","Y","N"))</f>
        <v/>
      </c>
      <c r="Q27" s="20" t="str">
        <f>IF(F22="No","",IF(F22="","",IF(SUM(Q28:W28)&lt;&gt;1,"Y","N")))</f>
        <v/>
      </c>
      <c r="W27" s="42"/>
      <c r="Y27" s="94"/>
      <c r="AA27" s="94"/>
      <c r="AC27" s="95"/>
      <c r="AE27" s="95"/>
      <c r="AG27" s="94"/>
      <c r="AI27" s="91"/>
    </row>
    <row r="28" spans="2:36" ht="19" customHeight="1" x14ac:dyDescent="0.35">
      <c r="B28" s="90"/>
      <c r="D28" s="9" t="s">
        <v>9</v>
      </c>
      <c r="F28" s="218"/>
      <c r="G28" s="208"/>
      <c r="H28" s="208"/>
      <c r="I28" s="20"/>
      <c r="J28" s="25" t="s">
        <v>94</v>
      </c>
      <c r="K28" s="145">
        <v>0</v>
      </c>
      <c r="L28" s="145">
        <v>0</v>
      </c>
      <c r="M28" s="145">
        <v>0</v>
      </c>
      <c r="N28" s="32">
        <f>RAM!O23</f>
        <v>40</v>
      </c>
      <c r="P28" s="25" t="s">
        <v>94</v>
      </c>
      <c r="Q28" s="145">
        <v>0</v>
      </c>
      <c r="R28" s="145">
        <v>0</v>
      </c>
      <c r="S28" s="145">
        <v>0</v>
      </c>
      <c r="T28" s="145">
        <v>0</v>
      </c>
      <c r="U28" s="145">
        <v>0</v>
      </c>
      <c r="V28" s="145">
        <v>0</v>
      </c>
      <c r="W28" s="150">
        <v>0</v>
      </c>
      <c r="Y28" s="105">
        <f>IF(F16="Rolls",0,IF(F34="",0,IF(F34=RAM!J4,0.3,IF(F34=RAM!J15,0,IF(F34=RAM!J2,0,0.2)))))</f>
        <v>0</v>
      </c>
      <c r="Z28" s="20">
        <f>IF(RAM!X10="Y",RAM!X13,0)</f>
        <v>0.5</v>
      </c>
      <c r="AA28" s="116">
        <f>IF(F40="","",(F30+Z28)+1)</f>
        <v>1.5</v>
      </c>
      <c r="AC28" s="55">
        <f>V20*F38</f>
        <v>0</v>
      </c>
      <c r="AD28" s="147">
        <f>AC28*V14</f>
        <v>0</v>
      </c>
      <c r="AE28" s="55">
        <f>V32*F38</f>
        <v>0</v>
      </c>
      <c r="AF28" s="147">
        <f>AE28*V26</f>
        <v>0</v>
      </c>
      <c r="AG28" s="31">
        <f>AF4</f>
        <v>0</v>
      </c>
      <c r="AI28" s="90"/>
      <c r="AJ28" s="54"/>
    </row>
    <row r="29" spans="2:36" ht="5" customHeight="1" thickBot="1" x14ac:dyDescent="0.4">
      <c r="B29" s="90"/>
      <c r="D29" s="7"/>
      <c r="I29" s="20"/>
      <c r="J29" s="50"/>
      <c r="K29" s="21"/>
      <c r="N29" s="12"/>
      <c r="P29" s="13"/>
      <c r="W29" s="12"/>
      <c r="Y29" s="8"/>
      <c r="AA29" s="8"/>
      <c r="AD29" s="20"/>
      <c r="AF29" s="20"/>
      <c r="AI29" s="90"/>
    </row>
    <row r="30" spans="2:36" ht="19" customHeight="1" thickBot="1" x14ac:dyDescent="0.4">
      <c r="B30" s="90"/>
      <c r="D30" s="9" t="s">
        <v>146</v>
      </c>
      <c r="F30" s="214"/>
      <c r="G30" s="215"/>
      <c r="I30" s="20"/>
      <c r="J30" s="25" t="s">
        <v>96</v>
      </c>
      <c r="K30" s="26">
        <f>($N$8*K28)</f>
        <v>0</v>
      </c>
      <c r="L30" s="26">
        <f>($N$8*L28)</f>
        <v>0</v>
      </c>
      <c r="M30" s="26">
        <f>($N$8*M28)</f>
        <v>0</v>
      </c>
      <c r="N30" s="27">
        <f>I34+I36</f>
        <v>0</v>
      </c>
      <c r="P30" s="25" t="s">
        <v>96</v>
      </c>
      <c r="Q30" s="26">
        <f t="shared" ref="Q30:W30" si="3">IF($F$24="",0,($F$24*Q28))</f>
        <v>0</v>
      </c>
      <c r="R30" s="26">
        <f t="shared" si="3"/>
        <v>0</v>
      </c>
      <c r="S30" s="26">
        <f t="shared" si="3"/>
        <v>0</v>
      </c>
      <c r="T30" s="26">
        <f t="shared" si="3"/>
        <v>0</v>
      </c>
      <c r="U30" s="26">
        <f t="shared" si="3"/>
        <v>0</v>
      </c>
      <c r="V30" s="26">
        <f t="shared" si="3"/>
        <v>0</v>
      </c>
      <c r="W30" s="27">
        <f t="shared" si="3"/>
        <v>0</v>
      </c>
      <c r="Y30" s="52" t="s">
        <v>134</v>
      </c>
      <c r="AA30" s="88" t="s">
        <v>143</v>
      </c>
      <c r="AC30" s="35" t="s">
        <v>98</v>
      </c>
      <c r="AD30" s="20"/>
      <c r="AE30" s="35" t="s">
        <v>98</v>
      </c>
      <c r="AF30" s="20"/>
      <c r="AG30" s="88" t="s">
        <v>477</v>
      </c>
      <c r="AI30" s="90"/>
    </row>
    <row r="31" spans="2:36" ht="5" customHeight="1" x14ac:dyDescent="0.35">
      <c r="B31" s="90"/>
      <c r="D31" s="7"/>
      <c r="I31" s="20"/>
      <c r="J31" s="50"/>
      <c r="K31" s="21"/>
      <c r="N31" s="12"/>
      <c r="P31" s="13"/>
      <c r="W31" s="12"/>
      <c r="Y31" s="8"/>
      <c r="AA31" s="8"/>
      <c r="AC31" s="14"/>
      <c r="AD31" s="20"/>
      <c r="AE31" s="14"/>
      <c r="AF31" s="20"/>
      <c r="AG31" s="94"/>
      <c r="AI31" s="90"/>
    </row>
    <row r="32" spans="2:36" ht="19" customHeight="1" x14ac:dyDescent="0.35">
      <c r="B32" s="90"/>
      <c r="D32" s="9" t="s">
        <v>10</v>
      </c>
      <c r="F32" s="208"/>
      <c r="G32" s="208"/>
      <c r="H32" s="208"/>
      <c r="I32" s="20"/>
      <c r="J32" s="25" t="s">
        <v>95</v>
      </c>
      <c r="K32" s="26">
        <f>K30/1000</f>
        <v>0</v>
      </c>
      <c r="L32" s="26">
        <f>L30/1000</f>
        <v>0</v>
      </c>
      <c r="M32" s="26">
        <f>M30/1000</f>
        <v>0</v>
      </c>
      <c r="N32" s="27">
        <f>N30/1000</f>
        <v>0</v>
      </c>
      <c r="P32" s="25" t="s">
        <v>95</v>
      </c>
      <c r="Q32" s="26">
        <f t="shared" ref="Q32:W32" si="4">Q30/1000</f>
        <v>0</v>
      </c>
      <c r="R32" s="26">
        <f t="shared" si="4"/>
        <v>0</v>
      </c>
      <c r="S32" s="26">
        <f t="shared" si="4"/>
        <v>0</v>
      </c>
      <c r="T32" s="26">
        <f t="shared" si="4"/>
        <v>0</v>
      </c>
      <c r="U32" s="26">
        <f t="shared" si="4"/>
        <v>0</v>
      </c>
      <c r="V32" s="26">
        <f t="shared" si="4"/>
        <v>0</v>
      </c>
      <c r="W32" s="27">
        <f t="shared" si="4"/>
        <v>0</v>
      </c>
      <c r="Y32" s="105">
        <f>IF(F34="",0,IF(F34=RAM!J15,1.05,0))</f>
        <v>0</v>
      </c>
      <c r="Z32" s="20">
        <f>IF(RAM!Y10="Y",RAM!Y13,0)</f>
        <v>3</v>
      </c>
      <c r="AA32" s="116">
        <f>IFERROR(AA28+Z32,"")</f>
        <v>4.5</v>
      </c>
      <c r="AC32" s="55">
        <f>W20*F38</f>
        <v>0</v>
      </c>
      <c r="AD32" s="147">
        <f>AC32*W14</f>
        <v>0</v>
      </c>
      <c r="AE32" s="55">
        <f>W32*F38</f>
        <v>0</v>
      </c>
      <c r="AF32" s="147">
        <f>AE32*W26</f>
        <v>0</v>
      </c>
      <c r="AG32" s="31">
        <f>AD34</f>
        <v>0</v>
      </c>
      <c r="AI32" s="90"/>
    </row>
    <row r="33" spans="2:35" ht="5" customHeight="1" thickBot="1" x14ac:dyDescent="0.4">
      <c r="B33" s="90"/>
      <c r="D33" s="7"/>
      <c r="I33" s="20"/>
      <c r="J33" s="50"/>
      <c r="K33" s="21"/>
      <c r="N33" s="12"/>
      <c r="P33" s="13"/>
      <c r="W33" s="12"/>
      <c r="AA33" s="8"/>
      <c r="AC33" s="14"/>
      <c r="AD33" s="20"/>
      <c r="AF33" s="20"/>
      <c r="AI33" s="90"/>
    </row>
    <row r="34" spans="2:35" ht="19" customHeight="1" thickBot="1" x14ac:dyDescent="0.4">
      <c r="B34" s="90"/>
      <c r="D34" s="9" t="s">
        <v>11</v>
      </c>
      <c r="F34" s="208"/>
      <c r="G34" s="208"/>
      <c r="H34" s="208"/>
      <c r="I34" s="20">
        <f>IF(F34="",0,VLOOKUP(F34,RAM!AK:AM,3,0))</f>
        <v>0</v>
      </c>
      <c r="J34" s="61" t="s">
        <v>97</v>
      </c>
      <c r="K34" s="62">
        <f>K26*K32</f>
        <v>0</v>
      </c>
      <c r="L34" s="62">
        <f>L26*L32</f>
        <v>0</v>
      </c>
      <c r="M34" s="62">
        <f>M26*M32</f>
        <v>0</v>
      </c>
      <c r="N34" s="63">
        <f>(I34*(N26/1000))+(I36*(N28/1000))</f>
        <v>0</v>
      </c>
      <c r="P34" s="22" t="s">
        <v>97</v>
      </c>
      <c r="Q34" s="29">
        <f t="shared" ref="Q34:W34" si="5">Q26*Q32</f>
        <v>0</v>
      </c>
      <c r="R34" s="29">
        <f t="shared" si="5"/>
        <v>0</v>
      </c>
      <c r="S34" s="29">
        <f t="shared" si="5"/>
        <v>0</v>
      </c>
      <c r="T34" s="29">
        <f t="shared" si="5"/>
        <v>0</v>
      </c>
      <c r="U34" s="29">
        <f t="shared" si="5"/>
        <v>0</v>
      </c>
      <c r="V34" s="29">
        <f t="shared" si="5"/>
        <v>0</v>
      </c>
      <c r="W34" s="30">
        <f t="shared" si="5"/>
        <v>0</v>
      </c>
      <c r="Y34" s="89" t="s">
        <v>188</v>
      </c>
      <c r="Z34" s="20">
        <f>IF(AND(L16&lt;&gt;0,Z36&lt;&gt;0),20,0)</f>
        <v>0</v>
      </c>
      <c r="AA34" s="88" t="s">
        <v>114</v>
      </c>
      <c r="AC34" s="51" t="s">
        <v>185</v>
      </c>
      <c r="AD34" s="147">
        <f>SUM(AD36:AD44)</f>
        <v>0</v>
      </c>
      <c r="AE34" s="35" t="s">
        <v>103</v>
      </c>
      <c r="AF34" s="147">
        <f>AE36*K14</f>
        <v>0</v>
      </c>
      <c r="AG34" s="88" t="s">
        <v>478</v>
      </c>
      <c r="AI34" s="90"/>
    </row>
    <row r="35" spans="2:35" ht="5" customHeight="1" thickBot="1" x14ac:dyDescent="0.4">
      <c r="B35" s="90"/>
      <c r="D35" s="7"/>
      <c r="I35" s="20"/>
      <c r="Y35" s="14"/>
      <c r="AA35" s="8"/>
      <c r="AC35" s="14"/>
      <c r="AD35" s="20"/>
      <c r="AE35" s="14"/>
      <c r="AF35" s="20"/>
      <c r="AG35" s="94"/>
      <c r="AI35" s="90"/>
    </row>
    <row r="36" spans="2:35" ht="19" customHeight="1" x14ac:dyDescent="0.35">
      <c r="B36" s="90"/>
      <c r="D36" s="9" t="s">
        <v>12</v>
      </c>
      <c r="F36" s="208"/>
      <c r="G36" s="208"/>
      <c r="H36" s="208"/>
      <c r="I36" s="20">
        <f>IF(F36="",0,VLOOKUP(F36,RAM!AH:AJ,3,0))</f>
        <v>0</v>
      </c>
      <c r="J36" s="216" t="s">
        <v>111</v>
      </c>
      <c r="K36" s="217"/>
      <c r="L36" s="217" t="s">
        <v>112</v>
      </c>
      <c r="M36" s="217"/>
      <c r="N36" s="217" t="s">
        <v>113</v>
      </c>
      <c r="O36" s="217"/>
      <c r="P36" s="217"/>
      <c r="Q36" s="217" t="str">
        <f>IF(AND(K16=0,Q38&lt;0),"Celendar","BOPP")</f>
        <v>BOPP</v>
      </c>
      <c r="R36" s="217"/>
      <c r="S36" s="217" t="s">
        <v>135</v>
      </c>
      <c r="T36" s="217"/>
      <c r="U36" s="44" t="s">
        <v>102</v>
      </c>
      <c r="V36" s="227" t="s">
        <v>109</v>
      </c>
      <c r="W36" s="228"/>
      <c r="Y36" s="81">
        <f>Y12+Y16+Y20+Y24+Y28+Y32+Y8</f>
        <v>0</v>
      </c>
      <c r="Z36" s="20">
        <f>IF(AND(RAM!Z10="Y",F10&lt;&gt;""),RAM!Z14,0)</f>
        <v>0</v>
      </c>
      <c r="AA36" s="116" t="str">
        <f>IF(OR(Z36=0,AA32=""),"",AA32+Z36+Z34)</f>
        <v/>
      </c>
      <c r="AC36" s="55">
        <f>K32*F38</f>
        <v>0</v>
      </c>
      <c r="AD36" s="147">
        <f>AC36*K26</f>
        <v>0</v>
      </c>
      <c r="AE36" s="55">
        <f>K20*F38</f>
        <v>0</v>
      </c>
      <c r="AF36" s="20"/>
      <c r="AG36" s="31">
        <f>AF34</f>
        <v>0</v>
      </c>
      <c r="AI36" s="90"/>
    </row>
    <row r="37" spans="2:35" ht="5" customHeight="1" thickBot="1" x14ac:dyDescent="0.4">
      <c r="B37" s="90"/>
      <c r="D37" s="7"/>
      <c r="I37" s="20"/>
      <c r="J37" s="11"/>
      <c r="W37" s="12"/>
      <c r="AA37" s="8"/>
      <c r="AC37" s="14"/>
      <c r="AD37" s="20"/>
      <c r="AE37" s="14"/>
      <c r="AF37" s="20"/>
      <c r="AI37" s="90"/>
    </row>
    <row r="38" spans="2:35" ht="19" customHeight="1" thickBot="1" x14ac:dyDescent="0.4">
      <c r="B38" s="90"/>
      <c r="D38" s="9" t="s">
        <v>13</v>
      </c>
      <c r="F38" s="210"/>
      <c r="G38" s="210"/>
      <c r="H38" s="210"/>
      <c r="I38" s="20"/>
      <c r="J38" s="222">
        <f>SUM(Q22:W22)</f>
        <v>0</v>
      </c>
      <c r="K38" s="223"/>
      <c r="L38" s="224">
        <f>SUM(Q34:W34)</f>
        <v>0</v>
      </c>
      <c r="M38" s="223"/>
      <c r="N38" s="224">
        <f>SUM(K34:M34)</f>
        <v>0</v>
      </c>
      <c r="O38" s="224"/>
      <c r="P38" s="224"/>
      <c r="Q38" s="224">
        <f>SUM(K22:L22)</f>
        <v>0</v>
      </c>
      <c r="R38" s="223"/>
      <c r="S38" s="224">
        <f>M22</f>
        <v>0</v>
      </c>
      <c r="T38" s="224"/>
      <c r="U38" s="43">
        <f>N22+N34+(IFERROR(AG10/AG18,0))</f>
        <v>0</v>
      </c>
      <c r="V38" s="225">
        <f>SUM(J38:U38)</f>
        <v>0</v>
      </c>
      <c r="W38" s="226"/>
      <c r="Y38" s="80" t="s">
        <v>141</v>
      </c>
      <c r="Z38" s="20">
        <f>IF(AND(L16&lt;&gt;0,Z34=0),20,0)</f>
        <v>0</v>
      </c>
      <c r="AA38" s="88" t="str">
        <f>IF(AND(RAM!AB10="Y",RAM!AA10="N"),"Lamination","BOPP+Lamination")</f>
        <v>BOPP+Lamination</v>
      </c>
      <c r="AC38" s="35" t="s">
        <v>156</v>
      </c>
      <c r="AD38" s="20"/>
      <c r="AE38" s="51" t="s">
        <v>184</v>
      </c>
      <c r="AF38" s="147">
        <f>AE40*M14</f>
        <v>0</v>
      </c>
      <c r="AG38" s="88" t="s">
        <v>479</v>
      </c>
      <c r="AI38" s="90"/>
    </row>
    <row r="39" spans="2:35" ht="5" customHeight="1" thickBot="1" x14ac:dyDescent="0.4">
      <c r="B39" s="90"/>
      <c r="I39" s="20"/>
      <c r="AA39" s="8"/>
      <c r="AC39" s="14"/>
      <c r="AD39" s="20"/>
      <c r="AE39" s="14"/>
      <c r="AF39" s="20"/>
      <c r="AG39" s="94"/>
      <c r="AI39" s="90"/>
    </row>
    <row r="40" spans="2:35" ht="19" customHeight="1" x14ac:dyDescent="0.35">
      <c r="B40" s="90"/>
      <c r="D40" s="9" t="s">
        <v>1</v>
      </c>
      <c r="F40" s="209" t="str">
        <f>IF(F12="","",RAM!AG10)</f>
        <v>Type E</v>
      </c>
      <c r="G40" s="209"/>
      <c r="H40" s="209"/>
      <c r="I40" s="20"/>
      <c r="J40" s="252" t="s">
        <v>118</v>
      </c>
      <c r="K40" s="253"/>
      <c r="L40" s="254"/>
      <c r="M40" s="227" t="s">
        <v>144</v>
      </c>
      <c r="N40" s="228"/>
      <c r="O40" s="14"/>
      <c r="P40" s="264" t="s">
        <v>119</v>
      </c>
      <c r="Q40" s="220"/>
      <c r="R40" s="220"/>
      <c r="S40" s="265"/>
      <c r="T40" s="219" t="s">
        <v>120</v>
      </c>
      <c r="U40" s="220"/>
      <c r="V40" s="220"/>
      <c r="W40" s="221"/>
      <c r="Y40" s="81">
        <f>J8*2.95/100</f>
        <v>0</v>
      </c>
      <c r="Z40" s="20">
        <f>IF(OR(RAM!AA10="Y",RAM!AB10="Y"),RAM!AA13,0)</f>
        <v>0</v>
      </c>
      <c r="AA40" s="116" t="str">
        <f>IF(Z40=0,"",IF(AA36="",(AA32+Z38+Z40),AA36+Z40+Z38))</f>
        <v/>
      </c>
      <c r="AC40" s="55">
        <f>M32*F38</f>
        <v>0</v>
      </c>
      <c r="AD40" s="147">
        <f>AC40*M26</f>
        <v>0</v>
      </c>
      <c r="AE40" s="55">
        <f>M20*F38</f>
        <v>0</v>
      </c>
      <c r="AF40" s="147">
        <f>((I34*F38)*(N26/1000))</f>
        <v>0</v>
      </c>
      <c r="AG40" s="31">
        <f>AF38</f>
        <v>0</v>
      </c>
      <c r="AI40" s="90"/>
    </row>
    <row r="41" spans="2:35" ht="5" customHeight="1" thickBot="1" x14ac:dyDescent="0.4">
      <c r="B41" s="90"/>
      <c r="D41" s="20"/>
      <c r="E41" s="20"/>
      <c r="F41" s="20">
        <f>IF(F34="",0,VLOOKUP(F34,RAM!AK:AL,2,0))</f>
        <v>0</v>
      </c>
      <c r="G41" s="20">
        <f>IFERROR(VLOOKUP(F40,RAM!U21:AG27,13,0),"")</f>
        <v>96.516262975778545</v>
      </c>
      <c r="H41" s="20">
        <f>IF(F36="",0,VLOOKUP(F36,RAM!AH:AI,2,0))</f>
        <v>0</v>
      </c>
      <c r="I41" s="20"/>
      <c r="J41" s="11"/>
      <c r="N41" s="12"/>
      <c r="P41" s="11"/>
      <c r="W41" s="12"/>
      <c r="AA41" s="8"/>
      <c r="AD41" s="20"/>
      <c r="AF41" s="20"/>
      <c r="AI41" s="90"/>
    </row>
    <row r="42" spans="2:35" ht="19" customHeight="1" thickBot="1" x14ac:dyDescent="0.4">
      <c r="B42" s="90"/>
      <c r="D42" s="9" t="s">
        <v>172</v>
      </c>
      <c r="F42" s="144" t="str">
        <f>IF(F20="","",F20+0.1)</f>
        <v/>
      </c>
      <c r="G42" s="14" t="s">
        <v>176</v>
      </c>
      <c r="H42" s="144" t="str">
        <f>IF(H20="","",H20+H41+F41)</f>
        <v/>
      </c>
      <c r="I42" s="20"/>
      <c r="J42" s="255">
        <f>V38+Y44</f>
        <v>0</v>
      </c>
      <c r="K42" s="256"/>
      <c r="L42" s="257"/>
      <c r="M42" s="79">
        <f>N42-J42</f>
        <v>0</v>
      </c>
      <c r="N42" s="78">
        <f>J42+(J42*5%)</f>
        <v>0</v>
      </c>
      <c r="P42" s="261">
        <f>N42+(N42*8%)</f>
        <v>0</v>
      </c>
      <c r="Q42" s="262"/>
      <c r="R42" s="262"/>
      <c r="S42" s="263"/>
      <c r="T42" s="258">
        <f>N42+(N42*12%)</f>
        <v>0</v>
      </c>
      <c r="U42" s="259"/>
      <c r="V42" s="259"/>
      <c r="W42" s="260"/>
      <c r="Y42" s="80" t="s">
        <v>110</v>
      </c>
      <c r="Z42" s="20" t="str">
        <f>IF(AA36="","",IF(AND(AA36="",AA40=""),AA32,AA36))</f>
        <v/>
      </c>
      <c r="AA42" s="88" t="s">
        <v>152</v>
      </c>
      <c r="AC42" s="35" t="s">
        <v>157</v>
      </c>
      <c r="AD42" s="20"/>
      <c r="AE42" s="51" t="s">
        <v>134</v>
      </c>
      <c r="AF42" s="147">
        <f>AE44*N14</f>
        <v>0</v>
      </c>
      <c r="AG42" s="88" t="s">
        <v>480</v>
      </c>
      <c r="AI42" s="90"/>
    </row>
    <row r="43" spans="2:35" s="20" customFormat="1" ht="5" customHeight="1" thickBot="1" x14ac:dyDescent="0.4">
      <c r="B43" s="91"/>
      <c r="Y43" s="6"/>
      <c r="Z43" s="20" t="str">
        <f>IF(AA40="","",AA40)</f>
        <v/>
      </c>
      <c r="AA43" s="8"/>
      <c r="AC43" s="14"/>
      <c r="AE43" s="14"/>
      <c r="AI43" s="91"/>
    </row>
    <row r="44" spans="2:35" ht="19" thickBot="1" x14ac:dyDescent="0.4">
      <c r="B44" s="90"/>
      <c r="D44" s="75" t="s">
        <v>170</v>
      </c>
      <c r="F44" s="73">
        <f>IF(L16&lt;&gt;0,(20+(IF(OR(F40="Not Match",F40=""),"",ROUNDUP(VLOOKUP(F40,RAM!U1:W7,3),0)+1))),IF(OR(F40="Not Match",F40=""),"",ROUNDUP(VLOOKUP(F40,RAM!U1:W7,3),0)+1))</f>
        <v>5</v>
      </c>
      <c r="G44" s="14" t="s">
        <v>194</v>
      </c>
      <c r="H44" s="74">
        <f>IFERROR(F30+F44,"")</f>
        <v>5</v>
      </c>
      <c r="I44" s="20"/>
      <c r="J44" s="67" t="s">
        <v>190</v>
      </c>
      <c r="K44" s="246">
        <f>F38*R44</f>
        <v>0</v>
      </c>
      <c r="L44" s="247"/>
      <c r="M44" s="242">
        <f>V44*F38</f>
        <v>0</v>
      </c>
      <c r="N44" s="243"/>
      <c r="P44" s="68">
        <f>P42-N42</f>
        <v>0</v>
      </c>
      <c r="Q44" s="69">
        <f>IF(N42=0,0,P44/N42)</f>
        <v>0</v>
      </c>
      <c r="R44" s="70">
        <f>P44-R10</f>
        <v>0</v>
      </c>
      <c r="S44" s="69">
        <f>IF(N42=0,0,R44/N42)</f>
        <v>0</v>
      </c>
      <c r="T44" s="71">
        <f>T42-N42</f>
        <v>0</v>
      </c>
      <c r="U44" s="69">
        <f>IF(N42=0,0,T44/N42)</f>
        <v>0</v>
      </c>
      <c r="V44" s="71">
        <f>T44-R10</f>
        <v>0</v>
      </c>
      <c r="W44" s="72">
        <f>IF(N42=0,0,V44/N42)</f>
        <v>0</v>
      </c>
      <c r="Y44" s="81">
        <f>Y36+Y40</f>
        <v>0</v>
      </c>
      <c r="Z44" s="20">
        <f>IFERROR(VLOOKUP(F40,RAM!U30:AG30,13,0),"")</f>
        <v>0.22450980392156861</v>
      </c>
      <c r="AA44" s="116" t="str">
        <f>IFERROR(IF(Z42="",(Z43+Z44),(Z42+Z44)),"")</f>
        <v/>
      </c>
      <c r="AC44" s="55">
        <f>L32*F38</f>
        <v>0</v>
      </c>
      <c r="AD44" s="147">
        <f>AC44*L26</f>
        <v>0</v>
      </c>
      <c r="AE44" s="55">
        <f>N20*F38</f>
        <v>0</v>
      </c>
      <c r="AF44" s="147">
        <f>((I36*F38)*(N28/1000))</f>
        <v>0</v>
      </c>
      <c r="AG44" s="31">
        <f>SUM(AF40:AF44)</f>
        <v>0</v>
      </c>
      <c r="AI44" s="90"/>
    </row>
    <row r="45" spans="2:35" ht="5" customHeight="1" x14ac:dyDescent="0.35">
      <c r="B45" s="90"/>
      <c r="M45" s="54"/>
      <c r="AI45" s="90"/>
    </row>
    <row r="46" spans="2:35" ht="5" customHeight="1" x14ac:dyDescent="0.35">
      <c r="B46" s="90"/>
      <c r="C46" s="90"/>
      <c r="D46" s="90"/>
      <c r="E46" s="90"/>
      <c r="F46" s="90"/>
      <c r="G46" s="90"/>
      <c r="H46" s="90"/>
      <c r="I46" s="90"/>
      <c r="J46" s="90"/>
      <c r="K46" s="90"/>
      <c r="L46" s="90"/>
      <c r="M46" s="90"/>
      <c r="N46" s="90"/>
      <c r="O46" s="90"/>
      <c r="P46" s="90"/>
      <c r="Q46" s="90"/>
      <c r="R46" s="90"/>
      <c r="S46" s="90"/>
      <c r="T46" s="90"/>
      <c r="U46" s="90"/>
      <c r="V46" s="90"/>
      <c r="W46" s="90"/>
      <c r="X46" s="90"/>
      <c r="Y46" s="90"/>
      <c r="Z46" s="91"/>
      <c r="AA46" s="90"/>
      <c r="AB46" s="90"/>
      <c r="AC46" s="90"/>
      <c r="AD46" s="90"/>
      <c r="AE46" s="90"/>
      <c r="AF46" s="90"/>
      <c r="AG46" s="90"/>
      <c r="AH46" s="90"/>
      <c r="AI46" s="90"/>
    </row>
    <row r="47" spans="2:35" x14ac:dyDescent="0.35">
      <c r="L47" s="53"/>
    </row>
    <row r="48" spans="2:35" ht="21" x14ac:dyDescent="0.35">
      <c r="D48" s="114" t="s">
        <v>209</v>
      </c>
      <c r="AA48" s="171"/>
      <c r="AB48" s="171"/>
      <c r="AC48" s="171"/>
      <c r="AD48" s="171"/>
      <c r="AE48" s="171"/>
    </row>
    <row r="49" spans="4:4" ht="15.5" x14ac:dyDescent="0.35">
      <c r="D49" s="112" t="s">
        <v>342</v>
      </c>
    </row>
    <row r="50" spans="4:4" ht="5" customHeight="1" x14ac:dyDescent="0.35">
      <c r="D50" s="113"/>
    </row>
    <row r="51" spans="4:4" ht="15.5" x14ac:dyDescent="0.35">
      <c r="D51" s="112" t="s">
        <v>343</v>
      </c>
    </row>
    <row r="52" spans="4:4" ht="5" customHeight="1" x14ac:dyDescent="0.35">
      <c r="D52" s="113"/>
    </row>
    <row r="53" spans="4:4" ht="15.5" x14ac:dyDescent="0.35">
      <c r="D53" s="112" t="s">
        <v>344</v>
      </c>
    </row>
    <row r="54" spans="4:4" ht="5" customHeight="1" x14ac:dyDescent="0.35">
      <c r="D54" s="113"/>
    </row>
    <row r="55" spans="4:4" ht="15.5" x14ac:dyDescent="0.35">
      <c r="D55" s="111" t="s">
        <v>345</v>
      </c>
    </row>
    <row r="56" spans="4:4" ht="5" customHeight="1" x14ac:dyDescent="0.35">
      <c r="D56" s="109"/>
    </row>
    <row r="57" spans="4:4" ht="15.5" x14ac:dyDescent="0.35">
      <c r="D57" s="110" t="s">
        <v>346</v>
      </c>
    </row>
    <row r="58" spans="4:4" ht="5" customHeight="1" x14ac:dyDescent="0.35">
      <c r="D58" s="109"/>
    </row>
    <row r="59" spans="4:4" ht="15.5" x14ac:dyDescent="0.35">
      <c r="D59" s="110" t="s">
        <v>347</v>
      </c>
    </row>
    <row r="60" spans="4:4" ht="5" customHeight="1" x14ac:dyDescent="0.35">
      <c r="D60" s="109"/>
    </row>
    <row r="61" spans="4:4" ht="15.5" x14ac:dyDescent="0.35">
      <c r="D61" s="110"/>
    </row>
    <row r="62" spans="4:4" ht="5" customHeight="1" x14ac:dyDescent="0.35">
      <c r="D62" s="109"/>
    </row>
    <row r="63" spans="4:4" ht="15.5" x14ac:dyDescent="0.35">
      <c r="D63" s="108"/>
    </row>
    <row r="64" spans="4:4" ht="5" customHeight="1" x14ac:dyDescent="0.35">
      <c r="D64" s="109"/>
    </row>
    <row r="65" spans="4:44" ht="15.5" x14ac:dyDescent="0.35">
      <c r="D65" s="108"/>
    </row>
    <row r="66" spans="4:44" ht="5" customHeight="1" x14ac:dyDescent="0.35">
      <c r="D66" s="109"/>
    </row>
    <row r="67" spans="4:44" ht="15.5" x14ac:dyDescent="0.35">
      <c r="D67" s="108"/>
    </row>
    <row r="68" spans="4:44" ht="5" customHeight="1" x14ac:dyDescent="0.35">
      <c r="D68" s="109"/>
    </row>
    <row r="69" spans="4:44" ht="15.5" x14ac:dyDescent="0.35">
      <c r="D69" s="108"/>
      <c r="AK69" s="207" t="s">
        <v>421</v>
      </c>
      <c r="AL69" s="207"/>
      <c r="AM69" s="207"/>
      <c r="AN69" s="207"/>
      <c r="AO69" s="207"/>
      <c r="AP69" s="207"/>
      <c r="AQ69" s="207"/>
      <c r="AR69" s="207"/>
    </row>
    <row r="70" spans="4:44" ht="5" customHeight="1" x14ac:dyDescent="0.35">
      <c r="D70" s="109"/>
    </row>
    <row r="71" spans="4:44" x14ac:dyDescent="0.35">
      <c r="AK71" s="6" t="s">
        <v>382</v>
      </c>
      <c r="AL71" s="6" t="s">
        <v>426</v>
      </c>
      <c r="AM71" s="6" t="s">
        <v>422</v>
      </c>
      <c r="AN71" s="6" t="s">
        <v>423</v>
      </c>
      <c r="AO71" s="6" t="s">
        <v>424</v>
      </c>
      <c r="AP71" s="6" t="s">
        <v>458</v>
      </c>
      <c r="AR71" s="6" t="s">
        <v>459</v>
      </c>
    </row>
    <row r="72" spans="4:44" ht="15.5" x14ac:dyDescent="0.35">
      <c r="D72" s="110"/>
      <c r="AK72" s="6">
        <v>1</v>
      </c>
      <c r="AL72" s="6" t="s">
        <v>427</v>
      </c>
      <c r="AM72" s="6" t="s">
        <v>425</v>
      </c>
      <c r="AN72" s="6" t="s">
        <v>428</v>
      </c>
      <c r="AO72" s="6">
        <v>5</v>
      </c>
      <c r="AP72" s="136">
        <f>AO72*RAM!$AQ$9</f>
        <v>203.49999999999997</v>
      </c>
      <c r="AQ72" s="54"/>
      <c r="AR72" s="136">
        <f>AO72*RAM!$AR$9</f>
        <v>329.5</v>
      </c>
    </row>
    <row r="73" spans="4:44" x14ac:dyDescent="0.35">
      <c r="AK73" s="6">
        <v>2</v>
      </c>
      <c r="AL73" s="6" t="s">
        <v>427</v>
      </c>
      <c r="AM73" s="6" t="s">
        <v>425</v>
      </c>
      <c r="AN73" s="6" t="s">
        <v>429</v>
      </c>
      <c r="AO73" s="6">
        <v>15</v>
      </c>
      <c r="AP73" s="136">
        <f>AO73*RAM!$AQ$9</f>
        <v>610.49999999999989</v>
      </c>
      <c r="AQ73" s="54"/>
      <c r="AR73" s="136">
        <f>AO73*RAM!$AR$9</f>
        <v>988.50000000000011</v>
      </c>
    </row>
    <row r="74" spans="4:44" ht="15.5" x14ac:dyDescent="0.35">
      <c r="D74" s="110"/>
      <c r="AK74" s="6">
        <v>3</v>
      </c>
      <c r="AL74" s="6" t="s">
        <v>427</v>
      </c>
      <c r="AM74" s="6" t="s">
        <v>425</v>
      </c>
      <c r="AN74" s="6" t="s">
        <v>430</v>
      </c>
      <c r="AO74" s="6">
        <v>34</v>
      </c>
      <c r="AP74" s="136">
        <f>AO74*RAM!$AQ$9</f>
        <v>1383.8</v>
      </c>
      <c r="AQ74" s="54"/>
      <c r="AR74" s="136">
        <f>AO74*RAM!$AR$9</f>
        <v>2240.6000000000004</v>
      </c>
    </row>
    <row r="75" spans="4:44" x14ac:dyDescent="0.35">
      <c r="AK75" s="6">
        <v>4</v>
      </c>
      <c r="AL75" s="6" t="s">
        <v>415</v>
      </c>
      <c r="AM75" s="6" t="s">
        <v>425</v>
      </c>
      <c r="AN75" s="6" t="s">
        <v>431</v>
      </c>
      <c r="AO75" s="6">
        <v>155</v>
      </c>
      <c r="AP75" s="136">
        <f>AO75*RAM!$AQ$9</f>
        <v>6308.4999999999991</v>
      </c>
      <c r="AQ75" s="54"/>
      <c r="AR75" s="136">
        <f>AO75*RAM!$AR$9</f>
        <v>10214.5</v>
      </c>
    </row>
    <row r="76" spans="4:44" ht="15.5" x14ac:dyDescent="0.35">
      <c r="D76" s="110"/>
      <c r="AK76" s="6">
        <v>5</v>
      </c>
      <c r="AL76" s="6" t="s">
        <v>415</v>
      </c>
      <c r="AM76" s="6" t="s">
        <v>425</v>
      </c>
      <c r="AN76" s="6" t="s">
        <v>432</v>
      </c>
      <c r="AO76" s="6">
        <v>290</v>
      </c>
      <c r="AP76" s="136">
        <f>AO76*RAM!$AQ$9</f>
        <v>11802.999999999998</v>
      </c>
      <c r="AQ76" s="54"/>
      <c r="AR76" s="136">
        <f>AO76*RAM!$AR$9</f>
        <v>19111</v>
      </c>
    </row>
    <row r="77" spans="4:44" x14ac:dyDescent="0.35">
      <c r="AK77" s="6">
        <v>6</v>
      </c>
      <c r="AL77" s="6" t="s">
        <v>433</v>
      </c>
      <c r="AM77" s="6" t="s">
        <v>425</v>
      </c>
      <c r="AN77" s="6" t="s">
        <v>434</v>
      </c>
      <c r="AO77" s="6">
        <v>295</v>
      </c>
      <c r="AP77" s="136">
        <f>AO77*RAM!$AQ$9</f>
        <v>12006.499999999998</v>
      </c>
      <c r="AQ77" s="54"/>
      <c r="AR77" s="136">
        <f>AO77*RAM!$AR$9</f>
        <v>19440.5</v>
      </c>
    </row>
    <row r="78" spans="4:44" x14ac:dyDescent="0.35">
      <c r="AK78" s="6">
        <v>7</v>
      </c>
      <c r="AL78" s="6" t="s">
        <v>435</v>
      </c>
      <c r="AM78" s="6" t="s">
        <v>425</v>
      </c>
      <c r="AN78" s="6" t="s">
        <v>431</v>
      </c>
      <c r="AO78" s="6">
        <v>155</v>
      </c>
      <c r="AP78" s="136">
        <f>AO78*RAM!$AQ$9</f>
        <v>6308.4999999999991</v>
      </c>
      <c r="AQ78" s="54"/>
      <c r="AR78" s="136">
        <f>AO78*RAM!$AR$9</f>
        <v>10214.5</v>
      </c>
    </row>
    <row r="79" spans="4:44" x14ac:dyDescent="0.35">
      <c r="AK79" s="6">
        <v>8</v>
      </c>
      <c r="AL79" s="6" t="s">
        <v>431</v>
      </c>
      <c r="AM79" s="6" t="s">
        <v>425</v>
      </c>
      <c r="AN79" s="6" t="s">
        <v>436</v>
      </c>
      <c r="AO79" s="6">
        <v>120</v>
      </c>
      <c r="AP79" s="136">
        <f>AO79*RAM!$AQ$9</f>
        <v>4883.9999999999991</v>
      </c>
      <c r="AQ79" s="54"/>
      <c r="AR79" s="136">
        <f>AO79*RAM!$AR$9</f>
        <v>7908.0000000000009</v>
      </c>
    </row>
    <row r="80" spans="4:44" x14ac:dyDescent="0.35">
      <c r="AK80" s="6">
        <v>9</v>
      </c>
      <c r="AL80" s="6" t="s">
        <v>431</v>
      </c>
      <c r="AM80" s="6" t="s">
        <v>425</v>
      </c>
      <c r="AN80" s="6" t="s">
        <v>437</v>
      </c>
      <c r="AO80" s="6">
        <v>130</v>
      </c>
      <c r="AP80" s="136">
        <f>AO80*RAM!$AQ$9</f>
        <v>5290.9999999999991</v>
      </c>
      <c r="AQ80" s="54"/>
      <c r="AR80" s="136">
        <f>AO80*RAM!$AR$9</f>
        <v>8567</v>
      </c>
    </row>
    <row r="81" spans="37:44" x14ac:dyDescent="0.35">
      <c r="AK81" s="6">
        <v>10</v>
      </c>
      <c r="AL81" s="6" t="s">
        <v>431</v>
      </c>
      <c r="AM81" s="6" t="s">
        <v>425</v>
      </c>
      <c r="AN81" s="6" t="s">
        <v>438</v>
      </c>
      <c r="AO81" s="6">
        <v>330</v>
      </c>
      <c r="AP81" s="136">
        <f>AO81*RAM!$AQ$9</f>
        <v>13430.999999999998</v>
      </c>
      <c r="AQ81" s="54"/>
      <c r="AR81" s="136">
        <f>AO81*RAM!$AR$9</f>
        <v>21747.000000000004</v>
      </c>
    </row>
    <row r="82" spans="37:44" x14ac:dyDescent="0.35">
      <c r="AK82" s="6">
        <v>11</v>
      </c>
      <c r="AL82" s="6" t="s">
        <v>431</v>
      </c>
      <c r="AM82" s="6" t="s">
        <v>425</v>
      </c>
      <c r="AN82" s="6" t="s">
        <v>439</v>
      </c>
      <c r="AO82" s="6">
        <v>155</v>
      </c>
      <c r="AP82" s="136">
        <f>AO82*RAM!$AQ$9</f>
        <v>6308.4999999999991</v>
      </c>
      <c r="AQ82" s="54"/>
      <c r="AR82" s="136">
        <f>AO82*RAM!$AR$9</f>
        <v>10214.5</v>
      </c>
    </row>
    <row r="83" spans="37:44" x14ac:dyDescent="0.35">
      <c r="AK83" s="6">
        <v>12</v>
      </c>
      <c r="AL83" s="6" t="s">
        <v>440</v>
      </c>
      <c r="AM83" s="6" t="s">
        <v>425</v>
      </c>
      <c r="AN83" s="6" t="s">
        <v>441</v>
      </c>
      <c r="AO83" s="6">
        <v>290</v>
      </c>
      <c r="AP83" s="136">
        <f>AO83*RAM!$AQ$9</f>
        <v>11802.999999999998</v>
      </c>
      <c r="AQ83" s="54"/>
      <c r="AR83" s="136">
        <f>AO83*RAM!$AR$9</f>
        <v>19111</v>
      </c>
    </row>
    <row r="84" spans="37:44" x14ac:dyDescent="0.35">
      <c r="AK84" s="6">
        <v>13</v>
      </c>
      <c r="AL84" s="6" t="s">
        <v>442</v>
      </c>
      <c r="AM84" s="6" t="s">
        <v>425</v>
      </c>
      <c r="AN84" s="6" t="s">
        <v>443</v>
      </c>
      <c r="AO84" s="6">
        <v>330</v>
      </c>
      <c r="AP84" s="136">
        <f>AO84*RAM!$AQ$9</f>
        <v>13430.999999999998</v>
      </c>
      <c r="AQ84" s="54"/>
      <c r="AR84" s="136">
        <f>AO84*RAM!$AR$9</f>
        <v>21747.000000000004</v>
      </c>
    </row>
  </sheetData>
  <sheetProtection algorithmName="SHA-512" hashValue="vEi0K7+5dPfrFHKTuRL3Go2IVBB2j9UfDba7cg5T7GQTV6+baGX0P7T7O5N1y9HgeXNuy2xxmJ1DEQfigMTO5g==" saltValue="4zQpdrgUNOKhNuPuHC7zsQ==" spinCount="100000" sheet="1" objects="1" scenarios="1" selectLockedCells="1"/>
  <mergeCells count="51">
    <mergeCell ref="D8:E8"/>
    <mergeCell ref="M44:N44"/>
    <mergeCell ref="S10:T10"/>
    <mergeCell ref="K44:L44"/>
    <mergeCell ref="N36:P36"/>
    <mergeCell ref="N38:P38"/>
    <mergeCell ref="H8:I8"/>
    <mergeCell ref="O8:P8"/>
    <mergeCell ref="F10:H10"/>
    <mergeCell ref="J40:L40"/>
    <mergeCell ref="J42:L42"/>
    <mergeCell ref="P10:Q10"/>
    <mergeCell ref="T42:W42"/>
    <mergeCell ref="P42:S42"/>
    <mergeCell ref="M40:N40"/>
    <mergeCell ref="P40:S40"/>
    <mergeCell ref="J10:K10"/>
    <mergeCell ref="L10:N10"/>
    <mergeCell ref="P4:Q4"/>
    <mergeCell ref="P6:Q6"/>
    <mergeCell ref="V4:W4"/>
    <mergeCell ref="R4:T4"/>
    <mergeCell ref="R6:S6"/>
    <mergeCell ref="U6:W6"/>
    <mergeCell ref="F32:H32"/>
    <mergeCell ref="T40:W40"/>
    <mergeCell ref="J38:K38"/>
    <mergeCell ref="Q38:R38"/>
    <mergeCell ref="L36:M36"/>
    <mergeCell ref="Q36:R36"/>
    <mergeCell ref="L38:M38"/>
    <mergeCell ref="V38:W38"/>
    <mergeCell ref="S38:T38"/>
    <mergeCell ref="V36:W36"/>
    <mergeCell ref="S36:T36"/>
    <mergeCell ref="AA48:AE48"/>
    <mergeCell ref="AK69:AR69"/>
    <mergeCell ref="F12:H12"/>
    <mergeCell ref="F14:H14"/>
    <mergeCell ref="F40:H40"/>
    <mergeCell ref="F36:H36"/>
    <mergeCell ref="F38:H38"/>
    <mergeCell ref="F16:H16"/>
    <mergeCell ref="F18:H18"/>
    <mergeCell ref="F22:H22"/>
    <mergeCell ref="F24:H24"/>
    <mergeCell ref="F26:H26"/>
    <mergeCell ref="F30:G30"/>
    <mergeCell ref="J36:K36"/>
    <mergeCell ref="F34:H34"/>
    <mergeCell ref="F28:H28"/>
  </mergeCells>
  <conditionalFormatting sqref="K28:M28">
    <cfRule type="expression" dxfId="32" priority="10">
      <formula>$J$27="Y"</formula>
    </cfRule>
  </conditionalFormatting>
  <conditionalFormatting sqref="Q28:W28">
    <cfRule type="expression" dxfId="31" priority="8">
      <formula>$Q$27="Y"</formula>
    </cfRule>
    <cfRule type="expression" dxfId="30" priority="9">
      <formula>$P$28="Y"</formula>
    </cfRule>
  </conditionalFormatting>
  <conditionalFormatting sqref="Q16:W16">
    <cfRule type="expression" dxfId="29" priority="6">
      <formula>$R$15="Y"</formula>
    </cfRule>
    <cfRule type="expression" dxfId="28" priority="7">
      <formula>$Q$15="Y"</formula>
    </cfRule>
  </conditionalFormatting>
  <conditionalFormatting sqref="U8">
    <cfRule type="expression" dxfId="27" priority="5">
      <formula>$N$13="Y"</formula>
    </cfRule>
  </conditionalFormatting>
  <conditionalFormatting sqref="M16">
    <cfRule type="expression" dxfId="26" priority="4">
      <formula>$M$15="Y"</formula>
    </cfRule>
  </conditionalFormatting>
  <conditionalFormatting sqref="F24:H24">
    <cfRule type="expression" dxfId="25" priority="3">
      <formula>$F$22="No"</formula>
    </cfRule>
  </conditionalFormatting>
  <conditionalFormatting sqref="AG6">
    <cfRule type="expression" dxfId="24" priority="1">
      <formula>$R$15="Y"</formula>
    </cfRule>
    <cfRule type="expression" dxfId="23" priority="2">
      <formula>$Q$15="Y"</formula>
    </cfRule>
  </conditionalFormatting>
  <dataValidations count="4">
    <dataValidation type="whole" allowBlank="1" showInputMessage="1" showErrorMessage="1" sqref="M16:N16" xr:uid="{52DEB63D-7CB5-4136-927A-83889D3739DC}">
      <formula1>0</formula1>
      <formula2>6</formula2>
    </dataValidation>
    <dataValidation allowBlank="1" showInputMessage="1" showErrorMessage="1" promptTitle="Please type Customer Name" sqref="F10:H10" xr:uid="{87C9E78A-A35B-437B-A7C3-A93273D9F3B0}"/>
    <dataValidation type="decimal" operator="greaterThan" allowBlank="1" showInputMessage="1" showErrorMessage="1" sqref="F20 H20" xr:uid="{E09B6E49-D51A-4425-8E24-5A1B5DF1BBC8}">
      <formula1>5</formula1>
    </dataValidation>
    <dataValidation type="decimal" allowBlank="1" showInputMessage="1" showErrorMessage="1" sqref="AG14" xr:uid="{DDD7C1BD-E3A2-4FCB-8A4D-D7362EB0D2D3}">
      <formula1>1</formula1>
      <formula2>9999</formula2>
    </dataValidation>
  </dataValidations>
  <pageMargins left="0.11811023622047245" right="0.11811023622047245" top="0.74803149606299213" bottom="0.74803149606299213" header="0.31496062992125984" footer="0.31496062992125984"/>
  <pageSetup scale="50" orientation="landscape" r:id="rId1"/>
  <headerFooter>
    <oddHeader>&amp;LMahaInd Overseas Pvt Ltd&amp;C&amp;"Arial Black,Bold"&amp;36QUOTATION&amp;R&amp;G</oddHeader>
    <oddFooter>&amp;LR/MAHAIND/QOUT/001 - Operations Sensetive&amp;CPage &amp;P&amp;REffective  1 August 2025</oddFooter>
  </headerFooter>
  <drawing r:id="rId2"/>
  <legacyDrawingHF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962CA65B-26C9-49FF-8DC5-5D0DA3394227}">
          <x14:formula1>
            <xm:f>RAM!$A$2:$A$3</xm:f>
          </x14:formula1>
          <xm:sqref>F12:H12</xm:sqref>
        </x14:dataValidation>
        <x14:dataValidation type="list" allowBlank="1" showInputMessage="1" showErrorMessage="1" xr:uid="{BE379BF3-844C-438C-ABEB-6AAC974DAC80}">
          <x14:formula1>
            <xm:f>RAM!$B$2:$B$3</xm:f>
          </x14:formula1>
          <xm:sqref>F14:H14</xm:sqref>
        </x14:dataValidation>
        <x14:dataValidation type="list" allowBlank="1" showInputMessage="1" showErrorMessage="1" xr:uid="{4904726F-C681-42DE-92DE-A445C04D1B7F}">
          <x14:formula1>
            <xm:f>RAM!$C$2:$C$6</xm:f>
          </x14:formula1>
          <xm:sqref>F16:H16</xm:sqref>
        </x14:dataValidation>
        <x14:dataValidation type="list" allowBlank="1" showInputMessage="1" showErrorMessage="1" xr:uid="{A27AFFB4-E933-4460-BAC8-613CD580630D}">
          <x14:formula1>
            <xm:f>RAM!$D$2:$D$4</xm:f>
          </x14:formula1>
          <xm:sqref>F22:H22</xm:sqref>
        </x14:dataValidation>
        <x14:dataValidation type="list" allowBlank="1" showInputMessage="1" showErrorMessage="1" xr:uid="{D5F9C64D-2C80-4D63-B8CC-7FF3795F3F51}">
          <x14:formula1>
            <xm:f>RAM!$G$2:$G$4</xm:f>
          </x14:formula1>
          <xm:sqref>F26:H26</xm:sqref>
        </x14:dataValidation>
        <x14:dataValidation type="list" allowBlank="1" showInputMessage="1" showErrorMessage="1" xr:uid="{D417BB66-C2D4-48D9-ADFB-4AC798B7A780}">
          <x14:formula1>
            <xm:f>RAM!$H$2:$H$13</xm:f>
          </x14:formula1>
          <xm:sqref>F28:H28</xm:sqref>
        </x14:dataValidation>
        <x14:dataValidation type="list" allowBlank="1" showInputMessage="1" showErrorMessage="1" xr:uid="{2CDF6A01-3706-4E08-AAB1-E0A11D1F3B5F}">
          <x14:formula1>
            <xm:f>RAM!$M$2:$M$10</xm:f>
          </x14:formula1>
          <xm:sqref>F32:H32</xm:sqref>
        </x14:dataValidation>
        <x14:dataValidation type="list" allowBlank="1" showInputMessage="1" showErrorMessage="1" xr:uid="{E577CA62-D7E5-431C-BBD1-D18A980BBF37}">
          <x14:formula1>
            <xm:f>RAM!$J$2:$J$15</xm:f>
          </x14:formula1>
          <xm:sqref>F34:H34</xm:sqref>
        </x14:dataValidation>
        <x14:dataValidation type="list" allowBlank="1" showInputMessage="1" showErrorMessage="1" xr:uid="{0A85AD6A-8569-456B-BAC1-61AFD29EE56E}">
          <x14:formula1>
            <xm:f>RAM!$K$2:$K$14</xm:f>
          </x14:formula1>
          <xm:sqref>F36:H36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880E9-B5F8-4E81-81EB-934FFA15D09F}">
  <sheetPr codeName="Sheet2"/>
  <dimension ref="A1:AR36"/>
  <sheetViews>
    <sheetView zoomScale="85" workbookViewId="0">
      <selection activeCell="H3" sqref="H3"/>
    </sheetView>
  </sheetViews>
  <sheetFormatPr defaultRowHeight="14.5" x14ac:dyDescent="0.35"/>
  <cols>
    <col min="1" max="2" width="19.1796875" customWidth="1"/>
    <col min="3" max="3" width="23.1796875" customWidth="1"/>
    <col min="4" max="4" width="9.453125" customWidth="1"/>
    <col min="5" max="5" width="14.81640625" bestFit="1" customWidth="1"/>
    <col min="6" max="6" width="15.90625" bestFit="1" customWidth="1"/>
    <col min="7" max="7" width="7.453125" customWidth="1"/>
    <col min="8" max="8" width="19.08984375" bestFit="1" customWidth="1"/>
    <col min="9" max="9" width="10.90625" bestFit="1" customWidth="1"/>
    <col min="10" max="10" width="31" customWidth="1"/>
    <col min="11" max="11" width="28.7265625" customWidth="1"/>
    <col min="12" max="12" width="15.08984375" customWidth="1"/>
    <col min="13" max="13" width="13" customWidth="1"/>
    <col min="14" max="14" width="9.08984375" bestFit="1" customWidth="1"/>
    <col min="15" max="15" width="9.90625" bestFit="1" customWidth="1"/>
    <col min="17" max="17" width="0.81640625" customWidth="1"/>
    <col min="20" max="20" width="0.81640625" customWidth="1"/>
    <col min="21" max="21" width="14.453125" bestFit="1" customWidth="1"/>
    <col min="22" max="22" width="10.81640625" bestFit="1" customWidth="1"/>
    <col min="24" max="32" width="10.81640625" bestFit="1" customWidth="1"/>
    <col min="33" max="33" width="14" bestFit="1" customWidth="1"/>
    <col min="34" max="34" width="28.7265625" bestFit="1" customWidth="1"/>
    <col min="35" max="35" width="20.90625" bestFit="1" customWidth="1"/>
    <col min="36" max="36" width="9.54296875" customWidth="1"/>
    <col min="37" max="37" width="31" bestFit="1" customWidth="1"/>
    <col min="38" max="38" width="17.7265625" bestFit="1" customWidth="1"/>
    <col min="41" max="41" width="34.54296875" bestFit="1" customWidth="1"/>
  </cols>
  <sheetData>
    <row r="1" spans="1:44" x14ac:dyDescent="0.35">
      <c r="A1" s="1" t="s">
        <v>1</v>
      </c>
      <c r="B1" s="1" t="s">
        <v>14</v>
      </c>
      <c r="C1" s="1" t="s">
        <v>3</v>
      </c>
      <c r="D1" s="1" t="s">
        <v>6</v>
      </c>
      <c r="E1" s="1" t="s">
        <v>4</v>
      </c>
      <c r="F1" s="1" t="s">
        <v>7</v>
      </c>
      <c r="G1" t="s">
        <v>15</v>
      </c>
      <c r="H1" t="s">
        <v>9</v>
      </c>
      <c r="I1" t="s">
        <v>5</v>
      </c>
      <c r="J1" t="s">
        <v>16</v>
      </c>
      <c r="K1" t="s">
        <v>17</v>
      </c>
      <c r="L1" t="s">
        <v>18</v>
      </c>
      <c r="M1" t="s">
        <v>19</v>
      </c>
      <c r="N1" s="15" t="s">
        <v>122</v>
      </c>
      <c r="O1" s="15" t="s">
        <v>123</v>
      </c>
      <c r="P1" s="15" t="s">
        <v>125</v>
      </c>
      <c r="R1" s="18" t="s">
        <v>9</v>
      </c>
      <c r="S1" s="18" t="s">
        <v>89</v>
      </c>
      <c r="U1" s="15" t="s">
        <v>1</v>
      </c>
      <c r="V1" s="15" t="s">
        <v>153</v>
      </c>
      <c r="W1" s="15" t="s">
        <v>155</v>
      </c>
      <c r="X1" s="15" t="s">
        <v>151</v>
      </c>
      <c r="Y1" s="15" t="s">
        <v>143</v>
      </c>
      <c r="Z1" s="15" t="s">
        <v>135</v>
      </c>
      <c r="AA1" s="15" t="s">
        <v>103</v>
      </c>
      <c r="AB1" s="15" t="s">
        <v>22</v>
      </c>
      <c r="AC1" s="15" t="s">
        <v>136</v>
      </c>
      <c r="AD1" s="15" t="s">
        <v>159</v>
      </c>
      <c r="AE1" s="15" t="s">
        <v>154</v>
      </c>
      <c r="AF1" s="15" t="s">
        <v>152</v>
      </c>
      <c r="AG1" s="15" t="s">
        <v>162</v>
      </c>
      <c r="AH1" s="45" t="s">
        <v>173</v>
      </c>
      <c r="AI1" s="45" t="s">
        <v>174</v>
      </c>
      <c r="AJ1" s="45" t="s">
        <v>187</v>
      </c>
      <c r="AK1" s="4" t="s">
        <v>173</v>
      </c>
      <c r="AL1" s="4" t="s">
        <v>175</v>
      </c>
      <c r="AM1" s="45" t="s">
        <v>187</v>
      </c>
      <c r="AO1" s="2" t="s">
        <v>457</v>
      </c>
      <c r="AP1" s="2" t="s">
        <v>455</v>
      </c>
      <c r="AQ1" s="2" t="s">
        <v>456</v>
      </c>
    </row>
    <row r="2" spans="1:44" x14ac:dyDescent="0.35">
      <c r="A2" s="2" t="s">
        <v>20</v>
      </c>
      <c r="B2" s="2" t="s">
        <v>21</v>
      </c>
      <c r="C2" s="1" t="s">
        <v>22</v>
      </c>
      <c r="D2" s="1" t="s">
        <v>23</v>
      </c>
      <c r="E2" s="1">
        <v>80</v>
      </c>
      <c r="F2" s="1">
        <v>40</v>
      </c>
      <c r="G2" s="1" t="s">
        <v>24</v>
      </c>
      <c r="H2" t="s">
        <v>25</v>
      </c>
      <c r="I2" t="s">
        <v>26</v>
      </c>
      <c r="J2" s="3" t="s">
        <v>121</v>
      </c>
      <c r="K2" t="s">
        <v>28</v>
      </c>
      <c r="L2" t="s">
        <v>29</v>
      </c>
      <c r="M2" t="s">
        <v>30</v>
      </c>
      <c r="N2" s="5" t="s">
        <v>87</v>
      </c>
      <c r="O2" s="19">
        <v>95.5</v>
      </c>
      <c r="P2" s="17" t="s">
        <v>126</v>
      </c>
      <c r="R2" s="16" t="s">
        <v>36</v>
      </c>
      <c r="S2" s="19">
        <v>120</v>
      </c>
      <c r="U2" t="s">
        <v>147</v>
      </c>
      <c r="V2" s="82">
        <v>12.666666666666668</v>
      </c>
      <c r="W2" s="82">
        <v>6.3333333333333339</v>
      </c>
      <c r="X2" s="1">
        <v>9</v>
      </c>
      <c r="Y2" s="1">
        <v>6</v>
      </c>
      <c r="Z2" s="38" t="s">
        <v>161</v>
      </c>
      <c r="AA2" s="1">
        <v>8</v>
      </c>
      <c r="AB2" s="1">
        <v>7</v>
      </c>
      <c r="AC2" s="1">
        <v>3</v>
      </c>
      <c r="AD2" s="1">
        <v>4</v>
      </c>
      <c r="AE2" s="1">
        <v>2</v>
      </c>
      <c r="AF2" s="1">
        <v>1</v>
      </c>
      <c r="AG2" s="1">
        <f>SUM(X2:AF2)</f>
        <v>40</v>
      </c>
      <c r="AH2" s="46" t="s">
        <v>28</v>
      </c>
      <c r="AI2" s="47">
        <v>1.2</v>
      </c>
      <c r="AJ2" s="47">
        <v>1</v>
      </c>
      <c r="AK2" s="48" t="s">
        <v>27</v>
      </c>
      <c r="AL2" s="49">
        <v>0.5</v>
      </c>
      <c r="AM2" s="49">
        <v>1.2</v>
      </c>
      <c r="AN2" s="56"/>
      <c r="AO2" s="4" t="s">
        <v>448</v>
      </c>
      <c r="AP2" s="141">
        <f>AQ2/$AQ$9</f>
        <v>0.49877149877149884</v>
      </c>
      <c r="AQ2" s="1">
        <v>20.3</v>
      </c>
      <c r="AR2" s="2">
        <v>60</v>
      </c>
    </row>
    <row r="3" spans="1:44" x14ac:dyDescent="0.35">
      <c r="A3" s="1" t="s">
        <v>31</v>
      </c>
      <c r="B3" s="1" t="s">
        <v>32</v>
      </c>
      <c r="C3" s="2" t="s">
        <v>33</v>
      </c>
      <c r="D3" s="2" t="s">
        <v>34</v>
      </c>
      <c r="E3" s="1">
        <f t="shared" ref="E3:F16" si="0">E2+5</f>
        <v>85</v>
      </c>
      <c r="F3" s="1">
        <f t="shared" si="0"/>
        <v>45</v>
      </c>
      <c r="G3" s="1" t="s">
        <v>35</v>
      </c>
      <c r="H3" t="s">
        <v>36</v>
      </c>
      <c r="I3" t="s">
        <v>37</v>
      </c>
      <c r="J3" s="3" t="s">
        <v>27</v>
      </c>
      <c r="K3" t="s">
        <v>39</v>
      </c>
      <c r="L3" t="s">
        <v>40</v>
      </c>
      <c r="M3" t="s">
        <v>41</v>
      </c>
      <c r="N3" s="5" t="s">
        <v>88</v>
      </c>
      <c r="O3" s="19">
        <v>35</v>
      </c>
      <c r="P3" s="17" t="s">
        <v>126</v>
      </c>
      <c r="R3" s="16" t="s">
        <v>44</v>
      </c>
      <c r="S3" s="19"/>
      <c r="U3" t="s">
        <v>148</v>
      </c>
      <c r="V3" s="82">
        <v>13.868627450980393</v>
      </c>
      <c r="W3" s="82">
        <v>6.9343137254901963</v>
      </c>
      <c r="X3" s="1">
        <v>9</v>
      </c>
      <c r="Y3" s="1">
        <v>6</v>
      </c>
      <c r="Z3" s="1">
        <v>5</v>
      </c>
      <c r="AA3" s="38" t="s">
        <v>161</v>
      </c>
      <c r="AB3" s="1">
        <v>7</v>
      </c>
      <c r="AC3" s="1">
        <v>3</v>
      </c>
      <c r="AD3" s="1">
        <v>4</v>
      </c>
      <c r="AE3" s="1">
        <v>2</v>
      </c>
      <c r="AF3" s="1">
        <v>1</v>
      </c>
      <c r="AG3" s="1">
        <f t="shared" ref="AG3:AG8" si="1">SUM(X3:AF3)</f>
        <v>37</v>
      </c>
      <c r="AH3" s="46" t="s">
        <v>39</v>
      </c>
      <c r="AI3" s="47">
        <v>1.2</v>
      </c>
      <c r="AJ3" s="47">
        <v>1</v>
      </c>
      <c r="AK3" s="48" t="s">
        <v>38</v>
      </c>
      <c r="AL3" s="49">
        <v>1</v>
      </c>
      <c r="AM3" s="49">
        <v>1.5</v>
      </c>
      <c r="AO3" s="4" t="s">
        <v>449</v>
      </c>
      <c r="AP3" s="141">
        <f t="shared" ref="AP3:AP8" si="2">AQ3/$AQ$9</f>
        <v>0.1670761670761671</v>
      </c>
      <c r="AQ3" s="1">
        <v>6.8</v>
      </c>
    </row>
    <row r="4" spans="1:44" x14ac:dyDescent="0.35">
      <c r="C4" s="1" t="s">
        <v>85</v>
      </c>
      <c r="D4" s="1" t="s">
        <v>42</v>
      </c>
      <c r="E4" s="1">
        <f t="shared" si="0"/>
        <v>90</v>
      </c>
      <c r="F4" s="1">
        <f t="shared" si="0"/>
        <v>50</v>
      </c>
      <c r="G4" s="2" t="s">
        <v>43</v>
      </c>
      <c r="H4" t="s">
        <v>44</v>
      </c>
      <c r="I4" t="s">
        <v>45</v>
      </c>
      <c r="J4" s="3" t="s">
        <v>38</v>
      </c>
      <c r="K4" s="3" t="s">
        <v>47</v>
      </c>
      <c r="L4" t="s">
        <v>48</v>
      </c>
      <c r="M4" t="s">
        <v>49</v>
      </c>
      <c r="N4" s="5" t="s">
        <v>89</v>
      </c>
      <c r="O4" s="19">
        <f>IFERROR(VLOOKUP('Production Calculation'!F28,RAM!R:S,2,0),AVERAGE(S2:S10))</f>
        <v>164.16666666666666</v>
      </c>
      <c r="P4" s="17" t="s">
        <v>126</v>
      </c>
      <c r="R4" s="16" t="s">
        <v>50</v>
      </c>
      <c r="S4" s="19">
        <v>215</v>
      </c>
      <c r="U4" t="s">
        <v>149</v>
      </c>
      <c r="V4" s="82">
        <v>12.727450980392158</v>
      </c>
      <c r="W4" s="82">
        <v>6.3637254901960789</v>
      </c>
      <c r="X4" s="1">
        <v>9</v>
      </c>
      <c r="Y4" s="1">
        <v>6</v>
      </c>
      <c r="Z4" s="1">
        <v>5</v>
      </c>
      <c r="AA4" s="38" t="s">
        <v>161</v>
      </c>
      <c r="AB4" s="38" t="s">
        <v>161</v>
      </c>
      <c r="AC4" s="1">
        <v>3</v>
      </c>
      <c r="AD4" s="1">
        <v>4</v>
      </c>
      <c r="AE4" s="1">
        <v>2</v>
      </c>
      <c r="AF4" s="1">
        <v>1</v>
      </c>
      <c r="AG4" s="1">
        <f t="shared" si="1"/>
        <v>30</v>
      </c>
      <c r="AH4" s="46" t="s">
        <v>47</v>
      </c>
      <c r="AI4" s="47">
        <v>1.2</v>
      </c>
      <c r="AJ4" s="47">
        <v>1.3</v>
      </c>
      <c r="AK4" s="48" t="s">
        <v>46</v>
      </c>
      <c r="AL4" s="49">
        <v>0.75</v>
      </c>
      <c r="AM4" s="49">
        <v>0</v>
      </c>
      <c r="AO4" s="4" t="s">
        <v>450</v>
      </c>
      <c r="AP4" s="141">
        <f t="shared" si="2"/>
        <v>0.11056511056511058</v>
      </c>
      <c r="AQ4" s="1">
        <v>4.5</v>
      </c>
      <c r="AR4" s="1">
        <v>4.5</v>
      </c>
    </row>
    <row r="5" spans="1:44" x14ac:dyDescent="0.35">
      <c r="C5" s="1" t="s">
        <v>86</v>
      </c>
      <c r="E5" s="1">
        <f t="shared" si="0"/>
        <v>95</v>
      </c>
      <c r="F5" s="1">
        <f t="shared" si="0"/>
        <v>55</v>
      </c>
      <c r="H5" t="s">
        <v>50</v>
      </c>
      <c r="I5" t="s">
        <v>51</v>
      </c>
      <c r="J5" s="3" t="s">
        <v>46</v>
      </c>
      <c r="K5" t="s">
        <v>53</v>
      </c>
      <c r="L5" t="s">
        <v>54</v>
      </c>
      <c r="M5" t="s">
        <v>55</v>
      </c>
      <c r="N5" s="5" t="s">
        <v>90</v>
      </c>
      <c r="O5" s="19">
        <v>49.5</v>
      </c>
      <c r="P5" s="17" t="s">
        <v>126</v>
      </c>
      <c r="R5" s="16" t="s">
        <v>56</v>
      </c>
      <c r="S5" s="19">
        <v>135</v>
      </c>
      <c r="U5" t="s">
        <v>150</v>
      </c>
      <c r="V5" s="82">
        <v>11.8</v>
      </c>
      <c r="W5" s="82">
        <v>5.9</v>
      </c>
      <c r="X5" s="1">
        <v>9</v>
      </c>
      <c r="Y5" s="1">
        <v>6</v>
      </c>
      <c r="Z5" s="1">
        <v>5</v>
      </c>
      <c r="AA5" s="38" t="s">
        <v>161</v>
      </c>
      <c r="AB5" s="38" t="s">
        <v>161</v>
      </c>
      <c r="AC5" s="1">
        <v>3</v>
      </c>
      <c r="AD5" s="38" t="s">
        <v>161</v>
      </c>
      <c r="AE5" s="1">
        <v>2</v>
      </c>
      <c r="AF5" s="1">
        <v>1</v>
      </c>
      <c r="AG5" s="1">
        <f t="shared" si="1"/>
        <v>26</v>
      </c>
      <c r="AH5" s="46" t="s">
        <v>53</v>
      </c>
      <c r="AI5" s="47">
        <v>1.2</v>
      </c>
      <c r="AJ5" s="47">
        <v>1.3</v>
      </c>
      <c r="AK5" s="48" t="s">
        <v>52</v>
      </c>
      <c r="AL5" s="49">
        <v>1.5</v>
      </c>
      <c r="AM5" s="49">
        <v>1.5</v>
      </c>
      <c r="AO5" s="4" t="s">
        <v>451</v>
      </c>
      <c r="AP5" s="141">
        <f t="shared" si="2"/>
        <v>0.11056511056511058</v>
      </c>
      <c r="AQ5" s="1">
        <v>4.5</v>
      </c>
    </row>
    <row r="6" spans="1:44" x14ac:dyDescent="0.35">
      <c r="C6" s="1" t="s">
        <v>142</v>
      </c>
      <c r="E6" s="1">
        <f t="shared" si="0"/>
        <v>100</v>
      </c>
      <c r="F6" s="2">
        <f t="shared" si="0"/>
        <v>60</v>
      </c>
      <c r="H6" s="4" t="s">
        <v>56</v>
      </c>
      <c r="I6" t="s">
        <v>57</v>
      </c>
      <c r="J6" s="3" t="s">
        <v>52</v>
      </c>
      <c r="K6" t="s">
        <v>46</v>
      </c>
      <c r="M6" t="s">
        <v>59</v>
      </c>
      <c r="N6" s="5" t="s">
        <v>91</v>
      </c>
      <c r="O6" s="19">
        <v>224</v>
      </c>
      <c r="P6" s="17" t="s">
        <v>126</v>
      </c>
      <c r="R6" s="16" t="s">
        <v>60</v>
      </c>
      <c r="S6" s="19">
        <v>210</v>
      </c>
      <c r="U6" t="s">
        <v>163</v>
      </c>
      <c r="V6" s="82">
        <v>7.2823529411764705</v>
      </c>
      <c r="W6" s="82">
        <v>3.6411764705882352</v>
      </c>
      <c r="X6" s="1">
        <v>9</v>
      </c>
      <c r="Y6" s="1">
        <v>6</v>
      </c>
      <c r="Z6" s="38" t="s">
        <v>161</v>
      </c>
      <c r="AA6" s="38" t="s">
        <v>161</v>
      </c>
      <c r="AB6" s="38" t="s">
        <v>161</v>
      </c>
      <c r="AC6" s="38" t="s">
        <v>161</v>
      </c>
      <c r="AD6" s="38" t="s">
        <v>161</v>
      </c>
      <c r="AE6" s="38" t="s">
        <v>161</v>
      </c>
      <c r="AF6" s="1">
        <v>1</v>
      </c>
      <c r="AG6" s="1">
        <f t="shared" si="1"/>
        <v>16</v>
      </c>
      <c r="AH6" s="46" t="s">
        <v>46</v>
      </c>
      <c r="AI6" s="47">
        <v>1.2</v>
      </c>
      <c r="AJ6" s="47">
        <v>1.3</v>
      </c>
      <c r="AK6" s="48" t="s">
        <v>58</v>
      </c>
      <c r="AL6" s="49">
        <v>0.5</v>
      </c>
      <c r="AM6" s="49">
        <v>0</v>
      </c>
      <c r="AO6" s="4" t="s">
        <v>452</v>
      </c>
      <c r="AP6" s="141">
        <f t="shared" si="2"/>
        <v>5.6511056511056514E-2</v>
      </c>
      <c r="AQ6" s="1">
        <v>2.2999999999999998</v>
      </c>
    </row>
    <row r="7" spans="1:44" x14ac:dyDescent="0.35">
      <c r="E7" s="1">
        <f t="shared" si="0"/>
        <v>105</v>
      </c>
      <c r="F7" s="1">
        <f t="shared" si="0"/>
        <v>65</v>
      </c>
      <c r="H7" t="s">
        <v>60</v>
      </c>
      <c r="I7" t="s">
        <v>61</v>
      </c>
      <c r="J7" s="3" t="s">
        <v>58</v>
      </c>
      <c r="K7" t="s">
        <v>58</v>
      </c>
      <c r="M7" t="s">
        <v>63</v>
      </c>
      <c r="N7" s="5" t="s">
        <v>92</v>
      </c>
      <c r="O7" s="19">
        <v>103</v>
      </c>
      <c r="P7" s="17" t="s">
        <v>126</v>
      </c>
      <c r="R7" s="16" t="s">
        <v>64</v>
      </c>
      <c r="S7" s="19">
        <v>135</v>
      </c>
      <c r="U7" t="s">
        <v>164</v>
      </c>
      <c r="V7" s="82">
        <v>12.91764705882353</v>
      </c>
      <c r="W7" s="82">
        <v>6.4588235294117649</v>
      </c>
      <c r="X7" s="1">
        <v>9</v>
      </c>
      <c r="Y7" s="1">
        <v>6</v>
      </c>
      <c r="Z7" s="1">
        <v>5</v>
      </c>
      <c r="AA7" s="38" t="s">
        <v>161</v>
      </c>
      <c r="AB7" s="1">
        <v>7</v>
      </c>
      <c r="AC7" s="1">
        <v>3</v>
      </c>
      <c r="AD7" s="38" t="s">
        <v>161</v>
      </c>
      <c r="AE7" s="1">
        <v>2</v>
      </c>
      <c r="AF7" s="1">
        <v>1</v>
      </c>
      <c r="AG7" s="1">
        <f t="shared" si="1"/>
        <v>33</v>
      </c>
      <c r="AH7" s="46" t="s">
        <v>58</v>
      </c>
      <c r="AI7" s="47">
        <v>1.2</v>
      </c>
      <c r="AJ7" s="47">
        <v>1.3</v>
      </c>
      <c r="AK7" s="48" t="s">
        <v>62</v>
      </c>
      <c r="AL7" s="49">
        <v>0.75</v>
      </c>
      <c r="AM7" s="49">
        <v>0</v>
      </c>
      <c r="AO7" s="4" t="s">
        <v>453</v>
      </c>
      <c r="AP7" s="141">
        <f t="shared" si="2"/>
        <v>3.4398034398034398E-2</v>
      </c>
      <c r="AQ7" s="1">
        <v>1.4</v>
      </c>
      <c r="AR7" s="1">
        <v>1.4</v>
      </c>
    </row>
    <row r="8" spans="1:44" x14ac:dyDescent="0.35">
      <c r="E8" s="1">
        <f t="shared" si="0"/>
        <v>110</v>
      </c>
      <c r="F8" s="1">
        <f t="shared" si="0"/>
        <v>70</v>
      </c>
      <c r="H8" t="s">
        <v>64</v>
      </c>
      <c r="I8" t="s">
        <v>65</v>
      </c>
      <c r="J8" s="3" t="s">
        <v>62</v>
      </c>
      <c r="K8" t="s">
        <v>62</v>
      </c>
      <c r="M8" t="s">
        <v>67</v>
      </c>
      <c r="N8" s="5" t="s">
        <v>98</v>
      </c>
      <c r="O8" s="19">
        <v>50</v>
      </c>
      <c r="P8" s="17" t="s">
        <v>126</v>
      </c>
      <c r="R8" s="16" t="s">
        <v>68</v>
      </c>
      <c r="S8" s="19"/>
      <c r="U8" t="s">
        <v>363</v>
      </c>
      <c r="V8" s="82">
        <v>11.241176470588236</v>
      </c>
      <c r="W8" s="82">
        <v>5.6205882352941181</v>
      </c>
      <c r="X8" s="1">
        <v>9</v>
      </c>
      <c r="Y8" s="1">
        <v>6</v>
      </c>
      <c r="Z8" s="38" t="s">
        <v>161</v>
      </c>
      <c r="AA8" s="1">
        <v>8</v>
      </c>
      <c r="AB8" s="1">
        <v>7</v>
      </c>
      <c r="AC8" s="1">
        <v>3</v>
      </c>
      <c r="AD8" s="38" t="s">
        <v>161</v>
      </c>
      <c r="AE8" s="1">
        <v>2</v>
      </c>
      <c r="AF8" s="1">
        <v>1</v>
      </c>
      <c r="AG8" s="1">
        <f t="shared" si="1"/>
        <v>36</v>
      </c>
      <c r="AH8" s="46" t="s">
        <v>62</v>
      </c>
      <c r="AI8" s="47">
        <v>1.2</v>
      </c>
      <c r="AJ8" s="47">
        <v>1.3</v>
      </c>
      <c r="AK8" s="48" t="s">
        <v>66</v>
      </c>
      <c r="AL8" s="49">
        <v>2</v>
      </c>
      <c r="AM8" s="49">
        <v>0</v>
      </c>
      <c r="AO8" s="4" t="s">
        <v>454</v>
      </c>
      <c r="AP8" s="141">
        <f t="shared" si="2"/>
        <v>2.2113022113022116E-2</v>
      </c>
      <c r="AQ8" s="1">
        <v>0.9</v>
      </c>
    </row>
    <row r="9" spans="1:44" x14ac:dyDescent="0.35">
      <c r="E9" s="1">
        <f t="shared" si="0"/>
        <v>115</v>
      </c>
      <c r="F9" s="1"/>
      <c r="H9" t="s">
        <v>68</v>
      </c>
      <c r="I9" t="s">
        <v>69</v>
      </c>
      <c r="J9" s="3" t="s">
        <v>66</v>
      </c>
      <c r="K9" t="s">
        <v>71</v>
      </c>
      <c r="M9" t="s">
        <v>72</v>
      </c>
      <c r="N9" s="5" t="s">
        <v>99</v>
      </c>
      <c r="O9" s="19">
        <v>94</v>
      </c>
      <c r="P9" s="17" t="s">
        <v>126</v>
      </c>
      <c r="R9" s="16" t="s">
        <v>73</v>
      </c>
      <c r="S9" s="19"/>
      <c r="X9" s="15" t="s">
        <v>151</v>
      </c>
      <c r="Y9" s="15" t="s">
        <v>143</v>
      </c>
      <c r="Z9" s="15" t="s">
        <v>135</v>
      </c>
      <c r="AA9" s="15" t="s">
        <v>103</v>
      </c>
      <c r="AB9" s="15" t="s">
        <v>22</v>
      </c>
      <c r="AC9" s="15" t="s">
        <v>136</v>
      </c>
      <c r="AD9" s="15" t="s">
        <v>159</v>
      </c>
      <c r="AE9" s="15" t="s">
        <v>154</v>
      </c>
      <c r="AF9" s="15" t="s">
        <v>152</v>
      </c>
      <c r="AH9" s="46" t="s">
        <v>71</v>
      </c>
      <c r="AI9" s="47">
        <v>1.2</v>
      </c>
      <c r="AJ9" s="47">
        <v>1.3</v>
      </c>
      <c r="AK9" s="48" t="s">
        <v>70</v>
      </c>
      <c r="AL9" s="49">
        <v>0.5</v>
      </c>
      <c r="AM9" s="49">
        <v>1.2</v>
      </c>
      <c r="AP9" s="141">
        <f>SUM(AP2:AP8)</f>
        <v>1</v>
      </c>
      <c r="AQ9" s="2">
        <f>SUM(AQ2:AQ8)</f>
        <v>40.699999999999996</v>
      </c>
      <c r="AR9" s="2">
        <f>SUM(AR2:AR8)</f>
        <v>65.900000000000006</v>
      </c>
    </row>
    <row r="10" spans="1:44" x14ac:dyDescent="0.35">
      <c r="E10" s="2">
        <v>118</v>
      </c>
      <c r="F10" s="1"/>
      <c r="H10" t="s">
        <v>73</v>
      </c>
      <c r="I10" t="s">
        <v>74</v>
      </c>
      <c r="J10" s="3" t="s">
        <v>70</v>
      </c>
      <c r="K10" t="s">
        <v>75</v>
      </c>
      <c r="M10" t="s">
        <v>76</v>
      </c>
      <c r="N10" s="5" t="s">
        <v>100</v>
      </c>
      <c r="O10" s="19">
        <v>118</v>
      </c>
      <c r="P10" s="17" t="s">
        <v>126</v>
      </c>
      <c r="R10" s="16" t="s">
        <v>77</v>
      </c>
      <c r="S10" s="19">
        <v>170</v>
      </c>
      <c r="X10" s="1" t="s">
        <v>160</v>
      </c>
      <c r="Y10" s="1" t="s">
        <v>160</v>
      </c>
      <c r="Z10" s="1" t="str">
        <f>IF('Production Calculation'!Y12=0,"N","Y")</f>
        <v>N</v>
      </c>
      <c r="AA10" s="1" t="str">
        <f>IF('Production Calculation'!S8=0,"N","Y")</f>
        <v>N</v>
      </c>
      <c r="AB10" s="37" t="str">
        <f>IF('Production Calculation'!N8=0,"N","Y")</f>
        <v>N</v>
      </c>
      <c r="AC10" s="37" t="str">
        <f>IF('Production Calculation'!Y16=0,"N","Y")</f>
        <v>N</v>
      </c>
      <c r="AD10" s="37" t="str">
        <f>IF(OR('Production Calculation'!Y28&gt;0,'Production Calculation'!Y32&gt;0),"Y","N")</f>
        <v>N</v>
      </c>
      <c r="AE10" s="37" t="str">
        <f>IF('Production Calculation'!Y24=0,"N","Y")</f>
        <v>N</v>
      </c>
      <c r="AF10" s="37" t="s">
        <v>160</v>
      </c>
      <c r="AG10" s="1" t="str">
        <f>IFERROR(INDEX(U2:U8,MATCH(AG11,AG2:AG8,0)),"Not Match")</f>
        <v>Type E</v>
      </c>
      <c r="AH10" s="46" t="s">
        <v>75</v>
      </c>
      <c r="AI10" s="47">
        <v>1.2</v>
      </c>
      <c r="AJ10" s="47">
        <v>1.3</v>
      </c>
      <c r="AK10" s="48" t="s">
        <v>75</v>
      </c>
      <c r="AL10" s="49">
        <v>1</v>
      </c>
      <c r="AM10" s="49">
        <v>0</v>
      </c>
    </row>
    <row r="11" spans="1:44" x14ac:dyDescent="0.35">
      <c r="E11" s="1">
        <f t="shared" si="0"/>
        <v>123</v>
      </c>
      <c r="F11" s="1"/>
      <c r="H11" t="s">
        <v>77</v>
      </c>
      <c r="I11" t="s">
        <v>78</v>
      </c>
      <c r="J11" s="3" t="s">
        <v>75</v>
      </c>
      <c r="K11" t="s">
        <v>80</v>
      </c>
      <c r="N11" s="5" t="s">
        <v>444</v>
      </c>
      <c r="O11" s="19">
        <v>90</v>
      </c>
      <c r="P11" s="17" t="s">
        <v>126</v>
      </c>
      <c r="X11" s="1">
        <v>9</v>
      </c>
      <c r="Y11" s="1">
        <v>6</v>
      </c>
      <c r="Z11" s="37">
        <f>IF(Z10="Y",5,0)</f>
        <v>0</v>
      </c>
      <c r="AA11" s="37">
        <f>IF(AA10="Y",8,0)</f>
        <v>0</v>
      </c>
      <c r="AB11" s="37">
        <f>IF(AB10="Y",7,0)</f>
        <v>0</v>
      </c>
      <c r="AC11" s="37">
        <f>IF(AC10="Y",3,0)</f>
        <v>0</v>
      </c>
      <c r="AD11" s="37">
        <f>IF(AD10="Y",4,0)</f>
        <v>0</v>
      </c>
      <c r="AE11" s="37">
        <f>IF(AE10="Y",2,0)</f>
        <v>0</v>
      </c>
      <c r="AF11" s="37">
        <f t="shared" ref="AF11" si="3">IF(AF10="Y",1,0)</f>
        <v>1</v>
      </c>
      <c r="AG11" s="37">
        <f>SUM(X11:AF11)</f>
        <v>16</v>
      </c>
      <c r="AH11" s="46" t="s">
        <v>80</v>
      </c>
      <c r="AI11" s="47">
        <v>1.2</v>
      </c>
      <c r="AJ11" s="47">
        <v>1.3</v>
      </c>
      <c r="AK11" s="48" t="s">
        <v>79</v>
      </c>
      <c r="AL11" s="49">
        <v>2.5</v>
      </c>
      <c r="AM11" s="49">
        <v>3</v>
      </c>
      <c r="AP11">
        <v>150</v>
      </c>
      <c r="AQ11">
        <f>AQ9*AP11</f>
        <v>6104.9999999999991</v>
      </c>
    </row>
    <row r="12" spans="1:44" x14ac:dyDescent="0.35">
      <c r="E12" s="1">
        <f t="shared" si="0"/>
        <v>128</v>
      </c>
      <c r="F12" s="1"/>
      <c r="H12" t="s">
        <v>81</v>
      </c>
      <c r="I12" t="s">
        <v>132</v>
      </c>
      <c r="J12" s="3" t="s">
        <v>79</v>
      </c>
      <c r="K12" t="s">
        <v>83</v>
      </c>
      <c r="N12" s="5" t="s">
        <v>101</v>
      </c>
      <c r="O12" s="19">
        <v>54</v>
      </c>
      <c r="P12" s="17" t="s">
        <v>126</v>
      </c>
      <c r="U12" s="15" t="s">
        <v>1</v>
      </c>
      <c r="V12" s="15" t="s">
        <v>153</v>
      </c>
      <c r="W12" s="15" t="s">
        <v>155</v>
      </c>
      <c r="X12" s="15" t="s">
        <v>151</v>
      </c>
      <c r="Y12" s="15" t="s">
        <v>143</v>
      </c>
      <c r="Z12" s="15" t="s">
        <v>135</v>
      </c>
      <c r="AA12" s="15" t="s">
        <v>199</v>
      </c>
      <c r="AB12" s="15" t="s">
        <v>136</v>
      </c>
      <c r="AC12" s="15" t="s">
        <v>159</v>
      </c>
      <c r="AD12" s="15" t="s">
        <v>154</v>
      </c>
      <c r="AE12" s="15" t="s">
        <v>152</v>
      </c>
      <c r="AF12" s="15" t="s">
        <v>200</v>
      </c>
      <c r="AH12" s="46" t="s">
        <v>83</v>
      </c>
      <c r="AI12" s="47">
        <v>1.2</v>
      </c>
      <c r="AJ12" s="47">
        <v>1.3</v>
      </c>
      <c r="AK12" s="48" t="s">
        <v>82</v>
      </c>
      <c r="AL12" s="49">
        <v>2</v>
      </c>
      <c r="AM12" s="49">
        <v>0</v>
      </c>
    </row>
    <row r="13" spans="1:44" x14ac:dyDescent="0.35">
      <c r="E13" s="1">
        <f t="shared" si="0"/>
        <v>133</v>
      </c>
      <c r="F13" s="1"/>
      <c r="H13" t="s">
        <v>42</v>
      </c>
      <c r="J13" s="3" t="s">
        <v>82</v>
      </c>
      <c r="K13" t="s">
        <v>84</v>
      </c>
      <c r="N13" s="5" t="s">
        <v>102</v>
      </c>
      <c r="O13" s="19">
        <v>0</v>
      </c>
      <c r="P13" s="17" t="s">
        <v>126</v>
      </c>
      <c r="U13" t="s">
        <v>147</v>
      </c>
      <c r="V13" s="82">
        <f t="shared" ref="V13:V19" si="4">W13*2</f>
        <v>12.666666666666668</v>
      </c>
      <c r="W13" s="82">
        <f>SUM(X13:AF13)</f>
        <v>6.3333333333333339</v>
      </c>
      <c r="X13" s="1">
        <v>0.5</v>
      </c>
      <c r="Y13" s="1">
        <v>3</v>
      </c>
      <c r="Z13" s="82">
        <f t="shared" ref="Z13:AE13" si="5">Z21*1/24</f>
        <v>0</v>
      </c>
      <c r="AA13" s="82">
        <f t="shared" si="5"/>
        <v>0.5</v>
      </c>
      <c r="AB13" s="82">
        <f t="shared" si="5"/>
        <v>0.75</v>
      </c>
      <c r="AC13" s="82">
        <f t="shared" si="5"/>
        <v>0.41666666666666669</v>
      </c>
      <c r="AD13" s="82">
        <f t="shared" si="5"/>
        <v>0.41666666666666669</v>
      </c>
      <c r="AE13" s="82">
        <f t="shared" si="5"/>
        <v>8.3333333333333329E-2</v>
      </c>
      <c r="AF13" s="82">
        <v>0.66666666666666685</v>
      </c>
      <c r="AG13" s="82">
        <f t="shared" ref="AG13:AG19" si="6">SUM(X13:AF13)</f>
        <v>6.3333333333333339</v>
      </c>
      <c r="AH13" s="46" t="s">
        <v>84</v>
      </c>
      <c r="AI13" s="47">
        <v>1.2</v>
      </c>
      <c r="AJ13" s="47">
        <v>1.3</v>
      </c>
      <c r="AK13" s="48" t="s">
        <v>84</v>
      </c>
      <c r="AL13" s="49">
        <v>0.5</v>
      </c>
      <c r="AM13" s="49">
        <v>0</v>
      </c>
    </row>
    <row r="14" spans="1:44" x14ac:dyDescent="0.35">
      <c r="E14" s="1">
        <f t="shared" si="0"/>
        <v>138</v>
      </c>
      <c r="F14" s="1"/>
      <c r="J14" s="3" t="s">
        <v>84</v>
      </c>
      <c r="K14" t="s">
        <v>27</v>
      </c>
      <c r="N14" s="5" t="s">
        <v>131</v>
      </c>
      <c r="O14" s="19">
        <v>420</v>
      </c>
      <c r="P14" s="17" t="s">
        <v>126</v>
      </c>
      <c r="U14" t="s">
        <v>148</v>
      </c>
      <c r="V14" s="82">
        <f t="shared" si="4"/>
        <v>13.868627450980393</v>
      </c>
      <c r="W14" s="82">
        <f t="shared" ref="W14:W19" si="7">SUM(X14:AF14)</f>
        <v>6.9343137254901963</v>
      </c>
      <c r="X14" s="1">
        <v>0.5</v>
      </c>
      <c r="Y14" s="1">
        <v>3</v>
      </c>
      <c r="Z14" s="82">
        <f t="shared" ref="Z14:Z19" si="8">Z22*1/24</f>
        <v>0.75</v>
      </c>
      <c r="AA14" s="82">
        <f t="shared" ref="AA14:AA19" si="9">AA22*1/24</f>
        <v>0.5</v>
      </c>
      <c r="AB14" s="82">
        <f t="shared" ref="AB14:AE19" si="10">AB22*1/24</f>
        <v>0.75</v>
      </c>
      <c r="AC14" s="82">
        <f t="shared" si="10"/>
        <v>0.41666666666666669</v>
      </c>
      <c r="AD14" s="82">
        <f t="shared" si="10"/>
        <v>0.41666666666666669</v>
      </c>
      <c r="AE14" s="82">
        <f t="shared" si="10"/>
        <v>8.3333333333333329E-2</v>
      </c>
      <c r="AF14" s="82">
        <v>0.51764705882352946</v>
      </c>
      <c r="AG14" s="82">
        <f t="shared" si="6"/>
        <v>6.9343137254901963</v>
      </c>
      <c r="AH14" s="46" t="s">
        <v>27</v>
      </c>
      <c r="AI14" s="47">
        <v>1.2</v>
      </c>
      <c r="AJ14" s="47">
        <v>1.3</v>
      </c>
      <c r="AK14" t="s">
        <v>121</v>
      </c>
      <c r="AL14" s="49">
        <v>0</v>
      </c>
      <c r="AM14" s="49">
        <v>0</v>
      </c>
    </row>
    <row r="15" spans="1:44" x14ac:dyDescent="0.35">
      <c r="E15" s="1">
        <f t="shared" si="0"/>
        <v>143</v>
      </c>
      <c r="F15" s="1"/>
      <c r="J15" s="3" t="s">
        <v>140</v>
      </c>
      <c r="N15" s="5" t="s">
        <v>105</v>
      </c>
      <c r="O15" s="19">
        <v>3000</v>
      </c>
      <c r="P15" s="17" t="s">
        <v>125</v>
      </c>
      <c r="U15" t="s">
        <v>149</v>
      </c>
      <c r="V15" s="82">
        <f t="shared" si="4"/>
        <v>12.727450980392158</v>
      </c>
      <c r="W15" s="82">
        <f t="shared" si="7"/>
        <v>6.3637254901960789</v>
      </c>
      <c r="X15" s="1">
        <v>0.5</v>
      </c>
      <c r="Y15" s="1">
        <v>3</v>
      </c>
      <c r="Z15" s="82">
        <f t="shared" si="8"/>
        <v>0.75</v>
      </c>
      <c r="AA15" s="82">
        <f t="shared" si="9"/>
        <v>0</v>
      </c>
      <c r="AB15" s="82">
        <f t="shared" si="10"/>
        <v>0.75</v>
      </c>
      <c r="AC15" s="82">
        <f t="shared" si="10"/>
        <v>0.41666666666666669</v>
      </c>
      <c r="AD15" s="82">
        <f t="shared" si="10"/>
        <v>0.41666666666666669</v>
      </c>
      <c r="AE15" s="82">
        <f t="shared" si="10"/>
        <v>8.3333333333333329E-2</v>
      </c>
      <c r="AF15" s="82">
        <v>0.44705882352941179</v>
      </c>
      <c r="AG15" s="82">
        <f t="shared" si="6"/>
        <v>6.3637254901960789</v>
      </c>
      <c r="AH15" t="s">
        <v>121</v>
      </c>
      <c r="AI15" s="47">
        <v>0</v>
      </c>
      <c r="AJ15" s="47">
        <v>0</v>
      </c>
      <c r="AK15" t="s">
        <v>140</v>
      </c>
      <c r="AL15" s="49">
        <v>2.5</v>
      </c>
      <c r="AM15" s="49">
        <v>3</v>
      </c>
    </row>
    <row r="16" spans="1:44" x14ac:dyDescent="0.35">
      <c r="E16" s="1">
        <f t="shared" si="0"/>
        <v>148</v>
      </c>
      <c r="F16" s="1"/>
      <c r="N16" s="5" t="s">
        <v>124</v>
      </c>
      <c r="O16" s="19">
        <v>215</v>
      </c>
      <c r="P16" s="17" t="s">
        <v>125</v>
      </c>
      <c r="U16" t="s">
        <v>150</v>
      </c>
      <c r="V16" s="82">
        <f t="shared" si="4"/>
        <v>11.8</v>
      </c>
      <c r="W16" s="82">
        <f t="shared" si="7"/>
        <v>5.9</v>
      </c>
      <c r="X16" s="1">
        <v>0.5</v>
      </c>
      <c r="Y16" s="1">
        <v>3</v>
      </c>
      <c r="Z16" s="82">
        <f t="shared" si="8"/>
        <v>0.75</v>
      </c>
      <c r="AA16" s="82">
        <f t="shared" si="9"/>
        <v>0</v>
      </c>
      <c r="AB16" s="82">
        <f t="shared" si="10"/>
        <v>0.75</v>
      </c>
      <c r="AC16" s="82">
        <f t="shared" si="10"/>
        <v>0</v>
      </c>
      <c r="AD16" s="82">
        <f t="shared" si="10"/>
        <v>0.41666666666666669</v>
      </c>
      <c r="AE16" s="82">
        <f t="shared" si="10"/>
        <v>8.3333333333333329E-2</v>
      </c>
      <c r="AF16" s="82">
        <v>0.39999999999999997</v>
      </c>
      <c r="AG16" s="82">
        <f t="shared" si="6"/>
        <v>5.9</v>
      </c>
    </row>
    <row r="17" spans="12:33" x14ac:dyDescent="0.35">
      <c r="N17" s="5" t="s">
        <v>127</v>
      </c>
      <c r="O17" s="19">
        <v>37.5</v>
      </c>
      <c r="P17" s="17" t="s">
        <v>126</v>
      </c>
      <c r="U17" t="s">
        <v>163</v>
      </c>
      <c r="V17" s="82">
        <f t="shared" si="4"/>
        <v>7.4490196078431374</v>
      </c>
      <c r="W17" s="82">
        <f t="shared" si="7"/>
        <v>3.7245098039215687</v>
      </c>
      <c r="X17" s="1">
        <v>0.5</v>
      </c>
      <c r="Y17" s="1">
        <v>3</v>
      </c>
      <c r="Z17" s="82">
        <f t="shared" si="8"/>
        <v>0</v>
      </c>
      <c r="AA17" s="82">
        <f t="shared" si="9"/>
        <v>0</v>
      </c>
      <c r="AB17" s="82">
        <f t="shared" si="10"/>
        <v>0</v>
      </c>
      <c r="AC17" s="82">
        <f t="shared" si="10"/>
        <v>0</v>
      </c>
      <c r="AD17" s="82">
        <f t="shared" si="10"/>
        <v>0</v>
      </c>
      <c r="AE17" s="82">
        <f t="shared" si="10"/>
        <v>8.3333333333333329E-2</v>
      </c>
      <c r="AF17" s="82">
        <v>0.14117647058823529</v>
      </c>
      <c r="AG17" s="82">
        <f t="shared" si="6"/>
        <v>3.7245098039215687</v>
      </c>
    </row>
    <row r="18" spans="12:33" x14ac:dyDescent="0.35">
      <c r="N18" s="5" t="s">
        <v>128</v>
      </c>
      <c r="O18" s="19">
        <v>37.1</v>
      </c>
      <c r="P18" s="17" t="s">
        <v>126</v>
      </c>
      <c r="U18" t="s">
        <v>164</v>
      </c>
      <c r="V18" s="82">
        <f t="shared" si="4"/>
        <v>12.91764705882353</v>
      </c>
      <c r="W18" s="82">
        <f t="shared" si="7"/>
        <v>6.4588235294117649</v>
      </c>
      <c r="X18" s="1">
        <v>0.5</v>
      </c>
      <c r="Y18" s="1">
        <v>3</v>
      </c>
      <c r="Z18" s="82">
        <f t="shared" si="8"/>
        <v>0.75</v>
      </c>
      <c r="AA18" s="82">
        <f t="shared" si="9"/>
        <v>0.5</v>
      </c>
      <c r="AB18" s="82">
        <f t="shared" si="10"/>
        <v>0.75</v>
      </c>
      <c r="AC18" s="82">
        <f t="shared" si="10"/>
        <v>0</v>
      </c>
      <c r="AD18" s="82">
        <f t="shared" si="10"/>
        <v>0.41666666666666669</v>
      </c>
      <c r="AE18" s="82">
        <f t="shared" si="10"/>
        <v>8.3333333333333329E-2</v>
      </c>
      <c r="AF18" s="82">
        <v>0.45882352941176469</v>
      </c>
      <c r="AG18" s="82">
        <f t="shared" si="6"/>
        <v>6.4588235294117649</v>
      </c>
    </row>
    <row r="19" spans="12:33" x14ac:dyDescent="0.35">
      <c r="L19">
        <f>92.7</f>
        <v>92.7</v>
      </c>
      <c r="N19" s="5" t="s">
        <v>129</v>
      </c>
      <c r="O19" s="19">
        <v>112.25</v>
      </c>
      <c r="P19" s="17" t="s">
        <v>126</v>
      </c>
      <c r="U19" t="s">
        <v>363</v>
      </c>
      <c r="V19" s="82">
        <f t="shared" si="4"/>
        <v>11.241176470588236</v>
      </c>
      <c r="W19" s="82">
        <f t="shared" si="7"/>
        <v>5.6205882352941181</v>
      </c>
      <c r="X19" s="1">
        <v>0.5</v>
      </c>
      <c r="Y19" s="1">
        <v>3</v>
      </c>
      <c r="Z19" s="82">
        <f t="shared" si="8"/>
        <v>0</v>
      </c>
      <c r="AA19" s="82">
        <f t="shared" si="9"/>
        <v>0.5</v>
      </c>
      <c r="AB19" s="82">
        <f t="shared" si="10"/>
        <v>0.75</v>
      </c>
      <c r="AC19" s="82">
        <f t="shared" si="10"/>
        <v>0</v>
      </c>
      <c r="AD19" s="82">
        <f t="shared" si="10"/>
        <v>0.41666666666666669</v>
      </c>
      <c r="AE19" s="82">
        <f t="shared" si="10"/>
        <v>8.3333333333333329E-2</v>
      </c>
      <c r="AF19" s="82">
        <v>0.37058823529411766</v>
      </c>
      <c r="AG19" s="82">
        <f t="shared" si="6"/>
        <v>5.6205882352941181</v>
      </c>
    </row>
    <row r="20" spans="12:33" x14ac:dyDescent="0.35">
      <c r="L20">
        <f>L19*4%</f>
        <v>3.7080000000000002</v>
      </c>
      <c r="N20" s="5" t="s">
        <v>130</v>
      </c>
      <c r="O20" s="19">
        <v>137.25</v>
      </c>
      <c r="P20" s="17" t="s">
        <v>126</v>
      </c>
      <c r="U20" s="15" t="s">
        <v>1</v>
      </c>
      <c r="V20" s="15" t="s">
        <v>153</v>
      </c>
      <c r="W20" s="15" t="s">
        <v>155</v>
      </c>
      <c r="X20" s="15" t="s">
        <v>151</v>
      </c>
      <c r="Y20" s="15" t="s">
        <v>143</v>
      </c>
      <c r="Z20" s="15" t="s">
        <v>135</v>
      </c>
      <c r="AA20" s="15" t="s">
        <v>199</v>
      </c>
      <c r="AB20" s="15" t="s">
        <v>136</v>
      </c>
      <c r="AC20" s="15" t="s">
        <v>159</v>
      </c>
      <c r="AD20" s="15" t="s">
        <v>154</v>
      </c>
      <c r="AE20" s="15" t="s">
        <v>152</v>
      </c>
      <c r="AF20" s="15" t="s">
        <v>200</v>
      </c>
    </row>
    <row r="21" spans="12:33" x14ac:dyDescent="0.35">
      <c r="L21">
        <f>SUM(L19:L20)</f>
        <v>96.408000000000001</v>
      </c>
      <c r="N21" s="5" t="s">
        <v>134</v>
      </c>
      <c r="O21" s="19">
        <v>190</v>
      </c>
      <c r="P21" s="17" t="s">
        <v>126</v>
      </c>
      <c r="U21" t="s">
        <v>147</v>
      </c>
      <c r="V21" s="82">
        <v>12.666666666666668</v>
      </c>
      <c r="W21" s="82">
        <v>6.3333333333333339</v>
      </c>
      <c r="X21" s="1">
        <v>12</v>
      </c>
      <c r="Y21" s="1">
        <v>72</v>
      </c>
      <c r="Z21" s="1">
        <v>0</v>
      </c>
      <c r="AA21" s="1">
        <v>12</v>
      </c>
      <c r="AB21" s="1">
        <v>18</v>
      </c>
      <c r="AC21" s="1">
        <v>10</v>
      </c>
      <c r="AD21" s="1">
        <v>10</v>
      </c>
      <c r="AE21" s="1">
        <v>2</v>
      </c>
      <c r="AF21" s="115">
        <f t="shared" ref="AF21:AF27" si="11">(3*24/25.5)*W13</f>
        <v>17.882352941176475</v>
      </c>
      <c r="AG21" s="115">
        <f t="shared" ref="AG21:AG27" si="12">SUM(X21:AF21)</f>
        <v>153.88235294117646</v>
      </c>
    </row>
    <row r="22" spans="12:33" x14ac:dyDescent="0.35">
      <c r="N22" s="5" t="s">
        <v>139</v>
      </c>
      <c r="O22" s="19">
        <v>55</v>
      </c>
      <c r="P22" s="17" t="s">
        <v>126</v>
      </c>
      <c r="U22" t="s">
        <v>148</v>
      </c>
      <c r="V22" s="82">
        <v>13.868627450980393</v>
      </c>
      <c r="W22" s="82">
        <v>6.9343137254901963</v>
      </c>
      <c r="X22" s="1">
        <v>12</v>
      </c>
      <c r="Y22" s="1">
        <v>72</v>
      </c>
      <c r="Z22" s="1">
        <v>18</v>
      </c>
      <c r="AA22" s="1">
        <v>12</v>
      </c>
      <c r="AB22" s="1">
        <v>18</v>
      </c>
      <c r="AC22" s="1">
        <v>10</v>
      </c>
      <c r="AD22" s="1">
        <v>10</v>
      </c>
      <c r="AE22" s="1">
        <v>2</v>
      </c>
      <c r="AF22" s="115">
        <f t="shared" si="11"/>
        <v>19.57923875432526</v>
      </c>
      <c r="AG22" s="115">
        <f t="shared" si="12"/>
        <v>173.57923875432527</v>
      </c>
    </row>
    <row r="23" spans="12:33" x14ac:dyDescent="0.35">
      <c r="N23" s="5" t="s">
        <v>136</v>
      </c>
      <c r="O23" s="19">
        <v>40</v>
      </c>
      <c r="P23" s="17" t="s">
        <v>126</v>
      </c>
      <c r="U23" t="s">
        <v>149</v>
      </c>
      <c r="V23" s="82">
        <v>12.727450980392158</v>
      </c>
      <c r="W23" s="82">
        <v>6.3637254901960789</v>
      </c>
      <c r="X23" s="1">
        <v>12</v>
      </c>
      <c r="Y23" s="1">
        <v>72</v>
      </c>
      <c r="Z23" s="1">
        <v>18</v>
      </c>
      <c r="AA23" s="1">
        <v>0</v>
      </c>
      <c r="AB23" s="1">
        <v>18</v>
      </c>
      <c r="AC23" s="1">
        <v>10</v>
      </c>
      <c r="AD23" s="1">
        <v>10</v>
      </c>
      <c r="AE23" s="1">
        <v>2</v>
      </c>
      <c r="AF23" s="115">
        <f t="shared" si="11"/>
        <v>17.968166089965401</v>
      </c>
      <c r="AG23" s="115">
        <f t="shared" si="12"/>
        <v>159.96816608996539</v>
      </c>
    </row>
    <row r="24" spans="12:33" x14ac:dyDescent="0.35">
      <c r="U24" t="s">
        <v>150</v>
      </c>
      <c r="V24" s="82">
        <v>11.8</v>
      </c>
      <c r="W24" s="82">
        <v>5.9</v>
      </c>
      <c r="X24" s="1">
        <v>12</v>
      </c>
      <c r="Y24" s="1">
        <v>72</v>
      </c>
      <c r="Z24" s="1">
        <v>18</v>
      </c>
      <c r="AA24" s="1">
        <v>0</v>
      </c>
      <c r="AB24" s="1">
        <v>18</v>
      </c>
      <c r="AC24" s="1">
        <v>0</v>
      </c>
      <c r="AD24" s="1">
        <v>10</v>
      </c>
      <c r="AE24" s="1">
        <v>2</v>
      </c>
      <c r="AF24" s="115">
        <f t="shared" si="11"/>
        <v>16.658823529411766</v>
      </c>
      <c r="AG24" s="115">
        <f t="shared" si="12"/>
        <v>148.65882352941176</v>
      </c>
    </row>
    <row r="25" spans="12:33" x14ac:dyDescent="0.35">
      <c r="U25" t="s">
        <v>163</v>
      </c>
      <c r="V25" s="82">
        <v>7.2823529411764705</v>
      </c>
      <c r="W25" s="82">
        <v>3.6411764705882352</v>
      </c>
      <c r="X25" s="1">
        <v>12</v>
      </c>
      <c r="Y25" s="1">
        <v>72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2</v>
      </c>
      <c r="AF25" s="115">
        <f t="shared" si="11"/>
        <v>10.516262975778547</v>
      </c>
      <c r="AG25" s="115">
        <f t="shared" si="12"/>
        <v>96.516262975778545</v>
      </c>
    </row>
    <row r="26" spans="12:33" x14ac:dyDescent="0.35">
      <c r="U26" t="s">
        <v>164</v>
      </c>
      <c r="V26" s="82">
        <v>12.91764705882353</v>
      </c>
      <c r="W26" s="82">
        <v>6.4588235294117649</v>
      </c>
      <c r="X26" s="1">
        <v>12</v>
      </c>
      <c r="Y26" s="1">
        <v>72</v>
      </c>
      <c r="Z26" s="1">
        <v>18</v>
      </c>
      <c r="AA26" s="1">
        <v>12</v>
      </c>
      <c r="AB26" s="1">
        <v>18</v>
      </c>
      <c r="AC26" s="1">
        <v>0</v>
      </c>
      <c r="AD26" s="1">
        <v>10</v>
      </c>
      <c r="AE26" s="1">
        <v>2</v>
      </c>
      <c r="AF26" s="115">
        <f t="shared" si="11"/>
        <v>18.236678200692044</v>
      </c>
      <c r="AG26" s="115">
        <f t="shared" si="12"/>
        <v>162.23667820069204</v>
      </c>
    </row>
    <row r="27" spans="12:33" x14ac:dyDescent="0.35">
      <c r="U27" t="s">
        <v>363</v>
      </c>
      <c r="V27" s="82">
        <v>11.241176470588236</v>
      </c>
      <c r="W27" s="82">
        <v>5.6205882352941181</v>
      </c>
      <c r="X27" s="1">
        <v>12</v>
      </c>
      <c r="Y27" s="1">
        <v>72</v>
      </c>
      <c r="Z27" s="1">
        <v>0</v>
      </c>
      <c r="AA27" s="1">
        <v>12</v>
      </c>
      <c r="AB27" s="1">
        <v>18</v>
      </c>
      <c r="AC27" s="1">
        <v>0</v>
      </c>
      <c r="AD27" s="1">
        <v>10</v>
      </c>
      <c r="AE27" s="1">
        <v>2</v>
      </c>
      <c r="AF27" s="115">
        <f t="shared" si="11"/>
        <v>15.869896193771629</v>
      </c>
      <c r="AG27" s="115">
        <f t="shared" si="12"/>
        <v>141.86989619377164</v>
      </c>
    </row>
    <row r="28" spans="12:33" x14ac:dyDescent="0.35">
      <c r="AF28" s="115"/>
    </row>
    <row r="29" spans="12:33" x14ac:dyDescent="0.35">
      <c r="U29" s="15" t="s">
        <v>1</v>
      </c>
      <c r="V29" s="15" t="s">
        <v>370</v>
      </c>
      <c r="W29" s="15" t="s">
        <v>155</v>
      </c>
      <c r="X29" s="15" t="s">
        <v>151</v>
      </c>
      <c r="Y29" s="15" t="s">
        <v>143</v>
      </c>
      <c r="Z29" s="15" t="s">
        <v>135</v>
      </c>
      <c r="AA29" s="15" t="s">
        <v>199</v>
      </c>
      <c r="AB29" s="15" t="s">
        <v>136</v>
      </c>
      <c r="AC29" s="15" t="s">
        <v>159</v>
      </c>
      <c r="AD29" s="15" t="s">
        <v>154</v>
      </c>
      <c r="AE29" s="15" t="s">
        <v>152</v>
      </c>
      <c r="AF29" s="15" t="s">
        <v>200</v>
      </c>
      <c r="AG29" s="15" t="s">
        <v>402</v>
      </c>
    </row>
    <row r="30" spans="12:33" x14ac:dyDescent="0.35">
      <c r="U30" t="str">
        <f>IFERROR(INDEX(U2:U8,MATCH(AG11,AG2:AG8,0)),"Not Match")</f>
        <v>Type E</v>
      </c>
      <c r="V30" s="117">
        <f>'Production Calculation'!F30</f>
        <v>0</v>
      </c>
      <c r="W30" s="82">
        <f>VLOOKUP($U$30,$U$13:$AF$19,W31,0)</f>
        <v>3.7245098039215687</v>
      </c>
      <c r="X30" s="82">
        <f t="shared" ref="X30:AF30" si="13">VLOOKUP($U$30,$U$13:$AF$19,X31,0)</f>
        <v>0.5</v>
      </c>
      <c r="Y30" s="82">
        <f t="shared" si="13"/>
        <v>3</v>
      </c>
      <c r="Z30" s="82">
        <f t="shared" si="13"/>
        <v>0</v>
      </c>
      <c r="AA30" s="82">
        <f t="shared" si="13"/>
        <v>0</v>
      </c>
      <c r="AB30" s="82">
        <f t="shared" si="13"/>
        <v>0</v>
      </c>
      <c r="AC30" s="82">
        <f t="shared" si="13"/>
        <v>0</v>
      </c>
      <c r="AD30" s="82">
        <f t="shared" si="13"/>
        <v>0</v>
      </c>
      <c r="AE30" s="82">
        <f t="shared" si="13"/>
        <v>8.3333333333333329E-2</v>
      </c>
      <c r="AF30" s="82">
        <f t="shared" si="13"/>
        <v>0.14117647058823529</v>
      </c>
      <c r="AG30" s="82">
        <f>SUM(AB30:AF30)</f>
        <v>0.22450980392156861</v>
      </c>
    </row>
    <row r="31" spans="12:33" x14ac:dyDescent="0.35">
      <c r="V31" s="120">
        <f>'Production Calculation'!F38</f>
        <v>0</v>
      </c>
      <c r="W31" s="82">
        <v>3</v>
      </c>
      <c r="X31" s="1">
        <v>4</v>
      </c>
      <c r="Y31" s="1">
        <v>5</v>
      </c>
      <c r="Z31" s="82">
        <v>6</v>
      </c>
      <c r="AA31" s="1">
        <v>7</v>
      </c>
      <c r="AB31" s="1">
        <v>8</v>
      </c>
      <c r="AC31" s="82">
        <v>9</v>
      </c>
      <c r="AD31" s="1">
        <v>10</v>
      </c>
      <c r="AE31" s="1">
        <v>11</v>
      </c>
      <c r="AF31" s="82">
        <v>12</v>
      </c>
      <c r="AG31" s="115"/>
    </row>
    <row r="32" spans="12:33" x14ac:dyDescent="0.35">
      <c r="V32" s="120">
        <f>V31/30000</f>
        <v>0</v>
      </c>
      <c r="W32" s="82">
        <f>W30*$V$32</f>
        <v>0</v>
      </c>
      <c r="X32" s="82">
        <f t="shared" ref="X32:AG32" si="14">X30*$V$32</f>
        <v>0</v>
      </c>
      <c r="Y32" s="82">
        <f t="shared" si="14"/>
        <v>0</v>
      </c>
      <c r="Z32" s="82">
        <f t="shared" si="14"/>
        <v>0</v>
      </c>
      <c r="AA32" s="82">
        <f t="shared" si="14"/>
        <v>0</v>
      </c>
      <c r="AB32" s="82">
        <f t="shared" si="14"/>
        <v>0</v>
      </c>
      <c r="AC32" s="82">
        <f t="shared" si="14"/>
        <v>0</v>
      </c>
      <c r="AD32" s="82">
        <f t="shared" si="14"/>
        <v>0</v>
      </c>
      <c r="AE32" s="82">
        <f t="shared" si="14"/>
        <v>0</v>
      </c>
      <c r="AF32" s="82">
        <f t="shared" si="14"/>
        <v>0</v>
      </c>
      <c r="AG32" s="82">
        <f t="shared" si="14"/>
        <v>0</v>
      </c>
    </row>
    <row r="33" spans="22:33" x14ac:dyDescent="0.35">
      <c r="V33" s="117"/>
      <c r="W33" s="82"/>
      <c r="X33" s="117">
        <f>V30+3</f>
        <v>3</v>
      </c>
      <c r="Y33" s="1"/>
      <c r="Z33" s="1"/>
      <c r="AA33" s="1"/>
      <c r="AB33" s="1"/>
      <c r="AC33" s="1"/>
      <c r="AD33" s="1"/>
      <c r="AE33" s="1"/>
      <c r="AF33" s="115"/>
      <c r="AG33" s="115"/>
    </row>
    <row r="34" spans="22:33" x14ac:dyDescent="0.35">
      <c r="V34" s="117"/>
      <c r="W34" s="82"/>
      <c r="X34" s="1"/>
      <c r="Y34" s="1"/>
      <c r="Z34" s="1"/>
      <c r="AA34" s="1"/>
      <c r="AB34" s="1"/>
      <c r="AC34" s="1"/>
      <c r="AD34" s="1"/>
      <c r="AE34" s="1"/>
      <c r="AF34" s="115"/>
      <c r="AG34" s="115"/>
    </row>
    <row r="35" spans="22:33" x14ac:dyDescent="0.35">
      <c r="V35" s="117"/>
      <c r="W35" s="82"/>
      <c r="X35" s="1"/>
      <c r="Y35" s="1"/>
      <c r="Z35" s="1"/>
      <c r="AA35" s="1"/>
      <c r="AB35" s="1"/>
      <c r="AC35" s="1"/>
      <c r="AD35" s="1"/>
      <c r="AE35" s="1"/>
      <c r="AF35" s="115"/>
      <c r="AG35" s="115"/>
    </row>
    <row r="36" spans="22:33" x14ac:dyDescent="0.35">
      <c r="V36" s="117"/>
      <c r="W36" s="82"/>
      <c r="X36" s="1"/>
      <c r="Y36" s="1"/>
      <c r="Z36" s="1"/>
      <c r="AA36" s="1"/>
      <c r="AB36" s="1"/>
      <c r="AC36" s="1"/>
      <c r="AD36" s="1"/>
      <c r="AE36" s="1"/>
      <c r="AF36" s="115"/>
      <c r="AG36" s="115"/>
    </row>
  </sheetData>
  <conditionalFormatting sqref="X10:AF10">
    <cfRule type="cellIs" dxfId="22" priority="1" operator="equal">
      <formula>"N"</formula>
    </cfRule>
  </conditionalFormatting>
  <pageMargins left="0.7" right="0.7" top="0.75" bottom="0.75" header="0.3" footer="0.3"/>
  <tableParts count="13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68873-A2EC-4DAB-9B20-7FD3B4D65CA0}">
  <sheetPr codeName="Sheet3"/>
  <dimension ref="A1:FX530"/>
  <sheetViews>
    <sheetView topLeftCell="FL1" zoomScale="85" zoomScaleNormal="85" workbookViewId="0">
      <selection activeCell="FV2" sqref="FV2"/>
    </sheetView>
  </sheetViews>
  <sheetFormatPr defaultRowHeight="13" x14ac:dyDescent="0.35"/>
  <cols>
    <col min="1" max="1" width="9.7265625" style="96" bestFit="1" customWidth="1"/>
    <col min="2" max="2" width="10.90625" style="96" bestFit="1" customWidth="1"/>
    <col min="3" max="3" width="8.7265625" style="96" bestFit="1" customWidth="1"/>
    <col min="4" max="4" width="21.54296875" style="96" bestFit="1" customWidth="1"/>
    <col min="5" max="5" width="11.7265625" style="96" bestFit="1" customWidth="1"/>
    <col min="6" max="6" width="4.36328125" style="96" bestFit="1" customWidth="1"/>
    <col min="7" max="7" width="6.26953125" style="96" bestFit="1" customWidth="1"/>
    <col min="8" max="9" width="9.7265625" style="96" bestFit="1" customWidth="1"/>
    <col min="10" max="10" width="21.36328125" style="96" bestFit="1" customWidth="1"/>
    <col min="11" max="11" width="8.6328125" style="96" bestFit="1" customWidth="1"/>
    <col min="12" max="12" width="5.54296875" style="96" bestFit="1" customWidth="1"/>
    <col min="13" max="13" width="6.08984375" style="96" bestFit="1" customWidth="1"/>
    <col min="14" max="14" width="10.26953125" style="96" bestFit="1" customWidth="1"/>
    <col min="15" max="15" width="10.6328125" style="96" bestFit="1" customWidth="1"/>
    <col min="16" max="17" width="8.7265625" style="96" bestFit="1" customWidth="1"/>
    <col min="18" max="18" width="7.54296875" style="96" bestFit="1" customWidth="1"/>
    <col min="19" max="19" width="9.7265625" style="96" bestFit="1" customWidth="1"/>
    <col min="20" max="20" width="9.7265625" style="96" customWidth="1"/>
    <col min="21" max="21" width="10" style="96" bestFit="1" customWidth="1"/>
    <col min="22" max="22" width="6.6328125" style="96" bestFit="1" customWidth="1"/>
    <col min="23" max="23" width="6.08984375" style="96" bestFit="1" customWidth="1"/>
    <col min="24" max="25" width="6.54296875" style="96" bestFit="1" customWidth="1"/>
    <col min="26" max="26" width="5.54296875" style="96" bestFit="1" customWidth="1"/>
    <col min="27" max="27" width="8.7265625" style="96" bestFit="1" customWidth="1"/>
    <col min="28" max="30" width="5.54296875" style="96" bestFit="1" customWidth="1"/>
    <col min="31" max="31" width="6.1796875" style="96" bestFit="1" customWidth="1"/>
    <col min="32" max="32" width="6.6328125" style="96" bestFit="1" customWidth="1"/>
    <col min="33" max="33" width="5.54296875" style="96" bestFit="1" customWidth="1"/>
    <col min="34" max="34" width="9.36328125" style="96" bestFit="1" customWidth="1"/>
    <col min="35" max="35" width="5.08984375" style="96" bestFit="1" customWidth="1"/>
    <col min="36" max="36" width="4.81640625" style="96" bestFit="1" customWidth="1"/>
    <col min="37" max="37" width="4.90625" style="96" bestFit="1" customWidth="1"/>
    <col min="38" max="38" width="7.453125" style="96" bestFit="1" customWidth="1"/>
    <col min="39" max="39" width="10.26953125" style="96" bestFit="1" customWidth="1"/>
    <col min="40" max="40" width="6" style="96" bestFit="1" customWidth="1"/>
    <col min="41" max="41" width="9.6328125" style="96" bestFit="1" customWidth="1"/>
    <col min="42" max="42" width="5.54296875" style="96" bestFit="1" customWidth="1"/>
    <col min="43" max="43" width="6.7265625" style="96" bestFit="1" customWidth="1"/>
    <col min="44" max="44" width="5.54296875" style="96" bestFit="1" customWidth="1"/>
    <col min="45" max="45" width="7.36328125" style="96" bestFit="1" customWidth="1"/>
    <col min="46" max="46" width="10.90625" style="96" bestFit="1" customWidth="1"/>
    <col min="47" max="47" width="6.6328125" style="96" bestFit="1" customWidth="1"/>
    <col min="48" max="48" width="10.26953125" style="96" bestFit="1" customWidth="1"/>
    <col min="49" max="49" width="5.54296875" style="96" bestFit="1" customWidth="1"/>
    <col min="50" max="50" width="7.36328125" style="96" bestFit="1" customWidth="1"/>
    <col min="51" max="51" width="4.90625" style="96" bestFit="1" customWidth="1"/>
    <col min="52" max="52" width="8.08984375" style="96" bestFit="1" customWidth="1"/>
    <col min="53" max="54" width="9.90625" style="96" bestFit="1" customWidth="1"/>
    <col min="55" max="55" width="8.7265625" style="96" bestFit="1" customWidth="1"/>
    <col min="56" max="57" width="10.54296875" style="96" bestFit="1" customWidth="1"/>
    <col min="58" max="59" width="9.26953125" style="96" bestFit="1" customWidth="1"/>
    <col min="60" max="60" width="8.81640625" style="96" bestFit="1" customWidth="1"/>
    <col min="61" max="61" width="11.90625" style="96" bestFit="1" customWidth="1"/>
    <col min="62" max="62" width="11.6328125" style="96" bestFit="1" customWidth="1"/>
    <col min="63" max="63" width="6.54296875" style="96" bestFit="1" customWidth="1"/>
    <col min="64" max="64" width="9.1796875" style="96" bestFit="1" customWidth="1"/>
    <col min="65" max="65" width="11.08984375" style="96" bestFit="1" customWidth="1"/>
    <col min="66" max="66" width="8.6328125" style="96" customWidth="1"/>
    <col min="67" max="67" width="6.7265625" style="96" bestFit="1" customWidth="1"/>
    <col min="68" max="68" width="7.7265625" style="96" bestFit="1" customWidth="1"/>
    <col min="69" max="69" width="11" style="96" bestFit="1" customWidth="1"/>
    <col min="70" max="70" width="8.54296875" style="96" bestFit="1" customWidth="1"/>
    <col min="71" max="71" width="8" style="96" bestFit="1" customWidth="1"/>
    <col min="72" max="72" width="6.90625" style="96" bestFit="1" customWidth="1"/>
    <col min="73" max="73" width="10.81640625" style="96" bestFit="1" customWidth="1"/>
    <col min="74" max="74" width="6.54296875" style="96" bestFit="1" customWidth="1"/>
    <col min="75" max="75" width="6.1796875" style="96" bestFit="1" customWidth="1"/>
    <col min="76" max="76" width="6.26953125" style="96" bestFit="1" customWidth="1"/>
    <col min="77" max="77" width="8.7265625" style="96" bestFit="1" customWidth="1"/>
    <col min="78" max="78" width="12.26953125" style="96" bestFit="1" customWidth="1"/>
    <col min="79" max="79" width="8" style="96" bestFit="1" customWidth="1"/>
    <col min="80" max="80" width="11.6328125" style="96" bestFit="1" customWidth="1"/>
    <col min="81" max="81" width="7" style="96" bestFit="1" customWidth="1"/>
    <col min="82" max="82" width="8.7265625" style="96" bestFit="1" customWidth="1"/>
    <col min="83" max="83" width="6.26953125" style="96" bestFit="1" customWidth="1"/>
    <col min="84" max="84" width="10.1796875" style="96" bestFit="1" customWidth="1"/>
    <col min="85" max="86" width="12" style="96" bestFit="1" customWidth="1"/>
    <col min="87" max="87" width="8.81640625" style="96" bestFit="1" customWidth="1"/>
    <col min="88" max="88" width="6.6328125" style="96" bestFit="1" customWidth="1"/>
    <col min="89" max="89" width="9.6328125" style="96" bestFit="1" customWidth="1"/>
    <col min="90" max="90" width="6.6328125" style="96" bestFit="1" customWidth="1"/>
    <col min="91" max="91" width="11.36328125" style="96" bestFit="1" customWidth="1"/>
    <col min="92" max="92" width="9" style="96" bestFit="1" customWidth="1"/>
    <col min="93" max="93" width="9.26953125" style="96" bestFit="1" customWidth="1"/>
    <col min="94" max="94" width="11.1796875" style="96" bestFit="1" customWidth="1"/>
    <col min="95" max="95" width="10.1796875" style="96" bestFit="1" customWidth="1"/>
    <col min="96" max="96" width="14.36328125" style="96" bestFit="1" customWidth="1"/>
    <col min="97" max="97" width="6.1796875" style="96" bestFit="1" customWidth="1"/>
    <col min="98" max="98" width="13.453125" style="96" bestFit="1" customWidth="1"/>
    <col min="99" max="99" width="9.7265625" style="96" bestFit="1" customWidth="1"/>
    <col min="100" max="100" width="9.81640625" style="96" bestFit="1" customWidth="1"/>
    <col min="101" max="102" width="9.7265625" style="96" bestFit="1" customWidth="1"/>
    <col min="103" max="103" width="17.08984375" style="96" bestFit="1" customWidth="1"/>
    <col min="104" max="104" width="11.54296875" style="96" bestFit="1" customWidth="1"/>
    <col min="105" max="105" width="6.81640625" style="96" bestFit="1" customWidth="1"/>
    <col min="106" max="106" width="8.6328125" style="96" bestFit="1" customWidth="1"/>
    <col min="107" max="107" width="7.54296875" style="96" bestFit="1" customWidth="1"/>
    <col min="108" max="108" width="11.453125" style="96" bestFit="1" customWidth="1"/>
    <col min="109" max="110" width="7.54296875" style="96" bestFit="1" customWidth="1"/>
    <col min="111" max="111" width="6.90625" style="96" bestFit="1" customWidth="1"/>
    <col min="112" max="112" width="6.6328125" style="96" bestFit="1" customWidth="1"/>
    <col min="113" max="113" width="8.453125" style="96" bestFit="1" customWidth="1"/>
    <col min="114" max="114" width="7.36328125" style="96" bestFit="1" customWidth="1"/>
    <col min="115" max="115" width="11.1796875" style="96" bestFit="1" customWidth="1"/>
    <col min="116" max="116" width="6.90625" style="96" bestFit="1" customWidth="1"/>
    <col min="117" max="117" width="6.6328125" style="96" bestFit="1" customWidth="1"/>
    <col min="118" max="118" width="6.7265625" style="96" bestFit="1" customWidth="1"/>
    <col min="119" max="119" width="10.54296875" style="96" bestFit="1" customWidth="1"/>
    <col min="120" max="120" width="9.36328125" style="96" bestFit="1" customWidth="1"/>
    <col min="121" max="121" width="12.90625" style="96" bestFit="1" customWidth="1"/>
    <col min="122" max="122" width="8.6328125" style="96" bestFit="1" customWidth="1"/>
    <col min="123" max="123" width="12.26953125" style="96" bestFit="1" customWidth="1"/>
    <col min="124" max="124" width="7.54296875" style="96" bestFit="1" customWidth="1"/>
    <col min="125" max="125" width="9.36328125" style="96" bestFit="1" customWidth="1"/>
    <col min="126" max="126" width="6.90625" style="96" bestFit="1" customWidth="1"/>
    <col min="127" max="127" width="9.1796875" style="96" bestFit="1" customWidth="1"/>
    <col min="128" max="128" width="12.7265625" style="96" bestFit="1" customWidth="1"/>
    <col min="129" max="129" width="8.453125" style="96" bestFit="1" customWidth="1"/>
    <col min="130" max="130" width="12.08984375" style="96" bestFit="1" customWidth="1"/>
    <col min="131" max="131" width="7.453125" style="96" bestFit="1" customWidth="1"/>
    <col min="132" max="132" width="9.1796875" style="96" bestFit="1" customWidth="1"/>
    <col min="133" max="133" width="6.7265625" style="96" bestFit="1" customWidth="1"/>
    <col min="134" max="134" width="8.453125" style="96" bestFit="1" customWidth="1"/>
    <col min="135" max="135" width="10.81640625" style="96" bestFit="1" customWidth="1"/>
    <col min="136" max="137" width="12.6328125" style="96" bestFit="1" customWidth="1"/>
    <col min="138" max="138" width="10.54296875" style="96" bestFit="1" customWidth="1"/>
    <col min="139" max="140" width="12.36328125" style="96" bestFit="1" customWidth="1"/>
    <col min="141" max="141" width="13.26953125" style="96" bestFit="1" customWidth="1"/>
    <col min="142" max="142" width="9" style="96" bestFit="1" customWidth="1"/>
    <col min="143" max="143" width="10.90625" style="96" bestFit="1" customWidth="1"/>
    <col min="144" max="144" width="8.36328125" style="96" bestFit="1" customWidth="1"/>
    <col min="145" max="145" width="10.08984375" style="96" bestFit="1" customWidth="1"/>
    <col min="146" max="146" width="8.08984375" style="96" bestFit="1" customWidth="1"/>
    <col min="147" max="147" width="5.6328125" style="96" bestFit="1" customWidth="1"/>
    <col min="148" max="148" width="6.81640625" style="96" bestFit="1" customWidth="1"/>
    <col min="149" max="151" width="5.6328125" style="96" bestFit="1" customWidth="1"/>
    <col min="152" max="152" width="8.36328125" style="96" bestFit="1" customWidth="1"/>
    <col min="153" max="153" width="6.26953125" style="96" bestFit="1" customWidth="1"/>
    <col min="154" max="154" width="14.7265625" style="96" bestFit="1" customWidth="1"/>
    <col min="155" max="155" width="11.453125" style="96" bestFit="1" customWidth="1"/>
    <col min="156" max="156" width="6.6328125" style="96" bestFit="1" customWidth="1"/>
    <col min="157" max="157" width="5.6328125" style="96" bestFit="1" customWidth="1"/>
    <col min="158" max="158" width="12.453125" style="96" bestFit="1" customWidth="1"/>
    <col min="159" max="159" width="11.1796875" style="96" bestFit="1" customWidth="1"/>
    <col min="160" max="160" width="12.08984375" style="96" bestFit="1" customWidth="1"/>
    <col min="161" max="161" width="9.7265625" style="96" bestFit="1" customWidth="1"/>
    <col min="162" max="162" width="9.54296875" style="96" bestFit="1" customWidth="1"/>
    <col min="163" max="164" width="11.36328125" style="96" bestFit="1" customWidth="1"/>
    <col min="165" max="165" width="12.08984375" style="96" bestFit="1" customWidth="1"/>
    <col min="166" max="166" width="6.90625" style="96" bestFit="1" customWidth="1"/>
    <col min="167" max="167" width="19.6328125" style="96" bestFit="1" customWidth="1"/>
    <col min="168" max="168" width="6.90625" style="96" bestFit="1" customWidth="1"/>
    <col min="169" max="169" width="12.36328125" style="96" bestFit="1" customWidth="1"/>
    <col min="170" max="170" width="6.90625" style="96" bestFit="1" customWidth="1"/>
    <col min="171" max="171" width="20" style="96" bestFit="1" customWidth="1"/>
    <col min="172" max="172" width="6.90625" style="96" bestFit="1" customWidth="1"/>
    <col min="173" max="173" width="10.90625" style="96" bestFit="1" customWidth="1"/>
    <col min="174" max="174" width="10.08984375" style="96" bestFit="1" customWidth="1"/>
    <col min="175" max="175" width="21.36328125" style="96" bestFit="1" customWidth="1"/>
    <col min="176" max="176" width="28.453125" style="96" bestFit="1" customWidth="1"/>
    <col min="177" max="177" width="26.36328125" style="96" bestFit="1" customWidth="1"/>
    <col min="178" max="178" width="10.6328125" style="96" bestFit="1" customWidth="1"/>
    <col min="179" max="179" width="9.6328125" style="96" bestFit="1" customWidth="1"/>
    <col min="180" max="180" width="10.54296875" style="96" bestFit="1" customWidth="1"/>
    <col min="181" max="16384" width="8.7265625" style="96"/>
  </cols>
  <sheetData>
    <row r="1" spans="1:180" s="107" customFormat="1" ht="13" customHeight="1" x14ac:dyDescent="0.35">
      <c r="A1" s="268" t="s">
        <v>336</v>
      </c>
      <c r="B1" s="268"/>
      <c r="C1" s="268"/>
      <c r="D1" s="268"/>
      <c r="E1" s="268"/>
      <c r="F1" s="268"/>
      <c r="G1" s="268"/>
      <c r="H1" s="268"/>
      <c r="I1" s="268"/>
      <c r="J1" s="268"/>
      <c r="K1" s="268"/>
      <c r="L1" s="268"/>
      <c r="M1" s="268"/>
      <c r="N1" s="268"/>
      <c r="O1" s="268"/>
      <c r="P1" s="268"/>
      <c r="Q1" s="267" t="s">
        <v>354</v>
      </c>
      <c r="R1" s="267"/>
      <c r="S1" s="267"/>
      <c r="T1" s="267"/>
      <c r="U1" s="267"/>
      <c r="V1" s="267"/>
      <c r="W1" s="267"/>
      <c r="X1" s="267"/>
      <c r="Y1" s="267"/>
      <c r="Z1" s="267"/>
      <c r="AA1" s="267"/>
      <c r="AB1" s="267"/>
      <c r="AC1" s="267"/>
      <c r="AD1" s="267"/>
      <c r="AE1" s="267"/>
      <c r="AF1" s="267"/>
      <c r="AG1" s="267"/>
      <c r="AH1" s="267"/>
      <c r="AI1" s="267"/>
      <c r="AJ1" s="267"/>
      <c r="AK1" s="267"/>
      <c r="AL1" s="269" t="s">
        <v>355</v>
      </c>
      <c r="AM1" s="269"/>
      <c r="AN1" s="269"/>
      <c r="AO1" s="269"/>
      <c r="AP1" s="269"/>
      <c r="AQ1" s="269"/>
      <c r="AR1" s="269"/>
      <c r="AS1" s="269"/>
      <c r="AT1" s="269"/>
      <c r="AU1" s="269"/>
      <c r="AV1" s="269"/>
      <c r="AW1" s="269"/>
      <c r="AX1" s="269"/>
      <c r="AY1" s="269"/>
      <c r="AZ1" s="270" t="s">
        <v>356</v>
      </c>
      <c r="BA1" s="270"/>
      <c r="BB1" s="270"/>
      <c r="BC1" s="270"/>
      <c r="BD1" s="270"/>
      <c r="BE1" s="270"/>
      <c r="BF1" s="271" t="s">
        <v>357</v>
      </c>
      <c r="BG1" s="271"/>
      <c r="BH1" s="271"/>
      <c r="BI1" s="271"/>
      <c r="BJ1" s="271"/>
      <c r="BK1" s="271"/>
      <c r="BL1" s="271"/>
      <c r="BM1" s="267" t="s">
        <v>102</v>
      </c>
      <c r="BN1" s="267"/>
      <c r="BO1" s="267"/>
      <c r="BP1" s="267"/>
      <c r="BQ1" s="267"/>
      <c r="BR1" s="274" t="s">
        <v>337</v>
      </c>
      <c r="BS1" s="274"/>
      <c r="BT1" s="274"/>
      <c r="BU1" s="274"/>
      <c r="BV1" s="274"/>
      <c r="BW1" s="274"/>
      <c r="BX1" s="274"/>
      <c r="BY1" s="274"/>
      <c r="BZ1" s="274"/>
      <c r="CA1" s="274"/>
      <c r="CB1" s="274"/>
      <c r="CC1" s="274"/>
      <c r="CD1" s="274"/>
      <c r="CE1" s="274"/>
      <c r="CF1" s="274"/>
      <c r="CG1" s="274"/>
      <c r="CH1" s="274"/>
      <c r="CI1" s="274"/>
      <c r="CJ1" s="274"/>
      <c r="CK1" s="274"/>
      <c r="CL1" s="274"/>
      <c r="CM1" s="274"/>
      <c r="CN1" s="275" t="s">
        <v>198</v>
      </c>
      <c r="CO1" s="275"/>
      <c r="CP1" s="275"/>
      <c r="CQ1" s="275"/>
      <c r="CR1" s="275"/>
      <c r="CS1" s="275"/>
      <c r="CT1" s="275"/>
      <c r="CU1" s="275"/>
      <c r="CV1" s="275"/>
      <c r="CW1" s="275"/>
      <c r="CX1" s="275"/>
      <c r="CY1" s="275"/>
      <c r="CZ1" s="275"/>
      <c r="DA1" s="273" t="s">
        <v>338</v>
      </c>
      <c r="DB1" s="273"/>
      <c r="DC1" s="273"/>
      <c r="DD1" s="273"/>
      <c r="DE1" s="273"/>
      <c r="DF1" s="273"/>
      <c r="DG1" s="273"/>
      <c r="DH1" s="273"/>
      <c r="DI1" s="273"/>
      <c r="DJ1" s="273"/>
      <c r="DK1" s="273"/>
      <c r="DL1" s="273"/>
      <c r="DM1" s="273"/>
      <c r="DN1" s="273"/>
      <c r="DO1" s="273"/>
      <c r="DP1" s="273"/>
      <c r="DQ1" s="273"/>
      <c r="DR1" s="273"/>
      <c r="DS1" s="273"/>
      <c r="DT1" s="273"/>
      <c r="DU1" s="273"/>
      <c r="DV1" s="273"/>
      <c r="DW1" s="273"/>
      <c r="DX1" s="273"/>
      <c r="DY1" s="273"/>
      <c r="DZ1" s="273"/>
      <c r="EA1" s="273"/>
      <c r="EB1" s="273"/>
      <c r="EC1" s="273"/>
      <c r="ED1" s="273"/>
      <c r="EE1" s="273"/>
      <c r="EF1" s="273"/>
      <c r="EG1" s="273"/>
      <c r="EH1" s="273"/>
      <c r="EI1" s="273"/>
      <c r="EJ1" s="273"/>
      <c r="EK1" s="273"/>
      <c r="EL1" s="273"/>
      <c r="EM1" s="273"/>
      <c r="EN1" s="273"/>
      <c r="EO1" s="273"/>
      <c r="EP1" s="273"/>
      <c r="EQ1" s="272" t="s">
        <v>188</v>
      </c>
      <c r="ER1" s="272"/>
      <c r="ES1" s="272"/>
      <c r="ET1" s="272"/>
      <c r="EU1" s="272"/>
      <c r="EV1" s="272"/>
      <c r="EW1" s="272"/>
      <c r="EX1" s="272"/>
      <c r="EY1" s="267" t="s">
        <v>339</v>
      </c>
      <c r="EZ1" s="267"/>
      <c r="FA1" s="267"/>
      <c r="FB1" s="267"/>
      <c r="FC1" s="267"/>
      <c r="FD1" s="267"/>
      <c r="FE1" s="273" t="s">
        <v>340</v>
      </c>
      <c r="FF1" s="273"/>
      <c r="FG1" s="273"/>
      <c r="FH1" s="273"/>
      <c r="FI1" s="274" t="s">
        <v>341</v>
      </c>
      <c r="FJ1" s="274"/>
      <c r="FK1" s="274"/>
      <c r="FL1" s="274"/>
      <c r="FM1" s="274"/>
      <c r="FN1" s="274"/>
      <c r="FO1" s="274"/>
      <c r="FP1" s="274"/>
      <c r="FQ1" s="266" t="s">
        <v>399</v>
      </c>
      <c r="FR1" s="266"/>
      <c r="FS1" s="266"/>
      <c r="FT1" s="266"/>
      <c r="FU1" s="266"/>
      <c r="FV1" s="266"/>
      <c r="FW1" s="266"/>
      <c r="FX1" s="266"/>
    </row>
    <row r="2" spans="1:180" s="107" customFormat="1" ht="25" customHeight="1" x14ac:dyDescent="0.35">
      <c r="A2" s="106" t="s">
        <v>116</v>
      </c>
      <c r="B2" s="106" t="s">
        <v>117</v>
      </c>
      <c r="C2" s="106" t="s">
        <v>201</v>
      </c>
      <c r="D2" s="106" t="s">
        <v>350</v>
      </c>
      <c r="E2" s="106" t="s">
        <v>189</v>
      </c>
      <c r="F2" s="106" t="s">
        <v>260</v>
      </c>
      <c r="G2" s="106" t="s">
        <v>165</v>
      </c>
      <c r="H2" s="106" t="s">
        <v>146</v>
      </c>
      <c r="I2" s="106" t="s">
        <v>326</v>
      </c>
      <c r="J2" s="106" t="s">
        <v>166</v>
      </c>
      <c r="K2" s="106" t="s">
        <v>167</v>
      </c>
      <c r="L2" s="106" t="s">
        <v>327</v>
      </c>
      <c r="M2" s="106" t="s">
        <v>328</v>
      </c>
      <c r="N2" s="106" t="s">
        <v>329</v>
      </c>
      <c r="O2" s="106" t="s">
        <v>330</v>
      </c>
      <c r="P2" s="106" t="s">
        <v>331</v>
      </c>
      <c r="Q2" s="106" t="s">
        <v>332</v>
      </c>
      <c r="R2" s="106" t="s">
        <v>351</v>
      </c>
      <c r="S2" s="106" t="s">
        <v>334</v>
      </c>
      <c r="T2" s="106" t="s">
        <v>333</v>
      </c>
      <c r="U2" s="106" t="s">
        <v>352</v>
      </c>
      <c r="V2" s="106" t="s">
        <v>353</v>
      </c>
      <c r="W2" s="106" t="s">
        <v>180</v>
      </c>
      <c r="X2" s="106" t="s">
        <v>202</v>
      </c>
      <c r="Y2" s="106" t="s">
        <v>203</v>
      </c>
      <c r="Z2" s="106" t="s">
        <v>204</v>
      </c>
      <c r="AA2" s="106" t="s">
        <v>205</v>
      </c>
      <c r="AB2" s="106" t="s">
        <v>206</v>
      </c>
      <c r="AC2" s="106" t="s">
        <v>207</v>
      </c>
      <c r="AD2" s="106" t="s">
        <v>208</v>
      </c>
      <c r="AE2" s="106" t="s">
        <v>210</v>
      </c>
      <c r="AF2" s="106" t="s">
        <v>211</v>
      </c>
      <c r="AG2" s="106" t="s">
        <v>212</v>
      </c>
      <c r="AH2" s="106" t="s">
        <v>213</v>
      </c>
      <c r="AI2" s="106" t="s">
        <v>214</v>
      </c>
      <c r="AJ2" s="106" t="s">
        <v>215</v>
      </c>
      <c r="AK2" s="106" t="s">
        <v>216</v>
      </c>
      <c r="AL2" s="106" t="s">
        <v>217</v>
      </c>
      <c r="AM2" s="106" t="s">
        <v>218</v>
      </c>
      <c r="AN2" s="106" t="s">
        <v>219</v>
      </c>
      <c r="AO2" s="106" t="s">
        <v>220</v>
      </c>
      <c r="AP2" s="106" t="s">
        <v>221</v>
      </c>
      <c r="AQ2" s="106" t="s">
        <v>222</v>
      </c>
      <c r="AR2" s="106" t="s">
        <v>208</v>
      </c>
      <c r="AS2" s="106" t="s">
        <v>223</v>
      </c>
      <c r="AT2" s="106" t="s">
        <v>224</v>
      </c>
      <c r="AU2" s="106" t="s">
        <v>225</v>
      </c>
      <c r="AV2" s="106" t="s">
        <v>226</v>
      </c>
      <c r="AW2" s="106" t="s">
        <v>227</v>
      </c>
      <c r="AX2" s="106" t="s">
        <v>228</v>
      </c>
      <c r="AY2" s="106" t="s">
        <v>216</v>
      </c>
      <c r="AZ2" s="106" t="s">
        <v>229</v>
      </c>
      <c r="BA2" s="106" t="s">
        <v>230</v>
      </c>
      <c r="BB2" s="106" t="s">
        <v>231</v>
      </c>
      <c r="BC2" s="106" t="s">
        <v>232</v>
      </c>
      <c r="BD2" s="106" t="s">
        <v>233</v>
      </c>
      <c r="BE2" s="106" t="s">
        <v>234</v>
      </c>
      <c r="BF2" s="106" t="s">
        <v>196</v>
      </c>
      <c r="BG2" s="106" t="s">
        <v>335</v>
      </c>
      <c r="BH2" s="106" t="s">
        <v>236</v>
      </c>
      <c r="BI2" s="106" t="s">
        <v>237</v>
      </c>
      <c r="BJ2" s="106" t="s">
        <v>238</v>
      </c>
      <c r="BK2" s="106" t="s">
        <v>239</v>
      </c>
      <c r="BL2" s="106" t="s">
        <v>169</v>
      </c>
      <c r="BM2" s="106" t="s">
        <v>235</v>
      </c>
      <c r="BN2" s="106" t="s">
        <v>240</v>
      </c>
      <c r="BO2" s="106" t="s">
        <v>358</v>
      </c>
      <c r="BP2" s="106" t="s">
        <v>359</v>
      </c>
      <c r="BQ2" s="106" t="s">
        <v>360</v>
      </c>
      <c r="BR2" s="106" t="s">
        <v>241</v>
      </c>
      <c r="BS2" s="106" t="s">
        <v>242</v>
      </c>
      <c r="BT2" s="106" t="s">
        <v>243</v>
      </c>
      <c r="BU2" s="106" t="s">
        <v>244</v>
      </c>
      <c r="BV2" s="106" t="s">
        <v>245</v>
      </c>
      <c r="BW2" s="106" t="s">
        <v>246</v>
      </c>
      <c r="BX2" s="106" t="s">
        <v>247</v>
      </c>
      <c r="BY2" s="106" t="s">
        <v>248</v>
      </c>
      <c r="BZ2" s="106" t="s">
        <v>249</v>
      </c>
      <c r="CA2" s="106" t="s">
        <v>250</v>
      </c>
      <c r="CB2" s="106" t="s">
        <v>251</v>
      </c>
      <c r="CC2" s="106" t="s">
        <v>252</v>
      </c>
      <c r="CD2" s="106" t="s">
        <v>253</v>
      </c>
      <c r="CE2" s="106" t="s">
        <v>247</v>
      </c>
      <c r="CF2" s="106" t="s">
        <v>254</v>
      </c>
      <c r="CG2" s="106" t="s">
        <v>255</v>
      </c>
      <c r="CH2" s="106" t="s">
        <v>256</v>
      </c>
      <c r="CI2" s="106" t="s">
        <v>257</v>
      </c>
      <c r="CJ2" s="106" t="s">
        <v>258</v>
      </c>
      <c r="CK2" s="106" t="s">
        <v>259</v>
      </c>
      <c r="CL2" s="106" t="s">
        <v>362</v>
      </c>
      <c r="CM2" s="106" t="s">
        <v>361</v>
      </c>
      <c r="CN2" s="106" t="s">
        <v>261</v>
      </c>
      <c r="CO2" s="106" t="s">
        <v>262</v>
      </c>
      <c r="CP2" s="106" t="s">
        <v>263</v>
      </c>
      <c r="CQ2" s="106" t="s">
        <v>264</v>
      </c>
      <c r="CR2" s="106" t="s">
        <v>265</v>
      </c>
      <c r="CS2" s="106" t="s">
        <v>266</v>
      </c>
      <c r="CT2" s="106" t="s">
        <v>170</v>
      </c>
      <c r="CU2" s="106" t="s">
        <v>267</v>
      </c>
      <c r="CV2" s="106" t="s">
        <v>268</v>
      </c>
      <c r="CW2" s="106" t="s">
        <v>269</v>
      </c>
      <c r="CX2" s="106" t="s">
        <v>271</v>
      </c>
      <c r="CY2" s="106" t="s">
        <v>272</v>
      </c>
      <c r="CZ2" s="106" t="s">
        <v>270</v>
      </c>
      <c r="DA2" s="106" t="s">
        <v>273</v>
      </c>
      <c r="DB2" s="106" t="s">
        <v>274</v>
      </c>
      <c r="DC2" s="106" t="s">
        <v>275</v>
      </c>
      <c r="DD2" s="106" t="s">
        <v>276</v>
      </c>
      <c r="DE2" s="106" t="s">
        <v>277</v>
      </c>
      <c r="DF2" s="106" t="s">
        <v>278</v>
      </c>
      <c r="DG2" s="106" t="s">
        <v>279</v>
      </c>
      <c r="DH2" s="106" t="s">
        <v>280</v>
      </c>
      <c r="DI2" s="106" t="s">
        <v>281</v>
      </c>
      <c r="DJ2" s="106" t="s">
        <v>282</v>
      </c>
      <c r="DK2" s="106" t="s">
        <v>283</v>
      </c>
      <c r="DL2" s="106" t="s">
        <v>284</v>
      </c>
      <c r="DM2" s="106" t="s">
        <v>285</v>
      </c>
      <c r="DN2" s="106" t="s">
        <v>286</v>
      </c>
      <c r="DO2" s="106" t="s">
        <v>111</v>
      </c>
      <c r="DP2" s="106" t="s">
        <v>287</v>
      </c>
      <c r="DQ2" s="106" t="s">
        <v>288</v>
      </c>
      <c r="DR2" s="106" t="s">
        <v>289</v>
      </c>
      <c r="DS2" s="106" t="s">
        <v>290</v>
      </c>
      <c r="DT2" s="106" t="s">
        <v>291</v>
      </c>
      <c r="DU2" s="106" t="s">
        <v>292</v>
      </c>
      <c r="DV2" s="106" t="s">
        <v>279</v>
      </c>
      <c r="DW2" s="106" t="s">
        <v>293</v>
      </c>
      <c r="DX2" s="106" t="s">
        <v>294</v>
      </c>
      <c r="DY2" s="106" t="s">
        <v>295</v>
      </c>
      <c r="DZ2" s="106" t="s">
        <v>296</v>
      </c>
      <c r="EA2" s="106" t="s">
        <v>297</v>
      </c>
      <c r="EB2" s="106" t="s">
        <v>298</v>
      </c>
      <c r="EC2" s="106" t="s">
        <v>286</v>
      </c>
      <c r="ED2" s="106" t="s">
        <v>299</v>
      </c>
      <c r="EE2" s="106" t="s">
        <v>300</v>
      </c>
      <c r="EF2" s="106" t="s">
        <v>301</v>
      </c>
      <c r="EG2" s="106" t="s">
        <v>302</v>
      </c>
      <c r="EH2" s="106" t="s">
        <v>303</v>
      </c>
      <c r="EI2" s="106" t="s">
        <v>304</v>
      </c>
      <c r="EJ2" s="106" t="s">
        <v>305</v>
      </c>
      <c r="EK2" s="106" t="s">
        <v>306</v>
      </c>
      <c r="EL2" s="106" t="s">
        <v>307</v>
      </c>
      <c r="EM2" s="106" t="s">
        <v>308</v>
      </c>
      <c r="EN2" s="106" t="s">
        <v>309</v>
      </c>
      <c r="EO2" s="106" t="s">
        <v>310</v>
      </c>
      <c r="EP2" s="106" t="s">
        <v>311</v>
      </c>
      <c r="EQ2" s="106" t="s">
        <v>143</v>
      </c>
      <c r="ER2" s="106" t="s">
        <v>114</v>
      </c>
      <c r="ES2" s="106" t="s">
        <v>136</v>
      </c>
      <c r="ET2" s="106" t="s">
        <v>137</v>
      </c>
      <c r="EU2" s="106" t="s">
        <v>154</v>
      </c>
      <c r="EV2" s="106" t="s">
        <v>139</v>
      </c>
      <c r="EW2" s="106" t="s">
        <v>134</v>
      </c>
      <c r="EX2" s="106" t="s">
        <v>312</v>
      </c>
      <c r="EY2" s="106" t="s">
        <v>313</v>
      </c>
      <c r="EZ2" s="106" t="s">
        <v>109</v>
      </c>
      <c r="FA2" s="106" t="s">
        <v>110</v>
      </c>
      <c r="FB2" s="106" t="s">
        <v>315</v>
      </c>
      <c r="FC2" s="106" t="s">
        <v>314</v>
      </c>
      <c r="FD2" s="106" t="s">
        <v>316</v>
      </c>
      <c r="FE2" s="106" t="s">
        <v>317</v>
      </c>
      <c r="FF2" s="106" t="s">
        <v>318</v>
      </c>
      <c r="FG2" s="106" t="s">
        <v>319</v>
      </c>
      <c r="FH2" s="106" t="s">
        <v>320</v>
      </c>
      <c r="FI2" s="106" t="s">
        <v>322</v>
      </c>
      <c r="FJ2" s="106" t="s">
        <v>321</v>
      </c>
      <c r="FK2" s="106" t="s">
        <v>323</v>
      </c>
      <c r="FL2" s="106" t="s">
        <v>321</v>
      </c>
      <c r="FM2" s="106" t="s">
        <v>324</v>
      </c>
      <c r="FN2" s="106" t="s">
        <v>321</v>
      </c>
      <c r="FO2" s="106" t="s">
        <v>325</v>
      </c>
      <c r="FP2" s="106" t="s">
        <v>321</v>
      </c>
      <c r="FQ2" s="106" t="s">
        <v>390</v>
      </c>
      <c r="FR2" s="106" t="s">
        <v>389</v>
      </c>
      <c r="FS2" s="106" t="s">
        <v>22</v>
      </c>
      <c r="FT2" s="106" t="s">
        <v>11</v>
      </c>
      <c r="FU2" s="106" t="s">
        <v>12</v>
      </c>
      <c r="FV2" s="106" t="s">
        <v>10</v>
      </c>
      <c r="FW2" s="106" t="s">
        <v>4</v>
      </c>
      <c r="FX2" s="106" t="s">
        <v>7</v>
      </c>
    </row>
    <row r="3" spans="1:180" x14ac:dyDescent="0.35">
      <c r="A3" s="96" t="s">
        <v>348</v>
      </c>
      <c r="B3" s="97">
        <v>0.60358796296296291</v>
      </c>
      <c r="C3" s="96" t="s">
        <v>145</v>
      </c>
      <c r="D3" s="96" t="s">
        <v>373</v>
      </c>
      <c r="E3" s="96" t="s">
        <v>371</v>
      </c>
      <c r="F3" s="96">
        <v>0</v>
      </c>
      <c r="G3" s="100">
        <v>45870</v>
      </c>
      <c r="H3" s="96" t="s">
        <v>348</v>
      </c>
      <c r="I3" s="96" t="s">
        <v>349</v>
      </c>
      <c r="J3" s="96" t="s">
        <v>372</v>
      </c>
      <c r="K3" s="98">
        <v>300000</v>
      </c>
      <c r="L3" s="101">
        <v>28</v>
      </c>
      <c r="M3" s="101">
        <v>48</v>
      </c>
      <c r="N3" s="101">
        <v>28.1</v>
      </c>
      <c r="O3" s="101">
        <v>49.75</v>
      </c>
      <c r="P3" s="102">
        <v>95</v>
      </c>
      <c r="Q3" s="101">
        <v>92.7</v>
      </c>
      <c r="R3" s="98">
        <v>379096</v>
      </c>
      <c r="S3" s="98">
        <v>11373</v>
      </c>
      <c r="T3" s="98">
        <v>390469</v>
      </c>
      <c r="U3" s="98">
        <v>27810</v>
      </c>
      <c r="V3" s="98" t="s">
        <v>35</v>
      </c>
      <c r="W3" s="98">
        <v>535.72007716713608</v>
      </c>
      <c r="X3" s="103">
        <v>0.85</v>
      </c>
      <c r="Y3" s="103">
        <v>0.15</v>
      </c>
      <c r="Z3" s="103">
        <v>0</v>
      </c>
      <c r="AA3" s="103">
        <v>0</v>
      </c>
      <c r="AB3" s="103">
        <v>0</v>
      </c>
      <c r="AC3" s="103">
        <v>0</v>
      </c>
      <c r="AD3" s="103">
        <v>0</v>
      </c>
      <c r="AE3" s="101">
        <v>78.795000000000002</v>
      </c>
      <c r="AF3" s="101">
        <v>13.904999999999999</v>
      </c>
      <c r="AG3" s="101">
        <v>0</v>
      </c>
      <c r="AH3" s="101">
        <v>0</v>
      </c>
      <c r="AI3" s="101">
        <v>0</v>
      </c>
      <c r="AJ3" s="101">
        <v>0</v>
      </c>
      <c r="AK3" s="101">
        <v>0</v>
      </c>
      <c r="AL3" s="103">
        <v>0</v>
      </c>
      <c r="AM3" s="103">
        <v>0</v>
      </c>
      <c r="AN3" s="103">
        <v>0.01</v>
      </c>
      <c r="AO3" s="103">
        <v>0</v>
      </c>
      <c r="AP3" s="103">
        <v>0</v>
      </c>
      <c r="AQ3" s="103">
        <v>0</v>
      </c>
      <c r="AR3" s="103">
        <v>0</v>
      </c>
      <c r="AS3" s="101">
        <v>0</v>
      </c>
      <c r="AT3" s="101">
        <v>0</v>
      </c>
      <c r="AU3" s="101">
        <v>0</v>
      </c>
      <c r="AV3" s="101">
        <v>0</v>
      </c>
      <c r="AW3" s="101">
        <v>0</v>
      </c>
      <c r="AX3" s="101">
        <v>0</v>
      </c>
      <c r="AY3" s="101">
        <v>0</v>
      </c>
      <c r="AZ3" s="103">
        <v>0</v>
      </c>
      <c r="BA3" s="103">
        <v>0</v>
      </c>
      <c r="BB3" s="103">
        <v>0</v>
      </c>
      <c r="BC3" s="101">
        <v>0</v>
      </c>
      <c r="BD3" s="101">
        <v>0</v>
      </c>
      <c r="BE3" s="101">
        <v>0</v>
      </c>
      <c r="BF3" s="101">
        <v>2.2000000000000002</v>
      </c>
      <c r="BG3" s="101">
        <v>1.9842186122000003</v>
      </c>
      <c r="BH3" s="96">
        <v>0</v>
      </c>
      <c r="BI3" s="96">
        <v>0</v>
      </c>
      <c r="BJ3" s="96">
        <v>2</v>
      </c>
      <c r="BK3" s="101">
        <v>0</v>
      </c>
      <c r="BL3" s="101">
        <v>1</v>
      </c>
      <c r="BM3" s="101">
        <v>0</v>
      </c>
      <c r="BN3" s="101">
        <v>0</v>
      </c>
      <c r="BO3" s="101">
        <v>0</v>
      </c>
      <c r="BP3" s="101">
        <v>1.3</v>
      </c>
      <c r="BQ3" s="101">
        <v>1.3</v>
      </c>
      <c r="BR3" s="104">
        <v>23638.5</v>
      </c>
      <c r="BS3" s="104">
        <v>4171.5</v>
      </c>
      <c r="BT3" s="104">
        <v>0</v>
      </c>
      <c r="BU3" s="104">
        <v>0</v>
      </c>
      <c r="BV3" s="104">
        <v>0</v>
      </c>
      <c r="BW3" s="104">
        <v>0</v>
      </c>
      <c r="BX3" s="104">
        <v>0</v>
      </c>
      <c r="BY3" s="104">
        <v>0</v>
      </c>
      <c r="BZ3" s="104">
        <v>0</v>
      </c>
      <c r="CA3" s="104">
        <v>0</v>
      </c>
      <c r="CB3" s="104">
        <v>0</v>
      </c>
      <c r="CC3" s="104">
        <v>0</v>
      </c>
      <c r="CD3" s="104">
        <v>0</v>
      </c>
      <c r="CE3" s="104">
        <v>0</v>
      </c>
      <c r="CF3" s="104">
        <v>0</v>
      </c>
      <c r="CG3" s="104">
        <v>0</v>
      </c>
      <c r="CH3" s="104">
        <v>0</v>
      </c>
      <c r="CI3" s="104">
        <v>0</v>
      </c>
      <c r="CJ3" s="104">
        <v>300</v>
      </c>
      <c r="CK3" s="104">
        <v>0</v>
      </c>
      <c r="CL3" s="104">
        <v>0</v>
      </c>
      <c r="CM3" s="104">
        <v>390</v>
      </c>
      <c r="CN3" s="98">
        <v>30000</v>
      </c>
      <c r="CO3" s="96" t="s">
        <v>150</v>
      </c>
      <c r="CP3" s="101">
        <v>148.65882352941176</v>
      </c>
      <c r="CQ3" s="101">
        <v>10</v>
      </c>
      <c r="CR3" s="101">
        <v>1486.5882352941176</v>
      </c>
      <c r="CS3" s="101">
        <v>123.88235294117646</v>
      </c>
      <c r="CT3" s="101">
        <v>61.941176470588232</v>
      </c>
      <c r="CU3" s="96" t="s">
        <v>348</v>
      </c>
      <c r="CV3" s="96" t="s">
        <v>349</v>
      </c>
      <c r="CW3" s="96" t="s">
        <v>366</v>
      </c>
      <c r="CX3" s="96" t="s">
        <v>367</v>
      </c>
      <c r="CY3" s="96" t="s">
        <v>369</v>
      </c>
      <c r="CZ3" s="96" t="s">
        <v>368</v>
      </c>
      <c r="DA3" s="99">
        <v>96.4</v>
      </c>
      <c r="DB3" s="99">
        <v>34.200000000000003</v>
      </c>
      <c r="DC3" s="99">
        <v>166.67</v>
      </c>
      <c r="DD3" s="99">
        <v>210</v>
      </c>
      <c r="DE3" s="99">
        <v>224</v>
      </c>
      <c r="DF3" s="99">
        <v>103</v>
      </c>
      <c r="DG3" s="99">
        <v>0</v>
      </c>
      <c r="DH3" s="99">
        <v>7.6</v>
      </c>
      <c r="DI3" s="99">
        <v>0.48</v>
      </c>
      <c r="DJ3" s="99">
        <v>0</v>
      </c>
      <c r="DK3" s="99">
        <v>0</v>
      </c>
      <c r="DL3" s="99">
        <v>0</v>
      </c>
      <c r="DM3" s="99">
        <v>0</v>
      </c>
      <c r="DN3" s="99">
        <v>0</v>
      </c>
      <c r="DO3" s="99">
        <v>8.07</v>
      </c>
      <c r="DP3" s="99">
        <v>94.5</v>
      </c>
      <c r="DQ3" s="99">
        <v>34.200000000000003</v>
      </c>
      <c r="DR3" s="99">
        <v>118</v>
      </c>
      <c r="DS3" s="99">
        <v>90</v>
      </c>
      <c r="DT3" s="99">
        <v>54</v>
      </c>
      <c r="DU3" s="99">
        <v>0</v>
      </c>
      <c r="DV3" s="99">
        <v>0</v>
      </c>
      <c r="DW3" s="99">
        <v>0</v>
      </c>
      <c r="DX3" s="99">
        <v>0</v>
      </c>
      <c r="DY3" s="99">
        <v>0</v>
      </c>
      <c r="DZ3" s="99">
        <v>0</v>
      </c>
      <c r="EA3" s="99">
        <v>0</v>
      </c>
      <c r="EB3" s="99">
        <v>0</v>
      </c>
      <c r="EC3" s="99">
        <v>0</v>
      </c>
      <c r="ED3" s="99">
        <v>0</v>
      </c>
      <c r="EE3" s="99">
        <v>112.25</v>
      </c>
      <c r="EF3" s="99">
        <v>37.5</v>
      </c>
      <c r="EG3" s="99">
        <v>137.25</v>
      </c>
      <c r="EH3" s="99">
        <v>0</v>
      </c>
      <c r="EI3" s="99">
        <v>0</v>
      </c>
      <c r="EJ3" s="99">
        <v>0</v>
      </c>
      <c r="EK3" s="99">
        <v>0</v>
      </c>
      <c r="EL3" s="99">
        <v>0</v>
      </c>
      <c r="EM3" s="99">
        <v>0</v>
      </c>
      <c r="EN3" s="99">
        <v>0.22</v>
      </c>
      <c r="EO3" s="99">
        <v>0</v>
      </c>
      <c r="EP3" s="99">
        <v>0.05</v>
      </c>
      <c r="EQ3" s="99">
        <v>0.25</v>
      </c>
      <c r="ER3" s="99">
        <v>0.1</v>
      </c>
      <c r="ES3" s="99">
        <v>0.15</v>
      </c>
      <c r="ET3" s="99">
        <v>0.2</v>
      </c>
      <c r="EU3" s="99">
        <v>0.05</v>
      </c>
      <c r="EV3" s="99">
        <v>0</v>
      </c>
      <c r="EW3" s="99">
        <v>0</v>
      </c>
      <c r="EX3" s="99">
        <v>0.75</v>
      </c>
      <c r="EY3" s="99">
        <v>2.73</v>
      </c>
      <c r="EZ3" s="99">
        <v>8.34</v>
      </c>
      <c r="FA3" s="99">
        <v>3.48</v>
      </c>
      <c r="FB3" s="99">
        <v>11.82</v>
      </c>
      <c r="FC3" s="99">
        <v>0.59</v>
      </c>
      <c r="FD3" s="99">
        <v>12.41</v>
      </c>
      <c r="FE3" s="99">
        <v>13.41</v>
      </c>
      <c r="FF3" s="99">
        <v>13.9</v>
      </c>
      <c r="FG3" s="99">
        <v>297940.58</v>
      </c>
      <c r="FH3" s="99">
        <v>446910.87</v>
      </c>
      <c r="FI3" s="99">
        <v>0.99</v>
      </c>
      <c r="FJ3" s="103">
        <v>8.0000000000000029E-2</v>
      </c>
      <c r="FK3" s="99">
        <v>0.99</v>
      </c>
      <c r="FL3" s="103">
        <v>8.0000000000000029E-2</v>
      </c>
      <c r="FM3" s="99">
        <v>1.49</v>
      </c>
      <c r="FN3" s="103">
        <v>0.12000000000000004</v>
      </c>
      <c r="FO3" s="99">
        <v>1.49</v>
      </c>
      <c r="FP3" s="103">
        <v>0.12000000000000004</v>
      </c>
      <c r="FQ3" s="96" t="s">
        <v>25</v>
      </c>
      <c r="FR3" s="96" t="s">
        <v>23</v>
      </c>
      <c r="FS3" s="96" t="s">
        <v>33</v>
      </c>
      <c r="FT3" s="96" t="s">
        <v>121</v>
      </c>
      <c r="FU3" s="96" t="s">
        <v>47</v>
      </c>
      <c r="FV3" s="96" t="s">
        <v>67</v>
      </c>
      <c r="FW3" s="102">
        <v>95</v>
      </c>
    </row>
    <row r="4" spans="1:180" x14ac:dyDescent="0.35">
      <c r="A4" s="96" t="s">
        <v>348</v>
      </c>
      <c r="B4" s="97">
        <v>0.68709490740740742</v>
      </c>
      <c r="C4" s="96" t="s">
        <v>145</v>
      </c>
      <c r="D4" s="119" t="s">
        <v>397</v>
      </c>
      <c r="E4" s="96" t="s">
        <v>401</v>
      </c>
      <c r="F4" s="96">
        <v>0</v>
      </c>
      <c r="G4" s="100">
        <v>45870</v>
      </c>
      <c r="H4" s="96" t="s">
        <v>348</v>
      </c>
      <c r="I4" s="96" t="s">
        <v>349</v>
      </c>
      <c r="J4" s="96" t="s">
        <v>396</v>
      </c>
      <c r="K4" s="98">
        <v>30000</v>
      </c>
      <c r="L4" s="101">
        <v>20</v>
      </c>
      <c r="M4" s="101">
        <v>33.5</v>
      </c>
      <c r="N4" s="101">
        <v>20.100000000000001</v>
      </c>
      <c r="O4" s="101">
        <v>35.25</v>
      </c>
      <c r="P4" s="102">
        <v>100</v>
      </c>
      <c r="Q4" s="101">
        <v>78.2</v>
      </c>
      <c r="R4" s="98">
        <v>26861</v>
      </c>
      <c r="S4" s="98">
        <v>806</v>
      </c>
      <c r="T4" s="98">
        <v>27667</v>
      </c>
      <c r="U4" s="98">
        <v>2346</v>
      </c>
      <c r="V4" s="98" t="s">
        <v>24</v>
      </c>
      <c r="W4" s="98">
        <v>1225.2309569641154</v>
      </c>
      <c r="X4" s="103">
        <v>0.65</v>
      </c>
      <c r="Y4" s="103">
        <v>0.35</v>
      </c>
      <c r="Z4" s="103">
        <v>0</v>
      </c>
      <c r="AA4" s="103">
        <v>0</v>
      </c>
      <c r="AB4" s="103">
        <v>0</v>
      </c>
      <c r="AC4" s="103">
        <v>0</v>
      </c>
      <c r="AD4" s="103">
        <v>0</v>
      </c>
      <c r="AE4" s="101">
        <v>50.830000000000005</v>
      </c>
      <c r="AF4" s="101">
        <v>27.37</v>
      </c>
      <c r="AG4" s="101">
        <v>0</v>
      </c>
      <c r="AH4" s="101">
        <v>0</v>
      </c>
      <c r="AI4" s="101">
        <v>0</v>
      </c>
      <c r="AJ4" s="101">
        <v>0</v>
      </c>
      <c r="AK4" s="101">
        <v>0</v>
      </c>
      <c r="AL4" s="103">
        <v>0</v>
      </c>
      <c r="AM4" s="103">
        <v>0</v>
      </c>
      <c r="AN4" s="103">
        <v>0</v>
      </c>
      <c r="AO4" s="103">
        <v>0</v>
      </c>
      <c r="AP4" s="103">
        <v>0</v>
      </c>
      <c r="AQ4" s="103">
        <v>0</v>
      </c>
      <c r="AR4" s="103">
        <v>0</v>
      </c>
      <c r="AS4" s="101">
        <v>0</v>
      </c>
      <c r="AT4" s="101">
        <v>0</v>
      </c>
      <c r="AU4" s="101">
        <v>0</v>
      </c>
      <c r="AV4" s="101">
        <v>0</v>
      </c>
      <c r="AW4" s="101">
        <v>0</v>
      </c>
      <c r="AX4" s="101">
        <v>0</v>
      </c>
      <c r="AY4" s="101">
        <v>0</v>
      </c>
      <c r="AZ4" s="103">
        <v>0.79</v>
      </c>
      <c r="BA4" s="103">
        <v>0.05</v>
      </c>
      <c r="BB4" s="103">
        <v>0.16</v>
      </c>
      <c r="BC4" s="101">
        <v>15.8</v>
      </c>
      <c r="BD4" s="101">
        <v>1</v>
      </c>
      <c r="BE4" s="101">
        <v>3.2</v>
      </c>
      <c r="BF4" s="101">
        <v>2.2000000000000002</v>
      </c>
      <c r="BG4" s="101">
        <v>1.0056463758000003</v>
      </c>
      <c r="BH4" s="96">
        <v>0</v>
      </c>
      <c r="BI4" s="96">
        <v>0</v>
      </c>
      <c r="BJ4" s="96">
        <v>1</v>
      </c>
      <c r="BK4" s="101">
        <v>0</v>
      </c>
      <c r="BL4" s="101">
        <v>0.5</v>
      </c>
      <c r="BM4" s="101">
        <v>0</v>
      </c>
      <c r="BN4" s="101">
        <v>0</v>
      </c>
      <c r="BO4" s="101">
        <v>0</v>
      </c>
      <c r="BP4" s="101">
        <v>1.3</v>
      </c>
      <c r="BQ4" s="101">
        <v>1.3</v>
      </c>
      <c r="BR4" s="104">
        <v>1524.9000000000003</v>
      </c>
      <c r="BS4" s="104">
        <v>821.1</v>
      </c>
      <c r="BT4" s="104">
        <v>0</v>
      </c>
      <c r="BU4" s="104">
        <v>0</v>
      </c>
      <c r="BV4" s="104">
        <v>0</v>
      </c>
      <c r="BW4" s="104">
        <v>0</v>
      </c>
      <c r="BX4" s="104">
        <v>0</v>
      </c>
      <c r="BY4" s="104">
        <v>0</v>
      </c>
      <c r="BZ4" s="104">
        <v>0</v>
      </c>
      <c r="CA4" s="104">
        <v>0</v>
      </c>
      <c r="CB4" s="104">
        <v>0</v>
      </c>
      <c r="CC4" s="104">
        <v>0</v>
      </c>
      <c r="CD4" s="104">
        <v>0</v>
      </c>
      <c r="CE4" s="104">
        <v>0</v>
      </c>
      <c r="CF4" s="104">
        <v>474.00000000000006</v>
      </c>
      <c r="CG4" s="104">
        <v>30</v>
      </c>
      <c r="CH4" s="104">
        <v>96</v>
      </c>
      <c r="CI4" s="104">
        <v>0</v>
      </c>
      <c r="CJ4" s="104">
        <v>15</v>
      </c>
      <c r="CK4" s="104">
        <v>0</v>
      </c>
      <c r="CL4" s="104">
        <v>0</v>
      </c>
      <c r="CM4" s="104">
        <v>39</v>
      </c>
      <c r="CN4" s="98">
        <v>30000</v>
      </c>
      <c r="CO4" s="96" t="s">
        <v>164</v>
      </c>
      <c r="CP4" s="101">
        <v>162.23667820069204</v>
      </c>
      <c r="CQ4" s="101">
        <v>1</v>
      </c>
      <c r="CR4" s="101">
        <v>162.23667820069204</v>
      </c>
      <c r="CS4" s="101">
        <v>13.519723183391003</v>
      </c>
      <c r="CT4" s="101">
        <v>6.7598615916955014</v>
      </c>
      <c r="CU4" s="96" t="s">
        <v>348</v>
      </c>
      <c r="CV4" s="96" t="s">
        <v>349</v>
      </c>
      <c r="CW4" s="96" t="s">
        <v>366</v>
      </c>
      <c r="CX4" s="96" t="s">
        <v>367</v>
      </c>
      <c r="CY4" s="96" t="s">
        <v>367</v>
      </c>
      <c r="CZ4" s="96" t="s">
        <v>368</v>
      </c>
      <c r="DA4" s="99">
        <v>96.4</v>
      </c>
      <c r="DB4" s="99">
        <v>34.200000000000003</v>
      </c>
      <c r="DC4" s="99">
        <v>166.67</v>
      </c>
      <c r="DD4" s="99">
        <v>210</v>
      </c>
      <c r="DE4" s="99">
        <v>224</v>
      </c>
      <c r="DF4" s="99">
        <v>103</v>
      </c>
      <c r="DG4" s="99">
        <v>0</v>
      </c>
      <c r="DH4" s="99">
        <v>4.9000000000000004</v>
      </c>
      <c r="DI4" s="99">
        <v>0.94</v>
      </c>
      <c r="DJ4" s="99">
        <v>0</v>
      </c>
      <c r="DK4" s="99">
        <v>0</v>
      </c>
      <c r="DL4" s="99">
        <v>0</v>
      </c>
      <c r="DM4" s="99">
        <v>0</v>
      </c>
      <c r="DN4" s="99">
        <v>0</v>
      </c>
      <c r="DO4" s="99">
        <v>5.84</v>
      </c>
      <c r="DP4" s="99">
        <v>94.5</v>
      </c>
      <c r="DQ4" s="99">
        <v>34.200000000000003</v>
      </c>
      <c r="DR4" s="99">
        <v>118</v>
      </c>
      <c r="DS4" s="99">
        <v>90</v>
      </c>
      <c r="DT4" s="99">
        <v>54</v>
      </c>
      <c r="DU4" s="99">
        <v>0</v>
      </c>
      <c r="DV4" s="99">
        <v>0</v>
      </c>
      <c r="DW4" s="99">
        <v>0</v>
      </c>
      <c r="DX4" s="99">
        <v>0</v>
      </c>
      <c r="DY4" s="99">
        <v>0</v>
      </c>
      <c r="DZ4" s="99">
        <v>0</v>
      </c>
      <c r="EA4" s="99">
        <v>0</v>
      </c>
      <c r="EB4" s="99">
        <v>0</v>
      </c>
      <c r="EC4" s="99">
        <v>0</v>
      </c>
      <c r="ED4" s="99">
        <v>0</v>
      </c>
      <c r="EE4" s="99">
        <v>112.25</v>
      </c>
      <c r="EF4" s="99">
        <v>37.5</v>
      </c>
      <c r="EG4" s="99">
        <v>137.25</v>
      </c>
      <c r="EH4" s="99">
        <v>1.77</v>
      </c>
      <c r="EI4" s="99">
        <v>0.04</v>
      </c>
      <c r="EJ4" s="99">
        <v>0.44</v>
      </c>
      <c r="EK4" s="99">
        <v>2.25</v>
      </c>
      <c r="EL4" s="99">
        <v>0</v>
      </c>
      <c r="EM4" s="99">
        <v>0</v>
      </c>
      <c r="EN4" s="99">
        <v>0.11</v>
      </c>
      <c r="EO4" s="99">
        <v>0</v>
      </c>
      <c r="EP4" s="99">
        <v>0.05</v>
      </c>
      <c r="EQ4" s="99">
        <v>0.25</v>
      </c>
      <c r="ER4" s="99">
        <v>0.1</v>
      </c>
      <c r="ES4" s="99">
        <v>0.15</v>
      </c>
      <c r="ET4" s="99">
        <v>0.2</v>
      </c>
      <c r="EU4" s="99">
        <v>0.05</v>
      </c>
      <c r="EV4" s="99">
        <v>0</v>
      </c>
      <c r="EW4" s="99">
        <v>0</v>
      </c>
      <c r="EX4" s="99">
        <v>0.75</v>
      </c>
      <c r="EY4" s="99">
        <v>2.31</v>
      </c>
      <c r="EZ4" s="99">
        <v>8.25</v>
      </c>
      <c r="FA4" s="99">
        <v>3.06</v>
      </c>
      <c r="FB4" s="99">
        <v>11.3</v>
      </c>
      <c r="FC4" s="99">
        <v>0.56999999999999995</v>
      </c>
      <c r="FD4" s="99">
        <v>11.87</v>
      </c>
      <c r="FE4" s="99">
        <v>12.82</v>
      </c>
      <c r="FF4" s="99">
        <v>13.29</v>
      </c>
      <c r="FG4" s="99">
        <v>28482.84</v>
      </c>
      <c r="FH4" s="99">
        <v>42724.27</v>
      </c>
      <c r="FI4" s="99">
        <v>0.95</v>
      </c>
      <c r="FJ4" s="103">
        <v>8.0000000000000029E-2</v>
      </c>
      <c r="FK4" s="99">
        <v>0.95</v>
      </c>
      <c r="FL4" s="103">
        <v>8.0000000000000029E-2</v>
      </c>
      <c r="FM4" s="99">
        <v>1.42</v>
      </c>
      <c r="FN4" s="103">
        <v>0.11999999999999997</v>
      </c>
      <c r="FO4" s="99">
        <v>1.42</v>
      </c>
      <c r="FP4" s="103">
        <v>0.11999999999999997</v>
      </c>
      <c r="FQ4" s="96" t="s">
        <v>25</v>
      </c>
      <c r="FR4" s="96" t="s">
        <v>23</v>
      </c>
      <c r="FS4" s="96" t="s">
        <v>22</v>
      </c>
      <c r="FT4" s="96" t="s">
        <v>121</v>
      </c>
      <c r="FU4" s="96" t="s">
        <v>47</v>
      </c>
      <c r="FV4" s="96" t="s">
        <v>67</v>
      </c>
      <c r="FW4" s="102">
        <v>100</v>
      </c>
    </row>
    <row r="5" spans="1:180" x14ac:dyDescent="0.35">
      <c r="A5" s="96" t="s">
        <v>348</v>
      </c>
      <c r="B5" s="97">
        <v>0.68887731481481485</v>
      </c>
      <c r="C5" s="96" t="s">
        <v>145</v>
      </c>
      <c r="D5" s="119" t="s">
        <v>398</v>
      </c>
      <c r="E5" s="96" t="s">
        <v>401</v>
      </c>
      <c r="F5" s="96">
        <v>0</v>
      </c>
      <c r="G5" s="100">
        <v>45870</v>
      </c>
      <c r="H5" s="96" t="s">
        <v>348</v>
      </c>
      <c r="I5" s="96" t="s">
        <v>349</v>
      </c>
      <c r="J5" s="96" t="s">
        <v>396</v>
      </c>
      <c r="K5" s="98">
        <v>30000</v>
      </c>
      <c r="L5" s="101">
        <v>16</v>
      </c>
      <c r="M5" s="101">
        <v>23.5</v>
      </c>
      <c r="N5" s="101">
        <v>16.100000000000001</v>
      </c>
      <c r="O5" s="101">
        <v>25.25</v>
      </c>
      <c r="P5" s="102">
        <v>62.099999999999994</v>
      </c>
      <c r="Q5" s="101">
        <v>47.879999999999995</v>
      </c>
      <c r="R5" s="98">
        <v>19241</v>
      </c>
      <c r="S5" s="98">
        <v>578</v>
      </c>
      <c r="T5" s="98">
        <v>19819</v>
      </c>
      <c r="U5" s="98">
        <v>1436.3999999999999</v>
      </c>
      <c r="V5" s="98" t="s">
        <v>24</v>
      </c>
      <c r="W5" s="98">
        <v>1309.5867664678676</v>
      </c>
      <c r="X5" s="103">
        <v>0.65</v>
      </c>
      <c r="Y5" s="103">
        <v>0.35</v>
      </c>
      <c r="Z5" s="103">
        <v>0</v>
      </c>
      <c r="AA5" s="103">
        <v>0</v>
      </c>
      <c r="AB5" s="103">
        <v>0</v>
      </c>
      <c r="AC5" s="103">
        <v>0</v>
      </c>
      <c r="AD5" s="103">
        <v>0</v>
      </c>
      <c r="AE5" s="101">
        <v>31.121999999999996</v>
      </c>
      <c r="AF5" s="101">
        <v>16.757999999999999</v>
      </c>
      <c r="AG5" s="101">
        <v>0</v>
      </c>
      <c r="AH5" s="101">
        <v>0</v>
      </c>
      <c r="AI5" s="101">
        <v>0</v>
      </c>
      <c r="AJ5" s="101">
        <v>0</v>
      </c>
      <c r="AK5" s="101">
        <v>0</v>
      </c>
      <c r="AL5" s="103">
        <v>0</v>
      </c>
      <c r="AM5" s="103">
        <v>0</v>
      </c>
      <c r="AN5" s="103">
        <v>0</v>
      </c>
      <c r="AO5" s="103">
        <v>0</v>
      </c>
      <c r="AP5" s="103">
        <v>0</v>
      </c>
      <c r="AQ5" s="103">
        <v>0</v>
      </c>
      <c r="AR5" s="103">
        <v>0</v>
      </c>
      <c r="AS5" s="101">
        <v>0</v>
      </c>
      <c r="AT5" s="101">
        <v>0</v>
      </c>
      <c r="AU5" s="101">
        <v>0</v>
      </c>
      <c r="AV5" s="101">
        <v>0</v>
      </c>
      <c r="AW5" s="101">
        <v>0</v>
      </c>
      <c r="AX5" s="101">
        <v>0</v>
      </c>
      <c r="AY5" s="101">
        <v>0</v>
      </c>
      <c r="AZ5" s="103">
        <v>0.79</v>
      </c>
      <c r="BA5" s="103">
        <v>0.05</v>
      </c>
      <c r="BB5" s="103">
        <v>0.16</v>
      </c>
      <c r="BC5" s="101">
        <v>9.8118000000000016</v>
      </c>
      <c r="BD5" s="101">
        <v>0.62100000000000011</v>
      </c>
      <c r="BE5" s="101">
        <v>1.9872000000000003</v>
      </c>
      <c r="BF5" s="101">
        <v>2.2000000000000002</v>
      </c>
      <c r="BG5" s="101">
        <v>0.57700207180000018</v>
      </c>
      <c r="BH5" s="96">
        <v>0</v>
      </c>
      <c r="BI5" s="96">
        <v>0</v>
      </c>
      <c r="BJ5" s="96">
        <v>1</v>
      </c>
      <c r="BK5" s="101">
        <v>0</v>
      </c>
      <c r="BL5" s="101">
        <v>0.5</v>
      </c>
      <c r="BM5" s="101">
        <v>0</v>
      </c>
      <c r="BN5" s="101">
        <v>0</v>
      </c>
      <c r="BO5" s="101">
        <v>0</v>
      </c>
      <c r="BP5" s="101">
        <v>1.3</v>
      </c>
      <c r="BQ5" s="101">
        <v>1.3</v>
      </c>
      <c r="BR5" s="104">
        <v>933.65999999999985</v>
      </c>
      <c r="BS5" s="104">
        <v>502.73999999999995</v>
      </c>
      <c r="BT5" s="104">
        <v>0</v>
      </c>
      <c r="BU5" s="104">
        <v>0</v>
      </c>
      <c r="BV5" s="104">
        <v>0</v>
      </c>
      <c r="BW5" s="104">
        <v>0</v>
      </c>
      <c r="BX5" s="104">
        <v>0</v>
      </c>
      <c r="BY5" s="104">
        <v>0</v>
      </c>
      <c r="BZ5" s="104">
        <v>0</v>
      </c>
      <c r="CA5" s="104">
        <v>0</v>
      </c>
      <c r="CB5" s="104">
        <v>0</v>
      </c>
      <c r="CC5" s="104">
        <v>0</v>
      </c>
      <c r="CD5" s="104">
        <v>0</v>
      </c>
      <c r="CE5" s="104">
        <v>0</v>
      </c>
      <c r="CF5" s="104">
        <v>294.3540000000001</v>
      </c>
      <c r="CG5" s="104">
        <v>18.630000000000003</v>
      </c>
      <c r="CH5" s="104">
        <v>59.616000000000007</v>
      </c>
      <c r="CI5" s="104">
        <v>0</v>
      </c>
      <c r="CJ5" s="104">
        <v>15</v>
      </c>
      <c r="CK5" s="104">
        <v>0</v>
      </c>
      <c r="CL5" s="104">
        <v>0</v>
      </c>
      <c r="CM5" s="104">
        <v>39</v>
      </c>
      <c r="CN5" s="98">
        <v>30000</v>
      </c>
      <c r="CO5" s="96" t="s">
        <v>164</v>
      </c>
      <c r="CP5" s="101">
        <v>162.23667820069204</v>
      </c>
      <c r="CQ5" s="101">
        <v>1</v>
      </c>
      <c r="CR5" s="101">
        <v>162.23667820069204</v>
      </c>
      <c r="CS5" s="101">
        <v>13.519723183391003</v>
      </c>
      <c r="CT5" s="101">
        <v>6.7598615916955014</v>
      </c>
      <c r="CU5" s="96" t="s">
        <v>348</v>
      </c>
      <c r="CV5" s="96" t="s">
        <v>349</v>
      </c>
      <c r="CW5" s="96" t="s">
        <v>366</v>
      </c>
      <c r="CX5" s="96" t="s">
        <v>367</v>
      </c>
      <c r="CY5" s="96" t="s">
        <v>367</v>
      </c>
      <c r="CZ5" s="96" t="s">
        <v>368</v>
      </c>
      <c r="DA5" s="99">
        <v>96.4</v>
      </c>
      <c r="DB5" s="99">
        <v>34.200000000000003</v>
      </c>
      <c r="DC5" s="99">
        <v>166.67</v>
      </c>
      <c r="DD5" s="99">
        <v>210</v>
      </c>
      <c r="DE5" s="99">
        <v>224</v>
      </c>
      <c r="DF5" s="99">
        <v>103</v>
      </c>
      <c r="DG5" s="99">
        <v>0</v>
      </c>
      <c r="DH5" s="99">
        <v>3</v>
      </c>
      <c r="DI5" s="99">
        <v>0.56999999999999995</v>
      </c>
      <c r="DJ5" s="99">
        <v>0</v>
      </c>
      <c r="DK5" s="99">
        <v>0</v>
      </c>
      <c r="DL5" s="99">
        <v>0</v>
      </c>
      <c r="DM5" s="99">
        <v>0</v>
      </c>
      <c r="DN5" s="99">
        <v>0</v>
      </c>
      <c r="DO5" s="99">
        <v>3.57</v>
      </c>
      <c r="DP5" s="99">
        <v>94.5</v>
      </c>
      <c r="DQ5" s="99">
        <v>34.200000000000003</v>
      </c>
      <c r="DR5" s="99">
        <v>118</v>
      </c>
      <c r="DS5" s="99">
        <v>90</v>
      </c>
      <c r="DT5" s="99">
        <v>54</v>
      </c>
      <c r="DU5" s="99">
        <v>0</v>
      </c>
      <c r="DV5" s="99">
        <v>0</v>
      </c>
      <c r="DW5" s="99">
        <v>0</v>
      </c>
      <c r="DX5" s="99">
        <v>0</v>
      </c>
      <c r="DY5" s="99">
        <v>0</v>
      </c>
      <c r="DZ5" s="99">
        <v>0</v>
      </c>
      <c r="EA5" s="99">
        <v>0</v>
      </c>
      <c r="EB5" s="99">
        <v>0</v>
      </c>
      <c r="EC5" s="99">
        <v>0</v>
      </c>
      <c r="ED5" s="99">
        <v>0</v>
      </c>
      <c r="EE5" s="99">
        <v>112.25</v>
      </c>
      <c r="EF5" s="99">
        <v>37.5</v>
      </c>
      <c r="EG5" s="99">
        <v>137.25</v>
      </c>
      <c r="EH5" s="99">
        <v>1.1000000000000001</v>
      </c>
      <c r="EI5" s="99">
        <v>0.02</v>
      </c>
      <c r="EJ5" s="99">
        <v>0.27</v>
      </c>
      <c r="EK5" s="99">
        <v>1.4</v>
      </c>
      <c r="EL5" s="99">
        <v>0</v>
      </c>
      <c r="EM5" s="99">
        <v>0</v>
      </c>
      <c r="EN5" s="99">
        <v>0.11</v>
      </c>
      <c r="EO5" s="99">
        <v>0</v>
      </c>
      <c r="EP5" s="99">
        <v>0.05</v>
      </c>
      <c r="EQ5" s="99">
        <v>0.25</v>
      </c>
      <c r="ER5" s="99">
        <v>0.1</v>
      </c>
      <c r="ES5" s="99">
        <v>0.15</v>
      </c>
      <c r="ET5" s="99">
        <v>0.2</v>
      </c>
      <c r="EU5" s="99">
        <v>0.05</v>
      </c>
      <c r="EV5" s="99">
        <v>0</v>
      </c>
      <c r="EW5" s="99">
        <v>0</v>
      </c>
      <c r="EX5" s="99">
        <v>0.75</v>
      </c>
      <c r="EY5" s="99">
        <v>1.41</v>
      </c>
      <c r="EZ5" s="99">
        <v>5.13</v>
      </c>
      <c r="FA5" s="99">
        <v>2.16</v>
      </c>
      <c r="FB5" s="99">
        <v>7.29</v>
      </c>
      <c r="FC5" s="99">
        <v>0.36</v>
      </c>
      <c r="FD5" s="99">
        <v>7.66</v>
      </c>
      <c r="FE5" s="99">
        <v>8.27</v>
      </c>
      <c r="FF5" s="99">
        <v>8.58</v>
      </c>
      <c r="FG5" s="99">
        <v>18377.48</v>
      </c>
      <c r="FH5" s="99">
        <v>27566.22</v>
      </c>
      <c r="FI5" s="99">
        <v>0.61</v>
      </c>
      <c r="FJ5" s="103">
        <v>7.9999999999999988E-2</v>
      </c>
      <c r="FK5" s="99">
        <v>0.61</v>
      </c>
      <c r="FL5" s="103">
        <v>7.9999999999999988E-2</v>
      </c>
      <c r="FM5" s="99">
        <v>0.92</v>
      </c>
      <c r="FN5" s="103">
        <v>0.12000000000000004</v>
      </c>
      <c r="FO5" s="99">
        <v>0.92</v>
      </c>
      <c r="FP5" s="103">
        <v>0.12000000000000004</v>
      </c>
      <c r="FQ5" s="96" t="s">
        <v>25</v>
      </c>
      <c r="FR5" s="96" t="s">
        <v>23</v>
      </c>
      <c r="FS5" s="96" t="s">
        <v>22</v>
      </c>
      <c r="FT5" s="96" t="s">
        <v>121</v>
      </c>
      <c r="FU5" s="96" t="s">
        <v>47</v>
      </c>
      <c r="FV5" s="96" t="s">
        <v>67</v>
      </c>
      <c r="FW5" s="102">
        <v>62.099999999999994</v>
      </c>
    </row>
    <row r="6" spans="1:180" x14ac:dyDescent="0.35">
      <c r="A6" s="96" t="s">
        <v>349</v>
      </c>
      <c r="B6" s="97">
        <v>0.91674768518518523</v>
      </c>
      <c r="C6" s="96" t="s">
        <v>145</v>
      </c>
      <c r="D6" s="96" t="s">
        <v>406</v>
      </c>
      <c r="E6" s="96" t="s">
        <v>401</v>
      </c>
      <c r="F6" s="96">
        <v>0</v>
      </c>
      <c r="G6" s="100">
        <v>45870</v>
      </c>
      <c r="H6" s="96" t="s">
        <v>407</v>
      </c>
      <c r="I6" s="96" t="s">
        <v>348</v>
      </c>
      <c r="J6" s="96" t="s">
        <v>405</v>
      </c>
      <c r="K6" s="98">
        <v>25000</v>
      </c>
      <c r="L6" s="101">
        <v>26</v>
      </c>
      <c r="M6" s="101">
        <v>42.5</v>
      </c>
      <c r="N6" s="101">
        <v>26.1</v>
      </c>
      <c r="O6" s="101">
        <v>44.2</v>
      </c>
      <c r="P6" s="102">
        <v>140</v>
      </c>
      <c r="Q6" s="101">
        <v>90.455870165760004</v>
      </c>
      <c r="R6" s="98">
        <v>28068</v>
      </c>
      <c r="S6" s="98">
        <v>843</v>
      </c>
      <c r="T6" s="98">
        <v>28911</v>
      </c>
      <c r="U6" s="98">
        <v>2261.3967541439997</v>
      </c>
      <c r="V6" s="98" t="s">
        <v>24</v>
      </c>
      <c r="W6" s="98">
        <v>1059.6522729520982</v>
      </c>
      <c r="X6" s="103">
        <v>0.77</v>
      </c>
      <c r="Y6" s="103">
        <v>0.22</v>
      </c>
      <c r="Z6" s="103">
        <v>0</v>
      </c>
      <c r="AA6" s="103">
        <v>0</v>
      </c>
      <c r="AB6" s="103">
        <v>0</v>
      </c>
      <c r="AC6" s="103">
        <v>0.01</v>
      </c>
      <c r="AD6" s="103">
        <v>0</v>
      </c>
      <c r="AE6" s="101">
        <v>69.651020027635198</v>
      </c>
      <c r="AF6" s="101">
        <v>19.900291436467199</v>
      </c>
      <c r="AG6" s="101">
        <v>0</v>
      </c>
      <c r="AH6" s="101">
        <v>0</v>
      </c>
      <c r="AI6" s="101">
        <v>0</v>
      </c>
      <c r="AJ6" s="101">
        <v>0.90455870165760011</v>
      </c>
      <c r="AK6" s="101">
        <v>0</v>
      </c>
      <c r="AL6" s="103">
        <v>0</v>
      </c>
      <c r="AM6" s="103">
        <v>0</v>
      </c>
      <c r="AN6" s="103">
        <v>0</v>
      </c>
      <c r="AO6" s="103">
        <v>0</v>
      </c>
      <c r="AP6" s="103">
        <v>0</v>
      </c>
      <c r="AQ6" s="103">
        <v>0</v>
      </c>
      <c r="AR6" s="103">
        <v>0</v>
      </c>
      <c r="AS6" s="101">
        <v>0</v>
      </c>
      <c r="AT6" s="101">
        <v>0</v>
      </c>
      <c r="AU6" s="101">
        <v>0</v>
      </c>
      <c r="AV6" s="101">
        <v>0</v>
      </c>
      <c r="AW6" s="101">
        <v>0</v>
      </c>
      <c r="AX6" s="101">
        <v>0</v>
      </c>
      <c r="AY6" s="101">
        <v>0</v>
      </c>
      <c r="AZ6" s="103">
        <v>0.79</v>
      </c>
      <c r="BA6" s="103">
        <v>4.4999999999999998E-2</v>
      </c>
      <c r="BB6" s="103">
        <v>0.16500000000000001</v>
      </c>
      <c r="BC6" s="101">
        <v>22.12</v>
      </c>
      <c r="BD6" s="101">
        <v>1.26</v>
      </c>
      <c r="BE6" s="101">
        <v>4.62</v>
      </c>
      <c r="BF6" s="101">
        <v>2.2000000000000002</v>
      </c>
      <c r="BG6" s="101">
        <v>1.6373928542400003</v>
      </c>
      <c r="BH6" s="96">
        <v>2</v>
      </c>
      <c r="BI6" s="96">
        <v>0</v>
      </c>
      <c r="BJ6" s="96">
        <v>0</v>
      </c>
      <c r="BK6" s="101">
        <v>20.244129834239995</v>
      </c>
      <c r="BL6" s="101">
        <v>0</v>
      </c>
      <c r="BM6" s="101">
        <v>0</v>
      </c>
      <c r="BN6" s="101">
        <v>0</v>
      </c>
      <c r="BO6" s="101">
        <v>0</v>
      </c>
      <c r="BP6" s="101">
        <v>1.3</v>
      </c>
      <c r="BQ6" s="101">
        <v>1.3</v>
      </c>
      <c r="BR6" s="104">
        <v>1741.2755006908799</v>
      </c>
      <c r="BS6" s="104">
        <v>497.50728591168001</v>
      </c>
      <c r="BT6" s="104">
        <v>0</v>
      </c>
      <c r="BU6" s="104">
        <v>0</v>
      </c>
      <c r="BV6" s="104">
        <v>0</v>
      </c>
      <c r="BW6" s="104">
        <v>22.613967541440005</v>
      </c>
      <c r="BX6" s="104">
        <v>0</v>
      </c>
      <c r="BY6" s="104">
        <v>0</v>
      </c>
      <c r="BZ6" s="104">
        <v>0</v>
      </c>
      <c r="CA6" s="104">
        <v>0</v>
      </c>
      <c r="CB6" s="104">
        <v>0</v>
      </c>
      <c r="CC6" s="104">
        <v>0</v>
      </c>
      <c r="CD6" s="104">
        <v>0</v>
      </c>
      <c r="CE6" s="104">
        <v>0</v>
      </c>
      <c r="CF6" s="104">
        <v>553</v>
      </c>
      <c r="CG6" s="104">
        <v>31.5</v>
      </c>
      <c r="CH6" s="104">
        <v>115.5</v>
      </c>
      <c r="CI6" s="104">
        <v>506.10324585599989</v>
      </c>
      <c r="CJ6" s="104">
        <v>0</v>
      </c>
      <c r="CK6" s="104">
        <v>0</v>
      </c>
      <c r="CL6" s="104">
        <v>0</v>
      </c>
      <c r="CM6" s="104">
        <v>32.5</v>
      </c>
      <c r="CN6" s="98">
        <v>30000</v>
      </c>
      <c r="CO6" s="96" t="s">
        <v>363</v>
      </c>
      <c r="CP6" s="101">
        <v>141.86989619377164</v>
      </c>
      <c r="CQ6" s="101">
        <v>0.83333333333333337</v>
      </c>
      <c r="CR6" s="101">
        <v>118.2249134948097</v>
      </c>
      <c r="CS6" s="101">
        <v>9.8520761245674748</v>
      </c>
      <c r="CT6" s="101">
        <v>4.9260380622837374</v>
      </c>
      <c r="CU6" s="96" t="s">
        <v>407</v>
      </c>
      <c r="CV6" s="96" t="s">
        <v>348</v>
      </c>
      <c r="CW6" s="96" t="s">
        <v>408</v>
      </c>
      <c r="CX6" s="96" t="s">
        <v>369</v>
      </c>
      <c r="CY6" s="96" t="s">
        <v>366</v>
      </c>
      <c r="CZ6" s="96" t="s">
        <v>367</v>
      </c>
      <c r="DA6" s="99">
        <v>96.4</v>
      </c>
      <c r="DB6" s="99">
        <v>34.200000000000003</v>
      </c>
      <c r="DC6" s="99">
        <v>166.67</v>
      </c>
      <c r="DD6" s="99">
        <v>210</v>
      </c>
      <c r="DE6" s="99">
        <v>224</v>
      </c>
      <c r="DF6" s="99">
        <v>103</v>
      </c>
      <c r="DG6" s="99">
        <v>0</v>
      </c>
      <c r="DH6" s="99">
        <v>6.71</v>
      </c>
      <c r="DI6" s="99">
        <v>0.68</v>
      </c>
      <c r="DJ6" s="99">
        <v>0</v>
      </c>
      <c r="DK6" s="99">
        <v>0</v>
      </c>
      <c r="DL6" s="99">
        <v>0</v>
      </c>
      <c r="DM6" s="99">
        <v>0.09</v>
      </c>
      <c r="DN6" s="99">
        <v>0</v>
      </c>
      <c r="DO6" s="99">
        <v>7.49</v>
      </c>
      <c r="DP6" s="99">
        <v>94.5</v>
      </c>
      <c r="DQ6" s="99">
        <v>34.200000000000003</v>
      </c>
      <c r="DR6" s="99">
        <v>118</v>
      </c>
      <c r="DS6" s="99">
        <v>90</v>
      </c>
      <c r="DT6" s="99">
        <v>54</v>
      </c>
      <c r="DU6" s="99">
        <v>0</v>
      </c>
      <c r="DV6" s="99">
        <v>0</v>
      </c>
      <c r="DW6" s="99">
        <v>0</v>
      </c>
      <c r="DX6" s="99">
        <v>0</v>
      </c>
      <c r="DY6" s="99">
        <v>0</v>
      </c>
      <c r="DZ6" s="99">
        <v>0</v>
      </c>
      <c r="EA6" s="99">
        <v>0</v>
      </c>
      <c r="EB6" s="99">
        <v>0</v>
      </c>
      <c r="EC6" s="99">
        <v>0</v>
      </c>
      <c r="ED6" s="99">
        <v>0</v>
      </c>
      <c r="EE6" s="99">
        <v>112.25</v>
      </c>
      <c r="EF6" s="99">
        <v>37.5</v>
      </c>
      <c r="EG6" s="99">
        <v>137.25</v>
      </c>
      <c r="EH6" s="99">
        <v>2.48</v>
      </c>
      <c r="EI6" s="99">
        <v>0.05</v>
      </c>
      <c r="EJ6" s="99">
        <v>0.63</v>
      </c>
      <c r="EK6" s="99">
        <v>3.16</v>
      </c>
      <c r="EL6" s="99">
        <v>8.5</v>
      </c>
      <c r="EM6" s="99">
        <v>0</v>
      </c>
      <c r="EN6" s="99">
        <v>0</v>
      </c>
      <c r="EO6" s="99">
        <v>0</v>
      </c>
      <c r="EP6" s="99">
        <v>0.05</v>
      </c>
      <c r="EQ6" s="99">
        <v>0.25</v>
      </c>
      <c r="ER6" s="99">
        <v>0</v>
      </c>
      <c r="ES6" s="99">
        <v>0.15</v>
      </c>
      <c r="ET6" s="99">
        <v>0.2</v>
      </c>
      <c r="EU6" s="99">
        <v>0.05</v>
      </c>
      <c r="EV6" s="99">
        <v>0</v>
      </c>
      <c r="EW6" s="99">
        <v>0</v>
      </c>
      <c r="EX6" s="99">
        <v>0.65</v>
      </c>
      <c r="EY6" s="99">
        <v>2.67</v>
      </c>
      <c r="EZ6" s="99">
        <v>19.21</v>
      </c>
      <c r="FA6" s="99">
        <v>3.32</v>
      </c>
      <c r="FB6" s="99">
        <v>22.53</v>
      </c>
      <c r="FC6" s="99">
        <v>1.1299999999999999</v>
      </c>
      <c r="FD6" s="99">
        <v>23.65</v>
      </c>
      <c r="FE6" s="99">
        <v>25.54</v>
      </c>
      <c r="FF6" s="99">
        <v>26.49</v>
      </c>
      <c r="FG6" s="99">
        <v>47303.37</v>
      </c>
      <c r="FH6" s="99">
        <v>70955.06</v>
      </c>
      <c r="FI6" s="99">
        <v>1.89</v>
      </c>
      <c r="FJ6" s="103">
        <v>7.999999999999996E-2</v>
      </c>
      <c r="FK6" s="99">
        <v>1.89</v>
      </c>
      <c r="FL6" s="103">
        <v>7.999999999999996E-2</v>
      </c>
      <c r="FM6" s="99">
        <v>2.84</v>
      </c>
      <c r="FN6" s="103">
        <v>0.11999999999999994</v>
      </c>
      <c r="FO6" s="99">
        <v>2.84</v>
      </c>
      <c r="FP6" s="103">
        <v>0.11999999999999994</v>
      </c>
      <c r="FQ6" s="96" t="s">
        <v>25</v>
      </c>
      <c r="FR6" s="96" t="s">
        <v>23</v>
      </c>
      <c r="FS6" s="96" t="s">
        <v>86</v>
      </c>
      <c r="FT6" s="96" t="s">
        <v>121</v>
      </c>
      <c r="FU6" s="96" t="s">
        <v>47</v>
      </c>
      <c r="FV6" s="96" t="s">
        <v>67</v>
      </c>
      <c r="FW6" s="102">
        <v>140</v>
      </c>
    </row>
    <row r="7" spans="1:180" x14ac:dyDescent="0.35">
      <c r="A7" s="96" t="s">
        <v>367</v>
      </c>
      <c r="B7" s="97">
        <v>0.65074074074074073</v>
      </c>
      <c r="C7" s="96" t="s">
        <v>145</v>
      </c>
      <c r="D7" s="96" t="s">
        <v>411</v>
      </c>
      <c r="E7" s="96" t="s">
        <v>409</v>
      </c>
      <c r="F7" s="96">
        <v>0</v>
      </c>
      <c r="G7" s="100">
        <v>45870</v>
      </c>
      <c r="H7" s="96" t="s">
        <v>367</v>
      </c>
      <c r="I7" s="96" t="s">
        <v>368</v>
      </c>
      <c r="J7" s="96" t="s">
        <v>410</v>
      </c>
      <c r="K7" s="98">
        <v>300000</v>
      </c>
      <c r="L7" s="101">
        <v>24</v>
      </c>
      <c r="M7" s="101">
        <v>36</v>
      </c>
      <c r="N7" s="101">
        <v>24.1</v>
      </c>
      <c r="O7" s="101">
        <v>38.200000000000003</v>
      </c>
      <c r="P7" s="102">
        <v>160</v>
      </c>
      <c r="Q7" s="101">
        <v>105.7</v>
      </c>
      <c r="R7" s="98">
        <v>291085</v>
      </c>
      <c r="S7" s="98">
        <v>8733</v>
      </c>
      <c r="T7" s="98">
        <v>299818</v>
      </c>
      <c r="U7" s="98">
        <v>31710</v>
      </c>
      <c r="V7" s="98" t="s">
        <v>35</v>
      </c>
      <c r="W7" s="98">
        <v>944.70829600802597</v>
      </c>
      <c r="X7" s="103">
        <v>0.7</v>
      </c>
      <c r="Y7" s="103">
        <v>0.3</v>
      </c>
      <c r="Z7" s="103">
        <v>0</v>
      </c>
      <c r="AA7" s="103">
        <v>0</v>
      </c>
      <c r="AB7" s="103">
        <v>0</v>
      </c>
      <c r="AC7" s="103">
        <v>0</v>
      </c>
      <c r="AD7" s="103">
        <v>0</v>
      </c>
      <c r="AE7" s="101">
        <v>73.989999999999995</v>
      </c>
      <c r="AF7" s="101">
        <v>31.71</v>
      </c>
      <c r="AG7" s="101">
        <v>0</v>
      </c>
      <c r="AH7" s="101">
        <v>0</v>
      </c>
      <c r="AI7" s="101">
        <v>0</v>
      </c>
      <c r="AJ7" s="101">
        <v>0</v>
      </c>
      <c r="AK7" s="101">
        <v>0</v>
      </c>
      <c r="AL7" s="103">
        <v>0.3</v>
      </c>
      <c r="AM7" s="103">
        <v>0.7</v>
      </c>
      <c r="AN7" s="103">
        <v>0</v>
      </c>
      <c r="AO7" s="103">
        <v>0</v>
      </c>
      <c r="AP7" s="103">
        <v>0</v>
      </c>
      <c r="AQ7" s="103">
        <v>0</v>
      </c>
      <c r="AR7" s="103">
        <v>0</v>
      </c>
      <c r="AS7" s="101">
        <v>15</v>
      </c>
      <c r="AT7" s="101">
        <v>35</v>
      </c>
      <c r="AU7" s="101">
        <v>0</v>
      </c>
      <c r="AV7" s="101">
        <v>0</v>
      </c>
      <c r="AW7" s="101">
        <v>0</v>
      </c>
      <c r="AX7" s="101">
        <v>0</v>
      </c>
      <c r="AY7" s="101">
        <v>0</v>
      </c>
      <c r="AZ7" s="103">
        <v>0</v>
      </c>
      <c r="BA7" s="103">
        <v>0</v>
      </c>
      <c r="BB7" s="103">
        <v>0</v>
      </c>
      <c r="BC7" s="101">
        <v>0</v>
      </c>
      <c r="BD7" s="101">
        <v>0</v>
      </c>
      <c r="BE7" s="101">
        <v>0</v>
      </c>
      <c r="BF7" s="101">
        <v>2.2000000000000002</v>
      </c>
      <c r="BG7" s="101">
        <v>1.3066838382400001</v>
      </c>
      <c r="BH7" s="96">
        <v>0</v>
      </c>
      <c r="BI7" s="96">
        <v>0</v>
      </c>
      <c r="BJ7" s="96">
        <v>3</v>
      </c>
      <c r="BK7" s="101">
        <v>0</v>
      </c>
      <c r="BL7" s="101">
        <v>1.5</v>
      </c>
      <c r="BM7" s="101">
        <v>0</v>
      </c>
      <c r="BN7" s="101">
        <v>0</v>
      </c>
      <c r="BO7" s="101">
        <v>1.5</v>
      </c>
      <c r="BP7" s="101">
        <v>1.3</v>
      </c>
      <c r="BQ7" s="101">
        <v>2.8</v>
      </c>
      <c r="BR7" s="104">
        <v>22197</v>
      </c>
      <c r="BS7" s="104">
        <v>9513</v>
      </c>
      <c r="BT7" s="104">
        <v>0</v>
      </c>
      <c r="BU7" s="104">
        <v>0</v>
      </c>
      <c r="BV7" s="104">
        <v>0</v>
      </c>
      <c r="BW7" s="104">
        <v>0</v>
      </c>
      <c r="BX7" s="104">
        <v>0</v>
      </c>
      <c r="BY7" s="104">
        <v>4500</v>
      </c>
      <c r="BZ7" s="104">
        <v>10500.000000000002</v>
      </c>
      <c r="CA7" s="104">
        <v>0</v>
      </c>
      <c r="CB7" s="104">
        <v>0</v>
      </c>
      <c r="CC7" s="104">
        <v>0</v>
      </c>
      <c r="CD7" s="104">
        <v>0</v>
      </c>
      <c r="CE7" s="104">
        <v>0</v>
      </c>
      <c r="CF7" s="104">
        <v>0</v>
      </c>
      <c r="CG7" s="104">
        <v>0</v>
      </c>
      <c r="CH7" s="104">
        <v>0</v>
      </c>
      <c r="CI7" s="104">
        <v>0</v>
      </c>
      <c r="CJ7" s="104">
        <v>450</v>
      </c>
      <c r="CK7" s="104">
        <v>0</v>
      </c>
      <c r="CL7" s="104">
        <v>450</v>
      </c>
      <c r="CM7" s="104">
        <v>390</v>
      </c>
      <c r="CN7" s="98">
        <v>30000</v>
      </c>
      <c r="CO7" s="96" t="s">
        <v>149</v>
      </c>
      <c r="CP7" s="101">
        <v>159.96816608996539</v>
      </c>
      <c r="CQ7" s="101">
        <v>10</v>
      </c>
      <c r="CR7" s="101">
        <v>1599.6816608996539</v>
      </c>
      <c r="CS7" s="101">
        <v>133.30680507497115</v>
      </c>
      <c r="CT7" s="101">
        <v>66.653402537485576</v>
      </c>
      <c r="CU7" s="96" t="s">
        <v>367</v>
      </c>
      <c r="CV7" s="96" t="s">
        <v>368</v>
      </c>
      <c r="CW7" s="96" t="s">
        <v>412</v>
      </c>
      <c r="CX7" s="96" t="s">
        <v>413</v>
      </c>
      <c r="CY7" s="96" t="s">
        <v>369</v>
      </c>
      <c r="CZ7" s="96" t="s">
        <v>414</v>
      </c>
      <c r="DA7" s="99">
        <v>96.4</v>
      </c>
      <c r="DB7" s="99">
        <v>34.200000000000003</v>
      </c>
      <c r="DC7" s="99">
        <v>166.67</v>
      </c>
      <c r="DD7" s="99">
        <v>210</v>
      </c>
      <c r="DE7" s="99">
        <v>224</v>
      </c>
      <c r="DF7" s="99">
        <v>103</v>
      </c>
      <c r="DG7" s="99">
        <v>0</v>
      </c>
      <c r="DH7" s="99">
        <v>7.13</v>
      </c>
      <c r="DI7" s="99">
        <v>1.08</v>
      </c>
      <c r="DJ7" s="99">
        <v>0</v>
      </c>
      <c r="DK7" s="99">
        <v>0</v>
      </c>
      <c r="DL7" s="99">
        <v>0</v>
      </c>
      <c r="DM7" s="99">
        <v>0</v>
      </c>
      <c r="DN7" s="99">
        <v>0</v>
      </c>
      <c r="DO7" s="99">
        <v>8.2200000000000006</v>
      </c>
      <c r="DP7" s="99">
        <v>94.5</v>
      </c>
      <c r="DQ7" s="99">
        <v>34.200000000000003</v>
      </c>
      <c r="DR7" s="99">
        <v>118</v>
      </c>
      <c r="DS7" s="99">
        <v>90</v>
      </c>
      <c r="DT7" s="99">
        <v>54</v>
      </c>
      <c r="DU7" s="99">
        <v>0</v>
      </c>
      <c r="DV7" s="99">
        <v>0</v>
      </c>
      <c r="DW7" s="99">
        <v>1.42</v>
      </c>
      <c r="DX7" s="99">
        <v>1.2</v>
      </c>
      <c r="DY7" s="99">
        <v>0</v>
      </c>
      <c r="DZ7" s="99">
        <v>0</v>
      </c>
      <c r="EA7" s="99">
        <v>0</v>
      </c>
      <c r="EB7" s="99">
        <v>0</v>
      </c>
      <c r="EC7" s="99">
        <v>0</v>
      </c>
      <c r="ED7" s="99">
        <v>2.61</v>
      </c>
      <c r="EE7" s="99">
        <v>112.25</v>
      </c>
      <c r="EF7" s="99">
        <v>37.5</v>
      </c>
      <c r="EG7" s="99">
        <v>137.25</v>
      </c>
      <c r="EH7" s="99">
        <v>0</v>
      </c>
      <c r="EI7" s="99">
        <v>0</v>
      </c>
      <c r="EJ7" s="99">
        <v>0</v>
      </c>
      <c r="EK7" s="99">
        <v>0</v>
      </c>
      <c r="EL7" s="99">
        <v>0</v>
      </c>
      <c r="EM7" s="99">
        <v>0</v>
      </c>
      <c r="EN7" s="99">
        <v>0.32</v>
      </c>
      <c r="EO7" s="99">
        <v>0</v>
      </c>
      <c r="EP7" s="99">
        <v>0.13</v>
      </c>
      <c r="EQ7" s="99">
        <v>0.25</v>
      </c>
      <c r="ER7" s="99">
        <v>0.1</v>
      </c>
      <c r="ES7" s="99">
        <v>0.15</v>
      </c>
      <c r="ET7" s="99">
        <v>0.2</v>
      </c>
      <c r="EU7" s="99">
        <v>0.05</v>
      </c>
      <c r="EV7" s="99">
        <v>0.25</v>
      </c>
      <c r="EW7" s="99">
        <v>0</v>
      </c>
      <c r="EX7" s="99">
        <v>1</v>
      </c>
      <c r="EY7" s="99">
        <v>3.12</v>
      </c>
      <c r="EZ7" s="99">
        <v>11.29</v>
      </c>
      <c r="FA7" s="99">
        <v>4.12</v>
      </c>
      <c r="FB7" s="99">
        <v>15.41</v>
      </c>
      <c r="FC7" s="99">
        <v>0.77</v>
      </c>
      <c r="FD7" s="99">
        <v>16.18</v>
      </c>
      <c r="FE7" s="99">
        <v>17.47</v>
      </c>
      <c r="FF7" s="99">
        <v>18.12</v>
      </c>
      <c r="FG7" s="99">
        <v>388250.55</v>
      </c>
      <c r="FH7" s="99">
        <v>582375.82999999996</v>
      </c>
      <c r="FI7" s="99">
        <v>1.29</v>
      </c>
      <c r="FJ7" s="103">
        <v>7.9999999999999918E-2</v>
      </c>
      <c r="FK7" s="99">
        <v>1.29</v>
      </c>
      <c r="FL7" s="103">
        <v>7.9999999999999918E-2</v>
      </c>
      <c r="FM7" s="99">
        <v>1.94</v>
      </c>
      <c r="FN7" s="103">
        <v>0.12000000000000009</v>
      </c>
      <c r="FO7" s="99">
        <v>1.94</v>
      </c>
      <c r="FP7" s="103">
        <v>0.12000000000000009</v>
      </c>
      <c r="FQ7" s="96" t="s">
        <v>25</v>
      </c>
      <c r="FR7" s="96" t="s">
        <v>42</v>
      </c>
      <c r="FS7" s="96" t="s">
        <v>33</v>
      </c>
      <c r="FT7" s="96" t="s">
        <v>38</v>
      </c>
      <c r="FU7" s="96" t="s">
        <v>53</v>
      </c>
      <c r="FV7" s="96" t="s">
        <v>72</v>
      </c>
      <c r="FW7" s="102">
        <v>160</v>
      </c>
      <c r="FX7" s="96">
        <v>50</v>
      </c>
    </row>
    <row r="8" spans="1:180" x14ac:dyDescent="0.35">
      <c r="A8" s="96" t="s">
        <v>367</v>
      </c>
      <c r="B8" s="97">
        <v>0.72561342592592593</v>
      </c>
      <c r="C8" s="96" t="s">
        <v>145</v>
      </c>
      <c r="D8" s="96" t="s">
        <v>417</v>
      </c>
      <c r="E8" s="96" t="s">
        <v>401</v>
      </c>
      <c r="F8" s="96">
        <v>1</v>
      </c>
      <c r="G8" s="100">
        <v>45870</v>
      </c>
      <c r="H8" s="96" t="s">
        <v>367</v>
      </c>
      <c r="I8" s="96" t="s">
        <v>368</v>
      </c>
      <c r="J8" s="96" t="s">
        <v>416</v>
      </c>
      <c r="K8" s="98">
        <v>300000</v>
      </c>
      <c r="L8" s="101">
        <v>26</v>
      </c>
      <c r="M8" s="101">
        <v>42</v>
      </c>
      <c r="N8" s="101">
        <v>26.1</v>
      </c>
      <c r="O8" s="101">
        <v>43.7</v>
      </c>
      <c r="P8" s="102">
        <v>140</v>
      </c>
      <c r="Q8" s="101">
        <v>90.684876159360002</v>
      </c>
      <c r="R8" s="98">
        <v>332995</v>
      </c>
      <c r="S8" s="98">
        <v>9990</v>
      </c>
      <c r="T8" s="98">
        <v>342985</v>
      </c>
      <c r="U8" s="98">
        <v>27205.462847808001</v>
      </c>
      <c r="V8" s="98" t="s">
        <v>24</v>
      </c>
      <c r="W8" s="98">
        <v>1071.7764408348453</v>
      </c>
      <c r="X8" s="103">
        <v>0.88</v>
      </c>
      <c r="Y8" s="103">
        <v>0.09</v>
      </c>
      <c r="Z8" s="103">
        <v>0</v>
      </c>
      <c r="AA8" s="103">
        <v>0.02</v>
      </c>
      <c r="AB8" s="103">
        <v>0</v>
      </c>
      <c r="AC8" s="103">
        <v>0.01</v>
      </c>
      <c r="AD8" s="103">
        <v>0</v>
      </c>
      <c r="AE8" s="101">
        <v>79.802691020236807</v>
      </c>
      <c r="AF8" s="101">
        <v>8.1616388543423994</v>
      </c>
      <c r="AG8" s="101">
        <v>0</v>
      </c>
      <c r="AH8" s="101">
        <v>1.8136975231872001</v>
      </c>
      <c r="AI8" s="101">
        <v>0</v>
      </c>
      <c r="AJ8" s="101">
        <v>0.90684876159360006</v>
      </c>
      <c r="AK8" s="101">
        <v>0</v>
      </c>
      <c r="AL8" s="103">
        <v>0</v>
      </c>
      <c r="AM8" s="103">
        <v>0</v>
      </c>
      <c r="AN8" s="103">
        <v>0</v>
      </c>
      <c r="AO8" s="103">
        <v>0</v>
      </c>
      <c r="AP8" s="103">
        <v>0</v>
      </c>
      <c r="AQ8" s="103">
        <v>0</v>
      </c>
      <c r="AR8" s="103">
        <v>0</v>
      </c>
      <c r="AS8" s="101">
        <v>0</v>
      </c>
      <c r="AT8" s="101">
        <v>0</v>
      </c>
      <c r="AU8" s="101">
        <v>0</v>
      </c>
      <c r="AV8" s="101">
        <v>0</v>
      </c>
      <c r="AW8" s="101">
        <v>0</v>
      </c>
      <c r="AX8" s="101">
        <v>0</v>
      </c>
      <c r="AY8" s="101">
        <v>0</v>
      </c>
      <c r="AZ8" s="103">
        <v>0.82</v>
      </c>
      <c r="BA8" s="103">
        <v>0</v>
      </c>
      <c r="BB8" s="103">
        <v>0.18</v>
      </c>
      <c r="BC8" s="101">
        <v>22.959999999999997</v>
      </c>
      <c r="BD8" s="101">
        <v>0</v>
      </c>
      <c r="BE8" s="101">
        <v>5.04</v>
      </c>
      <c r="BF8" s="101">
        <v>2.2000000000000002</v>
      </c>
      <c r="BG8" s="101">
        <v>1.6188703106400004</v>
      </c>
      <c r="BH8" s="96">
        <v>2</v>
      </c>
      <c r="BI8" s="96">
        <v>0</v>
      </c>
      <c r="BJ8" s="96">
        <v>0</v>
      </c>
      <c r="BK8" s="101">
        <v>20.015123840639998</v>
      </c>
      <c r="BL8" s="101">
        <v>0</v>
      </c>
      <c r="BM8" s="101">
        <v>0</v>
      </c>
      <c r="BN8" s="101">
        <v>0</v>
      </c>
      <c r="BO8" s="101">
        <v>0</v>
      </c>
      <c r="BP8" s="101">
        <v>1.3</v>
      </c>
      <c r="BQ8" s="101">
        <v>1.3</v>
      </c>
      <c r="BR8" s="104">
        <v>23940.807306071041</v>
      </c>
      <c r="BS8" s="104">
        <v>2448.49165630272</v>
      </c>
      <c r="BT8" s="104">
        <v>0</v>
      </c>
      <c r="BU8" s="104">
        <v>544.10925695616004</v>
      </c>
      <c r="BV8" s="104">
        <v>0</v>
      </c>
      <c r="BW8" s="104">
        <v>272.05462847808002</v>
      </c>
      <c r="BX8" s="104">
        <v>0</v>
      </c>
      <c r="BY8" s="104">
        <v>0</v>
      </c>
      <c r="BZ8" s="104">
        <v>0</v>
      </c>
      <c r="CA8" s="104">
        <v>0</v>
      </c>
      <c r="CB8" s="104">
        <v>0</v>
      </c>
      <c r="CC8" s="104">
        <v>0</v>
      </c>
      <c r="CD8" s="104">
        <v>0</v>
      </c>
      <c r="CE8" s="104">
        <v>0</v>
      </c>
      <c r="CF8" s="104">
        <v>6887.9999999999991</v>
      </c>
      <c r="CG8" s="104">
        <v>0</v>
      </c>
      <c r="CH8" s="104">
        <v>1512</v>
      </c>
      <c r="CI8" s="104">
        <v>6004.5371521919997</v>
      </c>
      <c r="CJ8" s="104">
        <v>0</v>
      </c>
      <c r="CK8" s="104">
        <v>0</v>
      </c>
      <c r="CL8" s="104">
        <v>0</v>
      </c>
      <c r="CM8" s="104">
        <v>390</v>
      </c>
      <c r="CN8" s="98">
        <v>30000</v>
      </c>
      <c r="CO8" s="96" t="s">
        <v>363</v>
      </c>
      <c r="CP8" s="101">
        <v>141.86989619377164</v>
      </c>
      <c r="CQ8" s="101">
        <v>10</v>
      </c>
      <c r="CR8" s="101">
        <v>1418.6989619377164</v>
      </c>
      <c r="CS8" s="101">
        <v>118.2249134948097</v>
      </c>
      <c r="CT8" s="101">
        <v>59.112456747404849</v>
      </c>
      <c r="CU8" s="96" t="s">
        <v>367</v>
      </c>
      <c r="CV8" s="96" t="s">
        <v>368</v>
      </c>
      <c r="CW8" s="96" t="s">
        <v>412</v>
      </c>
      <c r="CX8" s="96" t="s">
        <v>369</v>
      </c>
      <c r="CY8" s="96" t="s">
        <v>413</v>
      </c>
      <c r="CZ8" s="96" t="s">
        <v>418</v>
      </c>
      <c r="DA8" s="99">
        <v>96.4</v>
      </c>
      <c r="DB8" s="99">
        <v>34.200000000000003</v>
      </c>
      <c r="DC8" s="99">
        <v>166.67</v>
      </c>
      <c r="DD8" s="99">
        <v>210</v>
      </c>
      <c r="DE8" s="99">
        <v>224</v>
      </c>
      <c r="DF8" s="99">
        <v>103</v>
      </c>
      <c r="DG8" s="99">
        <v>0</v>
      </c>
      <c r="DH8" s="99">
        <v>7.69</v>
      </c>
      <c r="DI8" s="99">
        <v>0.28000000000000003</v>
      </c>
      <c r="DJ8" s="99">
        <v>0</v>
      </c>
      <c r="DK8" s="99">
        <v>0.38</v>
      </c>
      <c r="DL8" s="99">
        <v>0</v>
      </c>
      <c r="DM8" s="99">
        <v>0.09</v>
      </c>
      <c r="DN8" s="99">
        <v>0</v>
      </c>
      <c r="DO8" s="99">
        <v>8.4499999999999993</v>
      </c>
      <c r="DP8" s="99">
        <v>94.5</v>
      </c>
      <c r="DQ8" s="99">
        <v>34.200000000000003</v>
      </c>
      <c r="DR8" s="99">
        <v>118</v>
      </c>
      <c r="DS8" s="99">
        <v>90</v>
      </c>
      <c r="DT8" s="99">
        <v>54</v>
      </c>
      <c r="DU8" s="99">
        <v>0</v>
      </c>
      <c r="DV8" s="99">
        <v>0</v>
      </c>
      <c r="DW8" s="99">
        <v>0</v>
      </c>
      <c r="DX8" s="99">
        <v>0</v>
      </c>
      <c r="DY8" s="99">
        <v>0</v>
      </c>
      <c r="DZ8" s="99">
        <v>0</v>
      </c>
      <c r="EA8" s="99">
        <v>0</v>
      </c>
      <c r="EB8" s="99">
        <v>0</v>
      </c>
      <c r="EC8" s="99">
        <v>0</v>
      </c>
      <c r="ED8" s="99">
        <v>0</v>
      </c>
      <c r="EE8" s="99">
        <v>112.25</v>
      </c>
      <c r="EF8" s="99">
        <v>37.5</v>
      </c>
      <c r="EG8" s="99">
        <v>137.25</v>
      </c>
      <c r="EH8" s="99">
        <v>2.58</v>
      </c>
      <c r="EI8" s="99">
        <v>0</v>
      </c>
      <c r="EJ8" s="99">
        <v>0.69</v>
      </c>
      <c r="EK8" s="99">
        <v>3.27</v>
      </c>
      <c r="EL8" s="99">
        <v>8.41</v>
      </c>
      <c r="EM8" s="99">
        <v>0</v>
      </c>
      <c r="EN8" s="99">
        <v>0</v>
      </c>
      <c r="EO8" s="99">
        <v>0</v>
      </c>
      <c r="EP8" s="99">
        <v>0.05</v>
      </c>
      <c r="EQ8" s="99">
        <v>0.25</v>
      </c>
      <c r="ER8" s="99">
        <v>0</v>
      </c>
      <c r="ES8" s="99">
        <v>0.15</v>
      </c>
      <c r="ET8" s="99">
        <v>0.2</v>
      </c>
      <c r="EU8" s="99">
        <v>0.05</v>
      </c>
      <c r="EV8" s="99">
        <v>0</v>
      </c>
      <c r="EW8" s="99">
        <v>0</v>
      </c>
      <c r="EX8" s="99">
        <v>0.65</v>
      </c>
      <c r="EY8" s="99">
        <v>2.68</v>
      </c>
      <c r="EZ8" s="99">
        <v>20.170000000000002</v>
      </c>
      <c r="FA8" s="99">
        <v>3.33</v>
      </c>
      <c r="FB8" s="99">
        <v>23.5</v>
      </c>
      <c r="FC8" s="99">
        <v>1.17</v>
      </c>
      <c r="FD8" s="99">
        <v>24.67</v>
      </c>
      <c r="FE8" s="99">
        <v>26.65</v>
      </c>
      <c r="FF8" s="99">
        <v>27.63</v>
      </c>
      <c r="FG8" s="99">
        <v>292173.42</v>
      </c>
      <c r="FH8" s="99">
        <v>588260.13</v>
      </c>
      <c r="FI8" s="99">
        <v>1.97</v>
      </c>
      <c r="FJ8" s="103">
        <v>0.08</v>
      </c>
      <c r="FK8" s="99">
        <v>0.97</v>
      </c>
      <c r="FL8" s="103">
        <v>3.9471331872483639E-2</v>
      </c>
      <c r="FM8" s="99">
        <v>2.96</v>
      </c>
      <c r="FN8" s="103">
        <v>0.11999999999999994</v>
      </c>
      <c r="FO8" s="99">
        <v>1.96</v>
      </c>
      <c r="FP8" s="103">
        <v>7.9471331872483578E-2</v>
      </c>
      <c r="FQ8" s="96" t="s">
        <v>25</v>
      </c>
      <c r="FR8" s="96" t="s">
        <v>23</v>
      </c>
      <c r="FS8" s="96" t="s">
        <v>86</v>
      </c>
      <c r="FT8" s="96" t="s">
        <v>121</v>
      </c>
      <c r="FU8" s="96" t="s">
        <v>47</v>
      </c>
      <c r="FV8" s="96" t="s">
        <v>72</v>
      </c>
      <c r="FW8" s="102">
        <v>140</v>
      </c>
    </row>
    <row r="9" spans="1:180" x14ac:dyDescent="0.35">
      <c r="A9" s="96" t="s">
        <v>367</v>
      </c>
      <c r="B9" s="97">
        <v>0.72858796296296291</v>
      </c>
      <c r="C9" s="96" t="s">
        <v>145</v>
      </c>
      <c r="D9" s="96" t="s">
        <v>420</v>
      </c>
      <c r="E9" s="96" t="s">
        <v>401</v>
      </c>
      <c r="F9" s="96">
        <v>1</v>
      </c>
      <c r="G9" s="100">
        <v>45870</v>
      </c>
      <c r="H9" s="96" t="s">
        <v>367</v>
      </c>
      <c r="I9" s="96" t="s">
        <v>368</v>
      </c>
      <c r="J9" s="96" t="s">
        <v>419</v>
      </c>
      <c r="K9" s="98">
        <v>300000</v>
      </c>
      <c r="L9" s="101">
        <v>26</v>
      </c>
      <c r="M9" s="101">
        <v>42</v>
      </c>
      <c r="N9" s="101">
        <v>26.1</v>
      </c>
      <c r="O9" s="101">
        <v>43.7</v>
      </c>
      <c r="P9" s="102">
        <v>140</v>
      </c>
      <c r="Q9" s="101">
        <v>90.684876159360002</v>
      </c>
      <c r="R9" s="98">
        <v>332995</v>
      </c>
      <c r="S9" s="98">
        <v>9990</v>
      </c>
      <c r="T9" s="98">
        <v>342985</v>
      </c>
      <c r="U9" s="98">
        <v>27205.462847808001</v>
      </c>
      <c r="V9" s="98" t="s">
        <v>24</v>
      </c>
      <c r="W9" s="98">
        <v>1071.7764408348453</v>
      </c>
      <c r="X9" s="103">
        <v>0.88</v>
      </c>
      <c r="Y9" s="103">
        <v>0.09</v>
      </c>
      <c r="Z9" s="103">
        <v>0</v>
      </c>
      <c r="AA9" s="103">
        <v>0.02</v>
      </c>
      <c r="AB9" s="103">
        <v>0</v>
      </c>
      <c r="AC9" s="103">
        <v>0.01</v>
      </c>
      <c r="AD9" s="103">
        <v>0</v>
      </c>
      <c r="AE9" s="101">
        <v>79.802691020236807</v>
      </c>
      <c r="AF9" s="101">
        <v>8.1616388543423994</v>
      </c>
      <c r="AG9" s="101">
        <v>0</v>
      </c>
      <c r="AH9" s="101">
        <v>1.8136975231872001</v>
      </c>
      <c r="AI9" s="101">
        <v>0</v>
      </c>
      <c r="AJ9" s="101">
        <v>0.90684876159360006</v>
      </c>
      <c r="AK9" s="101">
        <v>0</v>
      </c>
      <c r="AL9" s="103">
        <v>0</v>
      </c>
      <c r="AM9" s="103">
        <v>0</v>
      </c>
      <c r="AN9" s="103">
        <v>0</v>
      </c>
      <c r="AO9" s="103">
        <v>0</v>
      </c>
      <c r="AP9" s="103">
        <v>0</v>
      </c>
      <c r="AQ9" s="103">
        <v>0</v>
      </c>
      <c r="AR9" s="103">
        <v>0</v>
      </c>
      <c r="AS9" s="101">
        <v>0</v>
      </c>
      <c r="AT9" s="101">
        <v>0</v>
      </c>
      <c r="AU9" s="101">
        <v>0</v>
      </c>
      <c r="AV9" s="101">
        <v>0</v>
      </c>
      <c r="AW9" s="101">
        <v>0</v>
      </c>
      <c r="AX9" s="101">
        <v>0</v>
      </c>
      <c r="AY9" s="101">
        <v>0</v>
      </c>
      <c r="AZ9" s="103">
        <v>0.82</v>
      </c>
      <c r="BA9" s="103">
        <v>0</v>
      </c>
      <c r="BB9" s="103">
        <v>0.18</v>
      </c>
      <c r="BC9" s="101">
        <v>22.959999999999997</v>
      </c>
      <c r="BD9" s="101">
        <v>0</v>
      </c>
      <c r="BE9" s="101">
        <v>5.04</v>
      </c>
      <c r="BF9" s="101">
        <v>2.2000000000000002</v>
      </c>
      <c r="BG9" s="101">
        <v>1.6188703106400004</v>
      </c>
      <c r="BH9" s="96">
        <v>2</v>
      </c>
      <c r="BI9" s="96">
        <v>0</v>
      </c>
      <c r="BJ9" s="96">
        <v>0</v>
      </c>
      <c r="BK9" s="101">
        <v>20.015123840639998</v>
      </c>
      <c r="BL9" s="101">
        <v>0</v>
      </c>
      <c r="BM9" s="101">
        <v>0</v>
      </c>
      <c r="BN9" s="101">
        <v>0</v>
      </c>
      <c r="BO9" s="101">
        <v>0</v>
      </c>
      <c r="BP9" s="101">
        <v>1.3</v>
      </c>
      <c r="BQ9" s="101">
        <v>1.3</v>
      </c>
      <c r="BR9" s="104">
        <v>23940.807306071041</v>
      </c>
      <c r="BS9" s="104">
        <v>2448.49165630272</v>
      </c>
      <c r="BT9" s="104">
        <v>0</v>
      </c>
      <c r="BU9" s="104">
        <v>544.10925695616004</v>
      </c>
      <c r="BV9" s="104">
        <v>0</v>
      </c>
      <c r="BW9" s="104">
        <v>272.05462847808002</v>
      </c>
      <c r="BX9" s="104">
        <v>0</v>
      </c>
      <c r="BY9" s="104">
        <v>0</v>
      </c>
      <c r="BZ9" s="104">
        <v>0</v>
      </c>
      <c r="CA9" s="104">
        <v>0</v>
      </c>
      <c r="CB9" s="104">
        <v>0</v>
      </c>
      <c r="CC9" s="104">
        <v>0</v>
      </c>
      <c r="CD9" s="104">
        <v>0</v>
      </c>
      <c r="CE9" s="104">
        <v>0</v>
      </c>
      <c r="CF9" s="104">
        <v>6887.9999999999991</v>
      </c>
      <c r="CG9" s="104">
        <v>0</v>
      </c>
      <c r="CH9" s="104">
        <v>1512</v>
      </c>
      <c r="CI9" s="104">
        <v>6004.5371521919997</v>
      </c>
      <c r="CJ9" s="104">
        <v>0</v>
      </c>
      <c r="CK9" s="104">
        <v>0</v>
      </c>
      <c r="CL9" s="104">
        <v>0</v>
      </c>
      <c r="CM9" s="104">
        <v>390</v>
      </c>
      <c r="CN9" s="98">
        <v>30000</v>
      </c>
      <c r="CO9" s="96" t="s">
        <v>363</v>
      </c>
      <c r="CP9" s="101">
        <v>141.86989619377164</v>
      </c>
      <c r="CQ9" s="101">
        <v>10</v>
      </c>
      <c r="CR9" s="101">
        <v>1418.6989619377164</v>
      </c>
      <c r="CS9" s="101">
        <v>118.2249134948097</v>
      </c>
      <c r="CT9" s="101">
        <v>59.112456747404849</v>
      </c>
      <c r="CU9" s="96" t="s">
        <v>367</v>
      </c>
      <c r="CV9" s="96" t="s">
        <v>368</v>
      </c>
      <c r="CW9" s="96" t="s">
        <v>412</v>
      </c>
      <c r="CX9" s="96" t="s">
        <v>369</v>
      </c>
      <c r="CY9" s="96" t="s">
        <v>413</v>
      </c>
      <c r="CZ9" s="96" t="s">
        <v>418</v>
      </c>
      <c r="DA9" s="99">
        <v>96.4</v>
      </c>
      <c r="DB9" s="99">
        <v>34.200000000000003</v>
      </c>
      <c r="DC9" s="99">
        <v>166.67</v>
      </c>
      <c r="DD9" s="99">
        <v>210</v>
      </c>
      <c r="DE9" s="99">
        <v>224</v>
      </c>
      <c r="DF9" s="99">
        <v>103</v>
      </c>
      <c r="DG9" s="99">
        <v>0</v>
      </c>
      <c r="DH9" s="99">
        <v>7.69</v>
      </c>
      <c r="DI9" s="99">
        <v>0.28000000000000003</v>
      </c>
      <c r="DJ9" s="99">
        <v>0</v>
      </c>
      <c r="DK9" s="99">
        <v>0.38</v>
      </c>
      <c r="DL9" s="99">
        <v>0</v>
      </c>
      <c r="DM9" s="99">
        <v>0.09</v>
      </c>
      <c r="DN9" s="99">
        <v>0</v>
      </c>
      <c r="DO9" s="99">
        <v>8.4499999999999993</v>
      </c>
      <c r="DP9" s="99">
        <v>94.5</v>
      </c>
      <c r="DQ9" s="99">
        <v>34.200000000000003</v>
      </c>
      <c r="DR9" s="99">
        <v>118</v>
      </c>
      <c r="DS9" s="99">
        <v>90</v>
      </c>
      <c r="DT9" s="99">
        <v>54</v>
      </c>
      <c r="DU9" s="99">
        <v>0</v>
      </c>
      <c r="DV9" s="99">
        <v>0</v>
      </c>
      <c r="DW9" s="99">
        <v>0</v>
      </c>
      <c r="DX9" s="99">
        <v>0</v>
      </c>
      <c r="DY9" s="99">
        <v>0</v>
      </c>
      <c r="DZ9" s="99">
        <v>0</v>
      </c>
      <c r="EA9" s="99">
        <v>0</v>
      </c>
      <c r="EB9" s="99">
        <v>0</v>
      </c>
      <c r="EC9" s="99">
        <v>0</v>
      </c>
      <c r="ED9" s="99">
        <v>0</v>
      </c>
      <c r="EE9" s="99">
        <v>112.25</v>
      </c>
      <c r="EF9" s="99">
        <v>37.5</v>
      </c>
      <c r="EG9" s="99">
        <v>137.25</v>
      </c>
      <c r="EH9" s="99">
        <v>2.58</v>
      </c>
      <c r="EI9" s="99">
        <v>0</v>
      </c>
      <c r="EJ9" s="99">
        <v>0.69</v>
      </c>
      <c r="EK9" s="99">
        <v>3.27</v>
      </c>
      <c r="EL9" s="99">
        <v>8.41</v>
      </c>
      <c r="EM9" s="99">
        <v>0</v>
      </c>
      <c r="EN9" s="99">
        <v>0</v>
      </c>
      <c r="EO9" s="99">
        <v>0</v>
      </c>
      <c r="EP9" s="99">
        <v>0.05</v>
      </c>
      <c r="EQ9" s="99">
        <v>0.25</v>
      </c>
      <c r="ER9" s="99">
        <v>0</v>
      </c>
      <c r="ES9" s="99">
        <v>0.15</v>
      </c>
      <c r="ET9" s="99">
        <v>0.2</v>
      </c>
      <c r="EU9" s="99">
        <v>0.05</v>
      </c>
      <c r="EV9" s="99">
        <v>0</v>
      </c>
      <c r="EW9" s="99">
        <v>0</v>
      </c>
      <c r="EX9" s="99">
        <v>0.65</v>
      </c>
      <c r="EY9" s="99">
        <v>2.68</v>
      </c>
      <c r="EZ9" s="99">
        <v>20.170000000000002</v>
      </c>
      <c r="FA9" s="99">
        <v>3.33</v>
      </c>
      <c r="FB9" s="99">
        <v>23.5</v>
      </c>
      <c r="FC9" s="99">
        <v>1.17</v>
      </c>
      <c r="FD9" s="99">
        <v>24.67</v>
      </c>
      <c r="FE9" s="99">
        <v>26.65</v>
      </c>
      <c r="FF9" s="99">
        <v>27.63</v>
      </c>
      <c r="FG9" s="99">
        <v>292173.42</v>
      </c>
      <c r="FH9" s="99">
        <v>588260.13</v>
      </c>
      <c r="FI9" s="99">
        <v>1.97</v>
      </c>
      <c r="FJ9" s="103">
        <v>0.08</v>
      </c>
      <c r="FK9" s="99">
        <v>0.97</v>
      </c>
      <c r="FL9" s="103">
        <v>3.9471331872483639E-2</v>
      </c>
      <c r="FM9" s="99">
        <v>2.96</v>
      </c>
      <c r="FN9" s="103">
        <v>0.11999999999999994</v>
      </c>
      <c r="FO9" s="99">
        <v>1.96</v>
      </c>
      <c r="FP9" s="103">
        <v>7.9471331872483578E-2</v>
      </c>
      <c r="FQ9" s="96" t="s">
        <v>25</v>
      </c>
      <c r="FR9" s="96" t="s">
        <v>23</v>
      </c>
      <c r="FS9" s="96" t="s">
        <v>86</v>
      </c>
      <c r="FT9" s="96" t="s">
        <v>121</v>
      </c>
      <c r="FU9" s="96" t="s">
        <v>47</v>
      </c>
      <c r="FV9" s="96" t="s">
        <v>72</v>
      </c>
      <c r="FW9" s="102">
        <v>140</v>
      </c>
    </row>
    <row r="10" spans="1:180" x14ac:dyDescent="0.35">
      <c r="A10" s="96" t="s">
        <v>414</v>
      </c>
      <c r="B10" s="97">
        <v>0.43557870370370372</v>
      </c>
      <c r="C10" s="96" t="s">
        <v>145</v>
      </c>
      <c r="D10" s="96" t="s">
        <v>420</v>
      </c>
      <c r="E10" s="96" t="s">
        <v>401</v>
      </c>
      <c r="F10" s="96">
        <v>1</v>
      </c>
      <c r="G10" s="100">
        <v>45870</v>
      </c>
      <c r="H10" s="96" t="s">
        <v>367</v>
      </c>
      <c r="I10" s="96" t="s">
        <v>368</v>
      </c>
      <c r="J10" s="96" t="s">
        <v>419</v>
      </c>
      <c r="K10" s="98">
        <v>300000</v>
      </c>
      <c r="L10" s="101">
        <v>26</v>
      </c>
      <c r="M10" s="101">
        <v>42</v>
      </c>
      <c r="N10" s="101">
        <v>26.1</v>
      </c>
      <c r="O10" s="101">
        <v>43.7</v>
      </c>
      <c r="P10" s="102">
        <v>140</v>
      </c>
      <c r="Q10" s="101">
        <v>92.450916498240005</v>
      </c>
      <c r="R10" s="98">
        <v>332995</v>
      </c>
      <c r="S10" s="98">
        <v>9990</v>
      </c>
      <c r="T10" s="98">
        <v>342985</v>
      </c>
      <c r="U10" s="98">
        <v>27735.274949472001</v>
      </c>
      <c r="V10" s="98" t="s">
        <v>24</v>
      </c>
      <c r="W10" s="98">
        <v>1071.7764408348453</v>
      </c>
      <c r="X10" s="103">
        <v>0.88</v>
      </c>
      <c r="Y10" s="103">
        <v>0.09</v>
      </c>
      <c r="Z10" s="103">
        <v>0</v>
      </c>
      <c r="AA10" s="103">
        <v>0.02</v>
      </c>
      <c r="AB10" s="103">
        <v>0</v>
      </c>
      <c r="AC10" s="103">
        <v>0.01</v>
      </c>
      <c r="AD10" s="103">
        <v>0</v>
      </c>
      <c r="AE10" s="101">
        <v>81.356806518451208</v>
      </c>
      <c r="AF10" s="101">
        <v>8.3205824848415997</v>
      </c>
      <c r="AG10" s="101">
        <v>0</v>
      </c>
      <c r="AH10" s="101">
        <v>1.8490183299648002</v>
      </c>
      <c r="AI10" s="101">
        <v>0</v>
      </c>
      <c r="AJ10" s="101">
        <v>0.9245091649824001</v>
      </c>
      <c r="AK10" s="101">
        <v>0</v>
      </c>
      <c r="AL10" s="103">
        <v>0</v>
      </c>
      <c r="AM10" s="103">
        <v>0</v>
      </c>
      <c r="AN10" s="103">
        <v>0</v>
      </c>
      <c r="AO10" s="103">
        <v>0</v>
      </c>
      <c r="AP10" s="103">
        <v>0</v>
      </c>
      <c r="AQ10" s="103">
        <v>0</v>
      </c>
      <c r="AR10" s="103">
        <v>0</v>
      </c>
      <c r="AS10" s="101">
        <v>0</v>
      </c>
      <c r="AT10" s="101">
        <v>0</v>
      </c>
      <c r="AU10" s="101">
        <v>0</v>
      </c>
      <c r="AV10" s="101">
        <v>0</v>
      </c>
      <c r="AW10" s="101">
        <v>0</v>
      </c>
      <c r="AX10" s="101">
        <v>0</v>
      </c>
      <c r="AY10" s="101">
        <v>0</v>
      </c>
      <c r="AZ10" s="103">
        <v>0.82</v>
      </c>
      <c r="BA10" s="103">
        <v>0</v>
      </c>
      <c r="BB10" s="103">
        <v>0.18</v>
      </c>
      <c r="BC10" s="101">
        <v>22.959999999999997</v>
      </c>
      <c r="BD10" s="101">
        <v>0</v>
      </c>
      <c r="BE10" s="101">
        <v>5.04</v>
      </c>
      <c r="BF10" s="101">
        <v>1</v>
      </c>
      <c r="BG10" s="101">
        <v>0.73585014120000014</v>
      </c>
      <c r="BH10" s="96">
        <v>2</v>
      </c>
      <c r="BI10" s="96">
        <v>0</v>
      </c>
      <c r="BJ10" s="96">
        <v>0</v>
      </c>
      <c r="BK10" s="101">
        <v>18.249083501759998</v>
      </c>
      <c r="BL10" s="101">
        <v>0</v>
      </c>
      <c r="BM10" s="101">
        <v>0</v>
      </c>
      <c r="BN10" s="101">
        <v>0</v>
      </c>
      <c r="BO10" s="101">
        <v>0</v>
      </c>
      <c r="BP10" s="101">
        <v>1.3</v>
      </c>
      <c r="BQ10" s="101">
        <v>1.3</v>
      </c>
      <c r="BR10" s="104">
        <v>24407.041955535362</v>
      </c>
      <c r="BS10" s="104">
        <v>2496.1747454524798</v>
      </c>
      <c r="BT10" s="104">
        <v>0</v>
      </c>
      <c r="BU10" s="104">
        <v>554.70549898944012</v>
      </c>
      <c r="BV10" s="104">
        <v>0</v>
      </c>
      <c r="BW10" s="104">
        <v>277.35274949472006</v>
      </c>
      <c r="BX10" s="104">
        <v>0</v>
      </c>
      <c r="BY10" s="104">
        <v>0</v>
      </c>
      <c r="BZ10" s="104">
        <v>0</v>
      </c>
      <c r="CA10" s="104">
        <v>0</v>
      </c>
      <c r="CB10" s="104">
        <v>0</v>
      </c>
      <c r="CC10" s="104">
        <v>0</v>
      </c>
      <c r="CD10" s="104">
        <v>0</v>
      </c>
      <c r="CE10" s="104">
        <v>0</v>
      </c>
      <c r="CF10" s="104">
        <v>6887.9999999999991</v>
      </c>
      <c r="CG10" s="104">
        <v>0</v>
      </c>
      <c r="CH10" s="104">
        <v>1512</v>
      </c>
      <c r="CI10" s="104">
        <v>5474.725050527999</v>
      </c>
      <c r="CJ10" s="104">
        <v>0</v>
      </c>
      <c r="CK10" s="104">
        <v>0</v>
      </c>
      <c r="CL10" s="104">
        <v>0</v>
      </c>
      <c r="CM10" s="104">
        <v>390</v>
      </c>
      <c r="CN10" s="98">
        <v>30000</v>
      </c>
      <c r="CO10" s="96" t="s">
        <v>363</v>
      </c>
      <c r="CP10" s="101">
        <v>141.86989619377164</v>
      </c>
      <c r="CQ10" s="101">
        <v>10</v>
      </c>
      <c r="CR10" s="101">
        <v>1418.6989619377164</v>
      </c>
      <c r="CS10" s="101">
        <v>118.2249134948097</v>
      </c>
      <c r="CT10" s="101">
        <v>59.112456747404849</v>
      </c>
      <c r="CU10" s="96" t="s">
        <v>367</v>
      </c>
      <c r="CV10" s="96" t="s">
        <v>368</v>
      </c>
      <c r="CW10" s="96" t="s">
        <v>412</v>
      </c>
      <c r="CX10" s="96" t="s">
        <v>369</v>
      </c>
      <c r="CY10" s="96" t="s">
        <v>413</v>
      </c>
      <c r="CZ10" s="96" t="s">
        <v>418</v>
      </c>
      <c r="DA10" s="99">
        <v>96.4</v>
      </c>
      <c r="DB10" s="99">
        <v>35</v>
      </c>
      <c r="DC10" s="99">
        <v>164.17</v>
      </c>
      <c r="DD10" s="99">
        <v>49.5</v>
      </c>
      <c r="DE10" s="99">
        <v>224</v>
      </c>
      <c r="DF10" s="99">
        <v>103</v>
      </c>
      <c r="DG10" s="99">
        <v>50</v>
      </c>
      <c r="DH10" s="99">
        <v>7.84</v>
      </c>
      <c r="DI10" s="99">
        <v>0.28999999999999998</v>
      </c>
      <c r="DJ10" s="99">
        <v>0</v>
      </c>
      <c r="DK10" s="99">
        <v>0.09</v>
      </c>
      <c r="DL10" s="99">
        <v>0</v>
      </c>
      <c r="DM10" s="99">
        <v>0.1</v>
      </c>
      <c r="DN10" s="99">
        <v>0</v>
      </c>
      <c r="DO10" s="99">
        <v>8.32</v>
      </c>
      <c r="DP10" s="99">
        <v>94.5</v>
      </c>
      <c r="DQ10" s="99">
        <v>35</v>
      </c>
      <c r="DR10" s="99">
        <v>118</v>
      </c>
      <c r="DS10" s="99">
        <v>90</v>
      </c>
      <c r="DT10" s="99">
        <v>54</v>
      </c>
      <c r="DU10" s="99">
        <v>0</v>
      </c>
      <c r="DV10" s="99">
        <v>50</v>
      </c>
      <c r="DW10" s="99">
        <v>0</v>
      </c>
      <c r="DX10" s="99">
        <v>0</v>
      </c>
      <c r="DY10" s="99">
        <v>0</v>
      </c>
      <c r="DZ10" s="99">
        <v>0</v>
      </c>
      <c r="EA10" s="99">
        <v>0</v>
      </c>
      <c r="EB10" s="99">
        <v>0</v>
      </c>
      <c r="EC10" s="99">
        <v>0</v>
      </c>
      <c r="ED10" s="99">
        <v>0</v>
      </c>
      <c r="EE10" s="99">
        <v>112.25</v>
      </c>
      <c r="EF10" s="99">
        <v>37.1</v>
      </c>
      <c r="EG10" s="99">
        <v>137.25</v>
      </c>
      <c r="EH10" s="99">
        <v>2.58</v>
      </c>
      <c r="EI10" s="99">
        <v>0</v>
      </c>
      <c r="EJ10" s="99">
        <v>0.69</v>
      </c>
      <c r="EK10" s="99">
        <v>3.27</v>
      </c>
      <c r="EL10" s="99">
        <v>6.2</v>
      </c>
      <c r="EM10" s="99">
        <v>0</v>
      </c>
      <c r="EN10" s="99">
        <v>0</v>
      </c>
      <c r="EO10" s="99">
        <v>0</v>
      </c>
      <c r="EP10" s="99">
        <v>0.05</v>
      </c>
      <c r="EQ10" s="99">
        <v>0.25</v>
      </c>
      <c r="ER10" s="99">
        <v>0</v>
      </c>
      <c r="ES10" s="99">
        <v>0.15</v>
      </c>
      <c r="ET10" s="99">
        <v>0.2</v>
      </c>
      <c r="EU10" s="99">
        <v>0.05</v>
      </c>
      <c r="EV10" s="99">
        <v>0</v>
      </c>
      <c r="EW10" s="99">
        <v>0</v>
      </c>
      <c r="EX10" s="99">
        <v>0.65</v>
      </c>
      <c r="EY10" s="99">
        <v>2.73</v>
      </c>
      <c r="EZ10" s="99">
        <v>17.850000000000001</v>
      </c>
      <c r="FA10" s="99">
        <v>3.38</v>
      </c>
      <c r="FB10" s="99">
        <v>21.22</v>
      </c>
      <c r="FC10" s="99">
        <v>1.06</v>
      </c>
      <c r="FD10" s="99">
        <v>22.28</v>
      </c>
      <c r="FE10" s="99">
        <v>24.07</v>
      </c>
      <c r="FF10" s="99">
        <v>24.96</v>
      </c>
      <c r="FG10" s="99">
        <v>234838.7</v>
      </c>
      <c r="FH10" s="99">
        <v>502258.05</v>
      </c>
      <c r="FI10" s="99">
        <v>1.78</v>
      </c>
      <c r="FJ10" s="103">
        <v>7.9999999999999946E-2</v>
      </c>
      <c r="FK10" s="99">
        <v>0.78</v>
      </c>
      <c r="FL10" s="103">
        <v>3.5126657553827496E-2</v>
      </c>
      <c r="FM10" s="99">
        <v>2.67</v>
      </c>
      <c r="FN10" s="103">
        <v>0.12</v>
      </c>
      <c r="FO10" s="99">
        <v>1.67</v>
      </c>
      <c r="FP10" s="103">
        <v>7.5126657553827539E-2</v>
      </c>
      <c r="FQ10" s="96" t="s">
        <v>25</v>
      </c>
      <c r="FR10" s="96" t="s">
        <v>23</v>
      </c>
      <c r="FS10" s="96" t="s">
        <v>86</v>
      </c>
      <c r="FT10" s="96" t="s">
        <v>121</v>
      </c>
      <c r="FU10" s="96" t="s">
        <v>47</v>
      </c>
      <c r="FV10" s="96" t="s">
        <v>72</v>
      </c>
      <c r="FW10" s="102">
        <v>140</v>
      </c>
    </row>
    <row r="11" spans="1:180" x14ac:dyDescent="0.35">
      <c r="A11" s="96" t="s">
        <v>414</v>
      </c>
      <c r="B11" s="97">
        <v>0.44358796296296299</v>
      </c>
      <c r="C11" s="96" t="s">
        <v>145</v>
      </c>
      <c r="D11" s="96" t="s">
        <v>447</v>
      </c>
      <c r="E11" s="96" t="s">
        <v>401</v>
      </c>
      <c r="F11" s="96">
        <v>1</v>
      </c>
      <c r="G11" s="100">
        <v>45870</v>
      </c>
      <c r="H11" s="96" t="s">
        <v>367</v>
      </c>
      <c r="I11" s="96" t="s">
        <v>368</v>
      </c>
      <c r="J11" s="96" t="s">
        <v>419</v>
      </c>
      <c r="K11" s="98">
        <v>300000</v>
      </c>
      <c r="L11" s="101">
        <v>26</v>
      </c>
      <c r="M11" s="101">
        <v>42</v>
      </c>
      <c r="N11" s="101">
        <v>26.1</v>
      </c>
      <c r="O11" s="101">
        <v>45.7</v>
      </c>
      <c r="P11" s="102">
        <v>140</v>
      </c>
      <c r="Q11" s="101">
        <v>80.615718168640001</v>
      </c>
      <c r="R11" s="98">
        <v>348235</v>
      </c>
      <c r="S11" s="98">
        <v>10448</v>
      </c>
      <c r="T11" s="98">
        <v>358683</v>
      </c>
      <c r="U11" s="98">
        <v>24184.715450592001</v>
      </c>
      <c r="V11" s="98" t="s">
        <v>24</v>
      </c>
      <c r="W11" s="98">
        <v>1024.8715637742393</v>
      </c>
      <c r="X11" s="103">
        <v>0.88</v>
      </c>
      <c r="Y11" s="103">
        <v>0.09</v>
      </c>
      <c r="Z11" s="103">
        <v>0</v>
      </c>
      <c r="AA11" s="103">
        <v>0.02</v>
      </c>
      <c r="AB11" s="103">
        <v>0</v>
      </c>
      <c r="AC11" s="103">
        <v>0.01</v>
      </c>
      <c r="AD11" s="103">
        <v>0</v>
      </c>
      <c r="AE11" s="101">
        <v>70.941831988403194</v>
      </c>
      <c r="AF11" s="101">
        <v>7.2554146351775994</v>
      </c>
      <c r="AG11" s="101">
        <v>0</v>
      </c>
      <c r="AH11" s="101">
        <v>1.6123143633728001</v>
      </c>
      <c r="AI11" s="101">
        <v>0</v>
      </c>
      <c r="AJ11" s="101">
        <v>0.80615718168640005</v>
      </c>
      <c r="AK11" s="101">
        <v>0</v>
      </c>
      <c r="AL11" s="103">
        <v>0</v>
      </c>
      <c r="AM11" s="103">
        <v>0</v>
      </c>
      <c r="AN11" s="103">
        <v>0</v>
      </c>
      <c r="AO11" s="103">
        <v>0</v>
      </c>
      <c r="AP11" s="103">
        <v>0</v>
      </c>
      <c r="AQ11" s="103">
        <v>0</v>
      </c>
      <c r="AR11" s="103">
        <v>0</v>
      </c>
      <c r="AS11" s="101">
        <v>0</v>
      </c>
      <c r="AT11" s="101">
        <v>0</v>
      </c>
      <c r="AU11" s="101">
        <v>0</v>
      </c>
      <c r="AV11" s="101">
        <v>0</v>
      </c>
      <c r="AW11" s="101">
        <v>0</v>
      </c>
      <c r="AX11" s="101">
        <v>0</v>
      </c>
      <c r="AY11" s="101">
        <v>0</v>
      </c>
      <c r="AZ11" s="103">
        <v>0.82</v>
      </c>
      <c r="BA11" s="103">
        <v>0</v>
      </c>
      <c r="BB11" s="103">
        <v>0.18</v>
      </c>
      <c r="BC11" s="101">
        <v>22.959999999999997</v>
      </c>
      <c r="BD11" s="101">
        <v>0</v>
      </c>
      <c r="BE11" s="101">
        <v>5.04</v>
      </c>
      <c r="BF11" s="101">
        <v>1</v>
      </c>
      <c r="BG11" s="101">
        <v>0.76952749320000013</v>
      </c>
      <c r="BH11" s="96">
        <v>2</v>
      </c>
      <c r="BI11" s="96">
        <v>0</v>
      </c>
      <c r="BJ11" s="96">
        <v>0</v>
      </c>
      <c r="BK11" s="101">
        <v>19.084281831359998</v>
      </c>
      <c r="BL11" s="101">
        <v>0</v>
      </c>
      <c r="BM11" s="101">
        <v>2</v>
      </c>
      <c r="BN11" s="101">
        <v>8</v>
      </c>
      <c r="BO11" s="101">
        <v>3</v>
      </c>
      <c r="BP11" s="101">
        <v>1.3</v>
      </c>
      <c r="BQ11" s="101">
        <v>4.3</v>
      </c>
      <c r="BR11" s="104">
        <v>21282.549596520956</v>
      </c>
      <c r="BS11" s="104">
        <v>2176.6243905532801</v>
      </c>
      <c r="BT11" s="104">
        <v>0</v>
      </c>
      <c r="BU11" s="104">
        <v>483.69430901184001</v>
      </c>
      <c r="BV11" s="104">
        <v>0</v>
      </c>
      <c r="BW11" s="104">
        <v>241.84715450592</v>
      </c>
      <c r="BX11" s="104">
        <v>0</v>
      </c>
      <c r="BY11" s="104">
        <v>0</v>
      </c>
      <c r="BZ11" s="104">
        <v>0</v>
      </c>
      <c r="CA11" s="104">
        <v>0</v>
      </c>
      <c r="CB11" s="104">
        <v>0</v>
      </c>
      <c r="CC11" s="104">
        <v>0</v>
      </c>
      <c r="CD11" s="104">
        <v>0</v>
      </c>
      <c r="CE11" s="104">
        <v>0</v>
      </c>
      <c r="CF11" s="104">
        <v>6887.9999999999991</v>
      </c>
      <c r="CG11" s="104">
        <v>0</v>
      </c>
      <c r="CH11" s="104">
        <v>1512</v>
      </c>
      <c r="CI11" s="104">
        <v>5725.2845494080002</v>
      </c>
      <c r="CJ11" s="104">
        <v>0</v>
      </c>
      <c r="CK11" s="104">
        <v>2400</v>
      </c>
      <c r="CL11" s="104">
        <v>900</v>
      </c>
      <c r="CM11" s="104">
        <v>390</v>
      </c>
      <c r="CN11" s="98">
        <v>30000</v>
      </c>
      <c r="CO11" s="96" t="s">
        <v>147</v>
      </c>
      <c r="CP11" s="101">
        <v>153.88235294117646</v>
      </c>
      <c r="CQ11" s="101">
        <v>10</v>
      </c>
      <c r="CR11" s="101">
        <v>1538.8235294117646</v>
      </c>
      <c r="CS11" s="101">
        <v>128.23529411764704</v>
      </c>
      <c r="CT11" s="101">
        <v>64.117647058823522</v>
      </c>
      <c r="CU11" s="96" t="s">
        <v>367</v>
      </c>
      <c r="CV11" s="96" t="s">
        <v>368</v>
      </c>
      <c r="CW11" s="96" t="s">
        <v>412</v>
      </c>
      <c r="CX11" s="96" t="s">
        <v>369</v>
      </c>
      <c r="CY11" s="96" t="s">
        <v>413</v>
      </c>
      <c r="CZ11" s="96" t="s">
        <v>414</v>
      </c>
      <c r="DA11" s="99">
        <v>96.4</v>
      </c>
      <c r="DB11" s="99">
        <v>35</v>
      </c>
      <c r="DC11" s="99">
        <v>164.17</v>
      </c>
      <c r="DD11" s="99">
        <v>49.5</v>
      </c>
      <c r="DE11" s="99">
        <v>224</v>
      </c>
      <c r="DF11" s="99">
        <v>103</v>
      </c>
      <c r="DG11" s="99">
        <v>50</v>
      </c>
      <c r="DH11" s="99">
        <v>6.84</v>
      </c>
      <c r="DI11" s="99">
        <v>0.25</v>
      </c>
      <c r="DJ11" s="99">
        <v>0</v>
      </c>
      <c r="DK11" s="99">
        <v>0.08</v>
      </c>
      <c r="DL11" s="99">
        <v>0</v>
      </c>
      <c r="DM11" s="99">
        <v>0.08</v>
      </c>
      <c r="DN11" s="99">
        <v>0</v>
      </c>
      <c r="DO11" s="99">
        <v>7.26</v>
      </c>
      <c r="DP11" s="99">
        <v>94.5</v>
      </c>
      <c r="DQ11" s="99">
        <v>35</v>
      </c>
      <c r="DR11" s="99">
        <v>118</v>
      </c>
      <c r="DS11" s="99">
        <v>90</v>
      </c>
      <c r="DT11" s="99">
        <v>54</v>
      </c>
      <c r="DU11" s="99">
        <v>0</v>
      </c>
      <c r="DV11" s="99">
        <v>50</v>
      </c>
      <c r="DW11" s="99">
        <v>0</v>
      </c>
      <c r="DX11" s="99">
        <v>0</v>
      </c>
      <c r="DY11" s="99">
        <v>0</v>
      </c>
      <c r="DZ11" s="99">
        <v>0</v>
      </c>
      <c r="EA11" s="99">
        <v>0</v>
      </c>
      <c r="EB11" s="99">
        <v>0</v>
      </c>
      <c r="EC11" s="99">
        <v>0</v>
      </c>
      <c r="ED11" s="99">
        <v>0</v>
      </c>
      <c r="EE11" s="99">
        <v>112.25</v>
      </c>
      <c r="EF11" s="99">
        <v>37.1</v>
      </c>
      <c r="EG11" s="99">
        <v>137.25</v>
      </c>
      <c r="EH11" s="99">
        <v>2.58</v>
      </c>
      <c r="EI11" s="99">
        <v>0</v>
      </c>
      <c r="EJ11" s="99">
        <v>0.69</v>
      </c>
      <c r="EK11" s="99">
        <v>3.27</v>
      </c>
      <c r="EL11" s="99">
        <v>6.49</v>
      </c>
      <c r="EM11" s="99">
        <v>0</v>
      </c>
      <c r="EN11" s="99">
        <v>0</v>
      </c>
      <c r="EO11" s="99">
        <v>0</v>
      </c>
      <c r="EP11" s="99">
        <v>0.22</v>
      </c>
      <c r="EQ11" s="99">
        <v>0.25</v>
      </c>
      <c r="ER11" s="99">
        <v>0</v>
      </c>
      <c r="ES11" s="99">
        <v>0.15</v>
      </c>
      <c r="ET11" s="99">
        <v>0.2</v>
      </c>
      <c r="EU11" s="99">
        <v>0.05</v>
      </c>
      <c r="EV11" s="99">
        <v>1</v>
      </c>
      <c r="EX11" s="99">
        <v>1.65</v>
      </c>
      <c r="EY11" s="99">
        <v>2.38</v>
      </c>
      <c r="EZ11" s="99">
        <v>18.75</v>
      </c>
      <c r="FA11" s="99">
        <v>4.03</v>
      </c>
      <c r="FB11" s="99">
        <v>22.78</v>
      </c>
      <c r="FC11" s="99">
        <v>1.1399999999999999</v>
      </c>
      <c r="FD11" s="99">
        <v>23.92</v>
      </c>
      <c r="FE11" s="99">
        <v>25.83</v>
      </c>
      <c r="FF11" s="99">
        <v>26.79</v>
      </c>
      <c r="FG11" s="99">
        <v>274015.56</v>
      </c>
      <c r="FH11" s="99">
        <v>561023.35</v>
      </c>
      <c r="FI11" s="99">
        <v>1.91</v>
      </c>
      <c r="FJ11" s="103">
        <v>0.08</v>
      </c>
      <c r="FK11" s="99">
        <v>0.91</v>
      </c>
      <c r="FL11" s="103">
        <v>3.8189286967258616E-2</v>
      </c>
      <c r="FM11" s="99">
        <v>2.87</v>
      </c>
      <c r="FN11" s="103">
        <v>0.12</v>
      </c>
      <c r="FO11" s="99">
        <v>1.87</v>
      </c>
      <c r="FP11" s="103">
        <v>7.8189286967258617E-2</v>
      </c>
      <c r="FQ11" s="96" t="s">
        <v>25</v>
      </c>
      <c r="FR11" s="96" t="s">
        <v>23</v>
      </c>
      <c r="FS11" s="96" t="s">
        <v>86</v>
      </c>
      <c r="FT11" s="96" t="s">
        <v>140</v>
      </c>
      <c r="FU11" s="96" t="s">
        <v>47</v>
      </c>
      <c r="FV11" s="96" t="s">
        <v>72</v>
      </c>
      <c r="FW11" s="102">
        <v>140</v>
      </c>
    </row>
    <row r="12" spans="1:180" x14ac:dyDescent="0.35">
      <c r="A12" s="96" t="s">
        <v>414</v>
      </c>
      <c r="B12" s="97">
        <v>0.53317129629629634</v>
      </c>
      <c r="C12" s="96" t="s">
        <v>145</v>
      </c>
      <c r="D12" s="96" t="s">
        <v>461</v>
      </c>
      <c r="E12" s="96" t="s">
        <v>401</v>
      </c>
      <c r="F12" s="96">
        <v>0</v>
      </c>
      <c r="G12" s="100">
        <v>45870</v>
      </c>
      <c r="H12" s="96" t="s">
        <v>414</v>
      </c>
      <c r="I12" s="96" t="s">
        <v>462</v>
      </c>
      <c r="J12" s="96" t="s">
        <v>460</v>
      </c>
      <c r="K12" s="98">
        <v>45000</v>
      </c>
      <c r="L12" s="101">
        <v>24</v>
      </c>
      <c r="M12" s="101">
        <v>36</v>
      </c>
      <c r="N12" s="101">
        <v>24.1</v>
      </c>
      <c r="O12" s="101">
        <v>37.700000000000003</v>
      </c>
      <c r="P12" s="102">
        <v>210.00000000000003</v>
      </c>
      <c r="Q12" s="101">
        <v>101.55609382336</v>
      </c>
      <c r="R12" s="98">
        <v>43092</v>
      </c>
      <c r="S12" s="98">
        <v>1293</v>
      </c>
      <c r="T12" s="98">
        <v>44385</v>
      </c>
      <c r="U12" s="98">
        <v>4570.0242220512</v>
      </c>
      <c r="V12" s="98" t="s">
        <v>24</v>
      </c>
      <c r="W12" s="98">
        <v>1442.9470243987798</v>
      </c>
      <c r="X12" s="103">
        <v>0.92</v>
      </c>
      <c r="Y12" s="103">
        <v>0.05</v>
      </c>
      <c r="Z12" s="103">
        <v>0</v>
      </c>
      <c r="AA12" s="103">
        <v>0</v>
      </c>
      <c r="AB12" s="103">
        <v>0</v>
      </c>
      <c r="AC12" s="103">
        <v>0.03</v>
      </c>
      <c r="AD12" s="103">
        <v>0</v>
      </c>
      <c r="AE12" s="101">
        <v>93.431606317491202</v>
      </c>
      <c r="AF12" s="101">
        <v>5.0778046911680006</v>
      </c>
      <c r="AG12" s="101">
        <v>0</v>
      </c>
      <c r="AH12" s="101">
        <v>0</v>
      </c>
      <c r="AI12" s="101">
        <v>0</v>
      </c>
      <c r="AJ12" s="101">
        <v>3.0466828147007998</v>
      </c>
      <c r="AK12" s="101">
        <v>0</v>
      </c>
      <c r="AL12" s="103">
        <v>0.25</v>
      </c>
      <c r="AM12" s="103">
        <v>0.75</v>
      </c>
      <c r="AN12" s="103">
        <v>0</v>
      </c>
      <c r="AO12" s="103">
        <v>0</v>
      </c>
      <c r="AP12" s="103">
        <v>0</v>
      </c>
      <c r="AQ12" s="103">
        <v>0</v>
      </c>
      <c r="AR12" s="103">
        <v>0</v>
      </c>
      <c r="AS12" s="101">
        <v>15</v>
      </c>
      <c r="AT12" s="101">
        <v>45</v>
      </c>
      <c r="AU12" s="101">
        <v>0</v>
      </c>
      <c r="AV12" s="101">
        <v>0</v>
      </c>
      <c r="AW12" s="101">
        <v>0</v>
      </c>
      <c r="AX12" s="101">
        <v>0</v>
      </c>
      <c r="AY12" s="101">
        <v>0</v>
      </c>
      <c r="AZ12" s="103">
        <v>0.89</v>
      </c>
      <c r="BA12" s="103">
        <v>0.11</v>
      </c>
      <c r="BB12" s="103">
        <v>0</v>
      </c>
      <c r="BC12" s="101">
        <v>26.7</v>
      </c>
      <c r="BD12" s="101">
        <v>3.3</v>
      </c>
      <c r="BE12" s="101">
        <v>0</v>
      </c>
      <c r="BF12" s="101">
        <v>2.2000000000000002</v>
      </c>
      <c r="BG12" s="101">
        <v>1.2895806466400004</v>
      </c>
      <c r="BH12" s="96">
        <v>2</v>
      </c>
      <c r="BI12" s="96">
        <v>0</v>
      </c>
      <c r="BJ12" s="96">
        <v>0</v>
      </c>
      <c r="BK12" s="101">
        <v>15.943906176640002</v>
      </c>
      <c r="BL12" s="101">
        <v>0</v>
      </c>
      <c r="BM12" s="101">
        <v>0</v>
      </c>
      <c r="BN12" s="101">
        <v>0</v>
      </c>
      <c r="BO12" s="101">
        <v>1.2</v>
      </c>
      <c r="BP12" s="101">
        <v>1.3</v>
      </c>
      <c r="BQ12" s="101">
        <v>2.5</v>
      </c>
      <c r="BR12" s="104">
        <v>4204.422284287104</v>
      </c>
      <c r="BS12" s="104">
        <v>228.50121110256001</v>
      </c>
      <c r="BT12" s="104">
        <v>0</v>
      </c>
      <c r="BU12" s="104">
        <v>0</v>
      </c>
      <c r="BV12" s="104">
        <v>0</v>
      </c>
      <c r="BW12" s="104">
        <v>137.10072666153599</v>
      </c>
      <c r="BX12" s="104">
        <v>0</v>
      </c>
      <c r="BY12" s="104">
        <v>675</v>
      </c>
      <c r="BZ12" s="104">
        <v>2025</v>
      </c>
      <c r="CA12" s="104">
        <v>0</v>
      </c>
      <c r="CB12" s="104">
        <v>0</v>
      </c>
      <c r="CC12" s="104">
        <v>0</v>
      </c>
      <c r="CD12" s="104">
        <v>0</v>
      </c>
      <c r="CE12" s="104">
        <v>0</v>
      </c>
      <c r="CF12" s="104">
        <v>1201.5</v>
      </c>
      <c r="CG12" s="104">
        <v>148.5</v>
      </c>
      <c r="CH12" s="104">
        <v>0</v>
      </c>
      <c r="CI12" s="104">
        <v>717.4757779488001</v>
      </c>
      <c r="CJ12" s="104">
        <v>0</v>
      </c>
      <c r="CK12" s="104">
        <v>0</v>
      </c>
      <c r="CL12" s="104">
        <v>54</v>
      </c>
      <c r="CM12" s="104">
        <v>58.5</v>
      </c>
      <c r="CN12" s="98">
        <v>30000</v>
      </c>
      <c r="CO12" s="96" t="s">
        <v>147</v>
      </c>
      <c r="CP12" s="101">
        <v>153.88235294117646</v>
      </c>
      <c r="CQ12" s="101">
        <v>1.5</v>
      </c>
      <c r="CR12" s="101">
        <v>230.8235294117647</v>
      </c>
      <c r="CS12" s="101">
        <v>19.235294117647058</v>
      </c>
      <c r="CT12" s="101">
        <v>9.617647058823529</v>
      </c>
      <c r="CU12" s="96" t="s">
        <v>414</v>
      </c>
      <c r="CV12" s="96" t="s">
        <v>462</v>
      </c>
      <c r="CW12" s="143">
        <v>45725</v>
      </c>
      <c r="CX12" s="96" t="s">
        <v>369</v>
      </c>
      <c r="CY12" s="143">
        <v>45756</v>
      </c>
      <c r="CZ12" s="143">
        <v>45817</v>
      </c>
      <c r="DA12" s="99">
        <v>96.4</v>
      </c>
      <c r="DB12" s="99">
        <v>35</v>
      </c>
      <c r="DC12" s="99">
        <v>164.17</v>
      </c>
      <c r="DD12" s="99">
        <v>49.5</v>
      </c>
      <c r="DE12" s="99">
        <v>224</v>
      </c>
      <c r="DF12" s="99">
        <v>103</v>
      </c>
      <c r="DG12" s="99">
        <v>50</v>
      </c>
      <c r="DH12" s="99">
        <v>9.01</v>
      </c>
      <c r="DI12" s="99">
        <v>0.18</v>
      </c>
      <c r="DJ12" s="99">
        <v>0</v>
      </c>
      <c r="DK12" s="99">
        <v>0</v>
      </c>
      <c r="DL12" s="99">
        <v>0</v>
      </c>
      <c r="DM12" s="99">
        <v>0.31</v>
      </c>
      <c r="DN12" s="99">
        <v>0</v>
      </c>
      <c r="DO12" s="99">
        <v>9.5</v>
      </c>
      <c r="DP12" s="99">
        <v>94.5</v>
      </c>
      <c r="DQ12" s="99">
        <v>35</v>
      </c>
      <c r="DR12" s="99">
        <v>118</v>
      </c>
      <c r="DS12" s="99">
        <v>90</v>
      </c>
      <c r="DT12" s="99">
        <v>54</v>
      </c>
      <c r="DU12" s="99">
        <v>0</v>
      </c>
      <c r="DV12" s="99">
        <v>50</v>
      </c>
      <c r="DW12" s="99">
        <v>1.42</v>
      </c>
      <c r="DX12" s="99">
        <v>1.58</v>
      </c>
      <c r="DY12" s="99">
        <v>0</v>
      </c>
      <c r="DZ12" s="99">
        <v>0</v>
      </c>
      <c r="EA12" s="99">
        <v>0</v>
      </c>
      <c r="EB12" s="99">
        <v>0</v>
      </c>
      <c r="EC12" s="99">
        <v>0</v>
      </c>
      <c r="ED12" s="99">
        <v>2.99</v>
      </c>
      <c r="EE12" s="99">
        <v>112.25</v>
      </c>
      <c r="EF12" s="99">
        <v>37.1</v>
      </c>
      <c r="EG12" s="99">
        <v>137.25</v>
      </c>
      <c r="EH12" s="99">
        <v>3</v>
      </c>
      <c r="EI12" s="99">
        <v>0.12</v>
      </c>
      <c r="EJ12" s="99">
        <v>0</v>
      </c>
      <c r="EK12" s="99">
        <v>3.12</v>
      </c>
      <c r="EL12" s="99">
        <v>5.42</v>
      </c>
      <c r="EM12" s="99">
        <v>0</v>
      </c>
      <c r="EN12" s="99">
        <v>0</v>
      </c>
      <c r="EO12" s="99">
        <v>0</v>
      </c>
      <c r="EP12" s="99">
        <v>0.12</v>
      </c>
      <c r="EQ12" s="99">
        <v>0.25</v>
      </c>
      <c r="ER12" s="99">
        <v>0</v>
      </c>
      <c r="ES12" s="99">
        <v>0.15</v>
      </c>
      <c r="ET12" s="99">
        <v>0.2</v>
      </c>
      <c r="EU12" s="99">
        <v>0.05</v>
      </c>
      <c r="EV12" s="99">
        <v>0.2</v>
      </c>
      <c r="EW12" s="99">
        <v>0</v>
      </c>
      <c r="EX12" s="99">
        <v>0.85</v>
      </c>
      <c r="EY12" s="99">
        <v>3</v>
      </c>
      <c r="EZ12" s="99">
        <v>21.15</v>
      </c>
      <c r="FA12" s="99">
        <v>3.85</v>
      </c>
      <c r="FB12" s="99">
        <v>25</v>
      </c>
      <c r="FC12" s="99">
        <v>1.25</v>
      </c>
      <c r="FD12" s="99">
        <v>26.24</v>
      </c>
      <c r="FE12" s="99">
        <v>28.34</v>
      </c>
      <c r="FF12" s="99">
        <v>29.39</v>
      </c>
      <c r="FG12" s="99">
        <v>94481.77</v>
      </c>
      <c r="FH12" s="99">
        <v>141722.65</v>
      </c>
      <c r="FI12" s="99">
        <v>2.1</v>
      </c>
      <c r="FJ12" s="103">
        <v>8.0000000000000043E-2</v>
      </c>
      <c r="FK12" s="99">
        <v>2.1</v>
      </c>
      <c r="FL12" s="103">
        <v>8.0000000000000043E-2</v>
      </c>
      <c r="FM12" s="99">
        <v>3.15</v>
      </c>
      <c r="FN12" s="103">
        <v>0.12</v>
      </c>
      <c r="FO12" s="99">
        <v>3.15</v>
      </c>
      <c r="FP12" s="103">
        <v>0.12</v>
      </c>
      <c r="FQ12" s="96" t="s">
        <v>25</v>
      </c>
      <c r="FR12" s="96" t="s">
        <v>34</v>
      </c>
      <c r="FS12" s="96" t="s">
        <v>86</v>
      </c>
      <c r="FT12" s="96" t="s">
        <v>27</v>
      </c>
      <c r="FU12" s="96" t="s">
        <v>47</v>
      </c>
      <c r="FV12" s="96" t="s">
        <v>67</v>
      </c>
      <c r="FW12" s="102">
        <v>160</v>
      </c>
      <c r="FX12" s="96">
        <v>60</v>
      </c>
    </row>
    <row r="13" spans="1:180" x14ac:dyDescent="0.35">
      <c r="A13" s="96" t="s">
        <v>414</v>
      </c>
      <c r="B13" s="97">
        <v>0.73013888888888889</v>
      </c>
      <c r="C13" s="96" t="s">
        <v>145</v>
      </c>
      <c r="D13" s="96" t="s">
        <v>466</v>
      </c>
      <c r="E13" s="96" t="s">
        <v>401</v>
      </c>
      <c r="F13" s="96">
        <v>0</v>
      </c>
      <c r="G13" s="100">
        <v>45901</v>
      </c>
      <c r="H13" s="143">
        <v>45666</v>
      </c>
      <c r="I13" s="143">
        <v>45697</v>
      </c>
      <c r="J13" s="96" t="s">
        <v>464</v>
      </c>
      <c r="K13" s="98">
        <v>150000</v>
      </c>
      <c r="L13" s="101">
        <v>24</v>
      </c>
      <c r="M13" s="101">
        <v>43</v>
      </c>
      <c r="N13" s="101">
        <v>24.1</v>
      </c>
      <c r="O13" s="101">
        <v>44.2</v>
      </c>
      <c r="P13" s="102">
        <v>95</v>
      </c>
      <c r="Q13" s="101">
        <v>73.2</v>
      </c>
      <c r="R13" s="98">
        <v>168403</v>
      </c>
      <c r="S13" s="98">
        <v>5053</v>
      </c>
      <c r="T13" s="98">
        <v>173456</v>
      </c>
      <c r="U13" s="98">
        <v>10980</v>
      </c>
      <c r="V13" s="98" t="s">
        <v>24</v>
      </c>
      <c r="W13" s="98">
        <v>773.37601844266885</v>
      </c>
      <c r="X13" s="103">
        <v>0.77</v>
      </c>
      <c r="Y13" s="103">
        <v>0.23</v>
      </c>
      <c r="Z13" s="103">
        <v>0</v>
      </c>
      <c r="AA13" s="103">
        <v>0</v>
      </c>
      <c r="AB13" s="103">
        <v>0</v>
      </c>
      <c r="AC13" s="103">
        <v>0</v>
      </c>
      <c r="AD13" s="103">
        <v>0</v>
      </c>
      <c r="AE13" s="101">
        <v>56.364000000000004</v>
      </c>
      <c r="AF13" s="101">
        <v>16.836000000000002</v>
      </c>
      <c r="AG13" s="101">
        <v>0</v>
      </c>
      <c r="AH13" s="101">
        <v>0</v>
      </c>
      <c r="AI13" s="101">
        <v>0</v>
      </c>
      <c r="AJ13" s="101">
        <v>0</v>
      </c>
      <c r="AK13" s="101">
        <v>0</v>
      </c>
      <c r="AL13" s="103">
        <v>0</v>
      </c>
      <c r="AM13" s="103">
        <v>0</v>
      </c>
      <c r="AN13" s="103">
        <v>0</v>
      </c>
      <c r="AO13" s="103">
        <v>0</v>
      </c>
      <c r="AP13" s="103">
        <v>0</v>
      </c>
      <c r="AQ13" s="103">
        <v>0</v>
      </c>
      <c r="AR13" s="103">
        <v>0</v>
      </c>
      <c r="AS13" s="101">
        <v>0</v>
      </c>
      <c r="AT13" s="101">
        <v>0</v>
      </c>
      <c r="AU13" s="101">
        <v>0</v>
      </c>
      <c r="AV13" s="101">
        <v>0</v>
      </c>
      <c r="AW13" s="101">
        <v>0</v>
      </c>
      <c r="AX13" s="101">
        <v>0</v>
      </c>
      <c r="AY13" s="101">
        <v>0</v>
      </c>
      <c r="AZ13" s="103">
        <v>0.77510000000000001</v>
      </c>
      <c r="BA13" s="103">
        <v>3.49E-2</v>
      </c>
      <c r="BB13" s="103">
        <v>0.19</v>
      </c>
      <c r="BC13" s="101">
        <v>14.726900000000001</v>
      </c>
      <c r="BD13" s="101">
        <v>0.66310000000000002</v>
      </c>
      <c r="BE13" s="101">
        <v>3.61</v>
      </c>
      <c r="BF13" s="101">
        <v>2.2000000000000002</v>
      </c>
      <c r="BG13" s="101">
        <v>1.51192213744</v>
      </c>
      <c r="BH13" s="96">
        <v>0</v>
      </c>
      <c r="BI13" s="96">
        <v>0</v>
      </c>
      <c r="BJ13" s="96">
        <v>3</v>
      </c>
      <c r="BK13" s="101">
        <v>0</v>
      </c>
      <c r="BL13" s="101">
        <v>1.5</v>
      </c>
      <c r="BM13" s="101">
        <v>0</v>
      </c>
      <c r="BN13" s="101">
        <v>0</v>
      </c>
      <c r="BO13" s="101">
        <v>0</v>
      </c>
      <c r="BP13" s="101">
        <v>1.3</v>
      </c>
      <c r="BQ13" s="101">
        <v>1.3</v>
      </c>
      <c r="BR13" s="104">
        <v>8454.6</v>
      </c>
      <c r="BS13" s="104">
        <v>2525.4000000000005</v>
      </c>
      <c r="BT13" s="104">
        <v>0</v>
      </c>
      <c r="BU13" s="104">
        <v>0</v>
      </c>
      <c r="BV13" s="104">
        <v>0</v>
      </c>
      <c r="BW13" s="104">
        <v>0</v>
      </c>
      <c r="BX13" s="104">
        <v>0</v>
      </c>
      <c r="BY13" s="104">
        <v>0</v>
      </c>
      <c r="BZ13" s="104">
        <v>0</v>
      </c>
      <c r="CA13" s="104">
        <v>0</v>
      </c>
      <c r="CB13" s="104">
        <v>0</v>
      </c>
      <c r="CC13" s="104">
        <v>0</v>
      </c>
      <c r="CD13" s="104">
        <v>0</v>
      </c>
      <c r="CE13" s="104">
        <v>0</v>
      </c>
      <c r="CF13" s="104">
        <v>2209.0350000000003</v>
      </c>
      <c r="CG13" s="104">
        <v>99.465000000000003</v>
      </c>
      <c r="CH13" s="104">
        <v>541.5</v>
      </c>
      <c r="CI13" s="104">
        <v>0</v>
      </c>
      <c r="CJ13" s="104">
        <v>225</v>
      </c>
      <c r="CK13" s="104">
        <v>0</v>
      </c>
      <c r="CL13" s="104">
        <v>0</v>
      </c>
      <c r="CM13" s="104">
        <v>195</v>
      </c>
      <c r="CN13" s="98">
        <v>30000</v>
      </c>
      <c r="CO13" s="96" t="s">
        <v>164</v>
      </c>
      <c r="CP13" s="101">
        <v>162.23667820069204</v>
      </c>
      <c r="CQ13" s="101">
        <v>5</v>
      </c>
      <c r="CR13" s="101">
        <v>811.1833910034602</v>
      </c>
      <c r="CS13" s="101">
        <v>67.598615916955012</v>
      </c>
      <c r="CT13" s="101">
        <v>33.799307958477506</v>
      </c>
      <c r="CU13" s="143">
        <v>45666</v>
      </c>
      <c r="CV13" s="143">
        <v>45697</v>
      </c>
      <c r="CW13" s="143">
        <v>45786</v>
      </c>
      <c r="CX13" s="143">
        <v>45817</v>
      </c>
      <c r="CY13" s="143">
        <v>45817</v>
      </c>
      <c r="CZ13" s="143">
        <v>45847</v>
      </c>
      <c r="DA13" s="99">
        <v>92</v>
      </c>
      <c r="DB13" s="99">
        <v>35</v>
      </c>
      <c r="DC13" s="99">
        <v>164.17</v>
      </c>
      <c r="DD13" s="99">
        <v>49.5</v>
      </c>
      <c r="DE13" s="99">
        <v>224</v>
      </c>
      <c r="DF13" s="99">
        <v>103</v>
      </c>
      <c r="DG13" s="99">
        <v>50</v>
      </c>
      <c r="DH13" s="99">
        <v>5.19</v>
      </c>
      <c r="DI13" s="99">
        <v>0.59</v>
      </c>
      <c r="DJ13" s="99">
        <v>0</v>
      </c>
      <c r="DK13" s="99">
        <v>0</v>
      </c>
      <c r="DL13" s="99">
        <v>0</v>
      </c>
      <c r="DM13" s="99">
        <v>0</v>
      </c>
      <c r="DN13" s="99">
        <v>0</v>
      </c>
      <c r="DO13" s="99">
        <v>5.77</v>
      </c>
      <c r="DP13" s="99">
        <v>94.5</v>
      </c>
      <c r="DQ13" s="99">
        <v>35</v>
      </c>
      <c r="DR13" s="99">
        <v>118</v>
      </c>
      <c r="DS13" s="99">
        <v>90</v>
      </c>
      <c r="DT13" s="99">
        <v>54</v>
      </c>
      <c r="DU13" s="99">
        <v>0</v>
      </c>
      <c r="DV13" s="99">
        <v>50</v>
      </c>
      <c r="DW13" s="99">
        <v>0</v>
      </c>
      <c r="DX13" s="99">
        <v>0</v>
      </c>
      <c r="DY13" s="99">
        <v>0</v>
      </c>
      <c r="DZ13" s="99">
        <v>0</v>
      </c>
      <c r="EA13" s="99">
        <v>0</v>
      </c>
      <c r="EB13" s="99">
        <v>0</v>
      </c>
      <c r="EC13" s="99">
        <v>0</v>
      </c>
      <c r="ED13" s="99">
        <v>0</v>
      </c>
      <c r="EE13" s="99">
        <v>112.25</v>
      </c>
      <c r="EF13" s="99">
        <v>37.1</v>
      </c>
      <c r="EG13" s="99">
        <v>137.25</v>
      </c>
      <c r="EH13" s="99">
        <v>1.65</v>
      </c>
      <c r="EI13" s="99">
        <v>0.02</v>
      </c>
      <c r="EJ13" s="99">
        <v>0.5</v>
      </c>
      <c r="EK13" s="99">
        <v>2.17</v>
      </c>
      <c r="EL13" s="99">
        <v>0</v>
      </c>
      <c r="EM13" s="99">
        <v>0</v>
      </c>
      <c r="EN13" s="99">
        <v>0.32</v>
      </c>
      <c r="EO13" s="99">
        <v>0</v>
      </c>
      <c r="EP13" s="99">
        <v>0.05</v>
      </c>
      <c r="EQ13" s="99">
        <v>0.25</v>
      </c>
      <c r="ER13" s="99">
        <v>0.1</v>
      </c>
      <c r="ES13" s="99">
        <v>0.1</v>
      </c>
      <c r="ET13" s="99">
        <v>0.1</v>
      </c>
      <c r="EU13" s="99">
        <v>0.05</v>
      </c>
      <c r="EV13" s="99">
        <v>0</v>
      </c>
      <c r="EW13" s="99">
        <v>0</v>
      </c>
      <c r="EX13" s="99">
        <v>0.6</v>
      </c>
      <c r="EY13" s="99">
        <v>2.16</v>
      </c>
      <c r="EZ13" s="99">
        <v>8.6199999999999992</v>
      </c>
      <c r="FA13" s="99">
        <v>2.76</v>
      </c>
      <c r="FB13" s="99">
        <v>11.38</v>
      </c>
      <c r="FC13" s="99">
        <v>0.56999999999999995</v>
      </c>
      <c r="FD13" s="99">
        <v>11.95</v>
      </c>
      <c r="FE13" s="99">
        <v>12.91</v>
      </c>
      <c r="FF13" s="99">
        <v>13.39</v>
      </c>
      <c r="FG13" s="99">
        <v>143410.88</v>
      </c>
      <c r="FH13" s="99">
        <v>215116.32</v>
      </c>
      <c r="FI13" s="99">
        <v>0.96</v>
      </c>
      <c r="FJ13" s="103">
        <v>7.9999999999999974E-2</v>
      </c>
      <c r="FK13" s="99">
        <v>0.96</v>
      </c>
      <c r="FL13" s="103">
        <v>7.9999999999999974E-2</v>
      </c>
      <c r="FM13" s="99">
        <v>1.43</v>
      </c>
      <c r="FN13" s="103">
        <v>0.11999999999999997</v>
      </c>
      <c r="FO13" s="99">
        <v>1.43</v>
      </c>
      <c r="FP13" s="103">
        <v>0.11999999999999997</v>
      </c>
      <c r="FQ13" s="96" t="s">
        <v>25</v>
      </c>
      <c r="FR13" s="96" t="s">
        <v>23</v>
      </c>
      <c r="FS13" s="96" t="s">
        <v>22</v>
      </c>
      <c r="FT13" s="96" t="s">
        <v>121</v>
      </c>
      <c r="FU13" s="96" t="s">
        <v>47</v>
      </c>
      <c r="FV13" s="96" t="s">
        <v>63</v>
      </c>
      <c r="FW13" s="96">
        <v>95</v>
      </c>
    </row>
    <row r="14" spans="1:180" x14ac:dyDescent="0.35">
      <c r="A14" s="96" t="s">
        <v>414</v>
      </c>
      <c r="B14" s="97">
        <v>0.7361226851851852</v>
      </c>
      <c r="C14" s="96" t="s">
        <v>145</v>
      </c>
      <c r="D14" s="96" t="s">
        <v>468</v>
      </c>
      <c r="E14" s="96" t="s">
        <v>401</v>
      </c>
      <c r="F14" s="96">
        <v>0</v>
      </c>
      <c r="G14" s="100">
        <v>45901</v>
      </c>
      <c r="H14" s="143">
        <v>45666</v>
      </c>
      <c r="I14" s="143">
        <v>45697</v>
      </c>
      <c r="J14" s="96" t="s">
        <v>467</v>
      </c>
      <c r="K14" s="98">
        <v>300000</v>
      </c>
      <c r="L14" s="101">
        <v>24</v>
      </c>
      <c r="M14" s="101">
        <v>36</v>
      </c>
      <c r="N14" s="101">
        <v>24.1</v>
      </c>
      <c r="O14" s="101">
        <v>38.200000000000003</v>
      </c>
      <c r="P14" s="102">
        <v>180</v>
      </c>
      <c r="Q14" s="101">
        <v>114.2</v>
      </c>
      <c r="R14" s="98">
        <v>291085</v>
      </c>
      <c r="S14" s="98">
        <v>8733</v>
      </c>
      <c r="T14" s="98">
        <v>299818</v>
      </c>
      <c r="U14" s="98">
        <v>34260</v>
      </c>
      <c r="V14" s="98" t="s">
        <v>43</v>
      </c>
      <c r="W14" s="98">
        <v>946.16617918087786</v>
      </c>
      <c r="X14" s="103">
        <v>0.93200000000000005</v>
      </c>
      <c r="Y14" s="103">
        <v>0.06</v>
      </c>
      <c r="Z14" s="103">
        <v>8.0000000000000002E-3</v>
      </c>
      <c r="AA14" s="103">
        <v>0</v>
      </c>
      <c r="AB14" s="103">
        <v>0</v>
      </c>
      <c r="AC14" s="103">
        <v>0</v>
      </c>
      <c r="AD14" s="103">
        <v>0</v>
      </c>
      <c r="AE14" s="101">
        <v>106.43440000000001</v>
      </c>
      <c r="AF14" s="101">
        <v>6.8520000000000003</v>
      </c>
      <c r="AG14" s="101">
        <v>0.91360000000000008</v>
      </c>
      <c r="AH14" s="101">
        <v>0</v>
      </c>
      <c r="AI14" s="101">
        <v>0</v>
      </c>
      <c r="AJ14" s="101">
        <v>0</v>
      </c>
      <c r="AK14" s="101">
        <v>0</v>
      </c>
      <c r="AL14" s="103">
        <v>1</v>
      </c>
      <c r="AM14" s="103">
        <v>0</v>
      </c>
      <c r="AN14" s="103">
        <v>0</v>
      </c>
      <c r="AO14" s="103">
        <v>0</v>
      </c>
      <c r="AP14" s="103">
        <v>0</v>
      </c>
      <c r="AQ14" s="103">
        <v>0</v>
      </c>
      <c r="AR14" s="103">
        <v>0</v>
      </c>
      <c r="AS14" s="101">
        <v>60</v>
      </c>
      <c r="AT14" s="101">
        <v>0</v>
      </c>
      <c r="AU14" s="101">
        <v>0</v>
      </c>
      <c r="AV14" s="101">
        <v>0</v>
      </c>
      <c r="AW14" s="101">
        <v>0</v>
      </c>
      <c r="AX14" s="101">
        <v>0</v>
      </c>
      <c r="AY14" s="101">
        <v>0</v>
      </c>
      <c r="AZ14" s="103">
        <v>0</v>
      </c>
      <c r="BA14" s="103">
        <v>0</v>
      </c>
      <c r="BB14" s="103">
        <v>0</v>
      </c>
      <c r="BC14" s="101">
        <v>0</v>
      </c>
      <c r="BD14" s="101">
        <v>0</v>
      </c>
      <c r="BE14" s="101">
        <v>0</v>
      </c>
      <c r="BF14" s="101">
        <v>2.2000000000000002</v>
      </c>
      <c r="BG14" s="101">
        <v>1.3066838382400001</v>
      </c>
      <c r="BH14" s="96">
        <v>0</v>
      </c>
      <c r="BI14" s="96">
        <v>0</v>
      </c>
      <c r="BJ14" s="96">
        <v>6</v>
      </c>
      <c r="BK14" s="101">
        <v>0</v>
      </c>
      <c r="BL14" s="101">
        <v>3</v>
      </c>
      <c r="BM14" s="101">
        <v>0</v>
      </c>
      <c r="BN14" s="101">
        <v>0</v>
      </c>
      <c r="BO14" s="101">
        <v>1.5</v>
      </c>
      <c r="BP14" s="101">
        <v>1.3</v>
      </c>
      <c r="BQ14" s="101">
        <v>2.8</v>
      </c>
      <c r="BR14" s="104">
        <v>31930.320000000003</v>
      </c>
      <c r="BS14" s="104">
        <v>2055.6</v>
      </c>
      <c r="BT14" s="104">
        <v>274.08000000000004</v>
      </c>
      <c r="BU14" s="104">
        <v>0</v>
      </c>
      <c r="BV14" s="104">
        <v>0</v>
      </c>
      <c r="BW14" s="104">
        <v>0</v>
      </c>
      <c r="BX14" s="104">
        <v>0</v>
      </c>
      <c r="BY14" s="104">
        <v>18000</v>
      </c>
      <c r="BZ14" s="104">
        <v>0</v>
      </c>
      <c r="CA14" s="104">
        <v>0</v>
      </c>
      <c r="CB14" s="104">
        <v>0</v>
      </c>
      <c r="CC14" s="104">
        <v>0</v>
      </c>
      <c r="CD14" s="104">
        <v>0</v>
      </c>
      <c r="CE14" s="104">
        <v>0</v>
      </c>
      <c r="CF14" s="104">
        <v>0</v>
      </c>
      <c r="CG14" s="104">
        <v>0</v>
      </c>
      <c r="CH14" s="104">
        <v>0</v>
      </c>
      <c r="CI14" s="104">
        <v>0</v>
      </c>
      <c r="CJ14" s="104">
        <v>900</v>
      </c>
      <c r="CK14" s="104">
        <v>0</v>
      </c>
      <c r="CL14" s="104">
        <v>450</v>
      </c>
      <c r="CM14" s="104">
        <v>390</v>
      </c>
      <c r="CN14" s="98">
        <v>30000</v>
      </c>
      <c r="CO14" s="96" t="s">
        <v>149</v>
      </c>
      <c r="CP14" s="101">
        <v>159.96816608996539</v>
      </c>
      <c r="CQ14" s="101">
        <v>10</v>
      </c>
      <c r="CR14" s="101">
        <v>1599.6816608996539</v>
      </c>
      <c r="CS14" s="101">
        <v>133.30680507497115</v>
      </c>
      <c r="CT14" s="101">
        <v>66.653402537485576</v>
      </c>
      <c r="CU14" s="143">
        <v>45666</v>
      </c>
      <c r="CV14" s="143">
        <v>45697</v>
      </c>
      <c r="CW14" s="143">
        <v>45786</v>
      </c>
      <c r="CX14" s="143">
        <v>45817</v>
      </c>
      <c r="CY14" s="96" t="s">
        <v>369</v>
      </c>
      <c r="CZ14" s="143">
        <v>45878</v>
      </c>
      <c r="DA14" s="99">
        <v>96.4</v>
      </c>
      <c r="DB14" s="99">
        <v>35</v>
      </c>
      <c r="DC14" s="99">
        <v>170</v>
      </c>
      <c r="DD14" s="99">
        <v>49.5</v>
      </c>
      <c r="DE14" s="99">
        <v>224</v>
      </c>
      <c r="DF14" s="99">
        <v>103</v>
      </c>
      <c r="DG14" s="99">
        <v>50</v>
      </c>
      <c r="DH14" s="99">
        <v>10.26</v>
      </c>
      <c r="DI14" s="99">
        <v>0.24</v>
      </c>
      <c r="DJ14" s="99">
        <v>0.16</v>
      </c>
      <c r="DK14" s="99">
        <v>0</v>
      </c>
      <c r="DL14" s="99">
        <v>0</v>
      </c>
      <c r="DM14" s="99">
        <v>0</v>
      </c>
      <c r="DN14" s="99">
        <v>0</v>
      </c>
      <c r="DO14" s="99">
        <v>10.66</v>
      </c>
      <c r="DP14" s="99">
        <v>94.5</v>
      </c>
      <c r="DQ14" s="99">
        <v>35</v>
      </c>
      <c r="DR14" s="99">
        <v>118</v>
      </c>
      <c r="DS14" s="99">
        <v>90</v>
      </c>
      <c r="DT14" s="99">
        <v>54</v>
      </c>
      <c r="DU14" s="99">
        <v>0</v>
      </c>
      <c r="DV14" s="99">
        <v>50</v>
      </c>
      <c r="DW14" s="99">
        <v>5.67</v>
      </c>
      <c r="DX14" s="99">
        <v>0</v>
      </c>
      <c r="DY14" s="99">
        <v>0</v>
      </c>
      <c r="DZ14" s="99">
        <v>0</v>
      </c>
      <c r="EA14" s="99">
        <v>0</v>
      </c>
      <c r="EB14" s="99">
        <v>0</v>
      </c>
      <c r="EC14" s="99">
        <v>0</v>
      </c>
      <c r="ED14" s="99">
        <v>5.67</v>
      </c>
      <c r="EE14" s="99">
        <v>112.25</v>
      </c>
      <c r="EF14" s="99">
        <v>37.1</v>
      </c>
      <c r="EG14" s="99">
        <v>137.25</v>
      </c>
      <c r="EH14" s="99">
        <v>0</v>
      </c>
      <c r="EI14" s="99">
        <v>0</v>
      </c>
      <c r="EJ14" s="99">
        <v>0</v>
      </c>
      <c r="EK14" s="99">
        <v>0</v>
      </c>
      <c r="EL14" s="99">
        <v>0</v>
      </c>
      <c r="EM14" s="99">
        <v>0</v>
      </c>
      <c r="EN14" s="99">
        <v>0.65</v>
      </c>
      <c r="EO14" s="99">
        <v>0</v>
      </c>
      <c r="EP14" s="99">
        <v>0.13</v>
      </c>
      <c r="EQ14" s="99">
        <v>0.25</v>
      </c>
      <c r="ER14" s="99">
        <v>0.1</v>
      </c>
      <c r="ES14" s="99">
        <v>0.15</v>
      </c>
      <c r="ET14" s="99">
        <v>0.2</v>
      </c>
      <c r="EU14" s="99">
        <v>0.05</v>
      </c>
      <c r="EV14" s="99">
        <v>0.3</v>
      </c>
      <c r="EW14" s="99">
        <v>0</v>
      </c>
      <c r="EX14" s="99">
        <v>1.05</v>
      </c>
      <c r="EY14" s="99">
        <v>3.37</v>
      </c>
      <c r="EZ14" s="99">
        <v>17.399999999999999</v>
      </c>
      <c r="FA14" s="99">
        <v>4.42</v>
      </c>
      <c r="FB14" s="99">
        <v>21.82</v>
      </c>
      <c r="FC14" s="99">
        <v>1.0900000000000001</v>
      </c>
      <c r="FD14" s="99">
        <v>22.92</v>
      </c>
      <c r="FE14" s="99">
        <v>24.75</v>
      </c>
      <c r="FF14" s="99">
        <v>25.66</v>
      </c>
      <c r="FG14" s="99">
        <v>549959.97</v>
      </c>
      <c r="FH14" s="99">
        <v>824939.95</v>
      </c>
      <c r="FI14" s="99">
        <v>1.83</v>
      </c>
      <c r="FJ14" s="103">
        <v>7.999999999999996E-2</v>
      </c>
      <c r="FK14" s="99">
        <v>1.83</v>
      </c>
      <c r="FL14" s="103">
        <v>7.999999999999996E-2</v>
      </c>
      <c r="FM14" s="99">
        <v>2.75</v>
      </c>
      <c r="FN14" s="103">
        <v>0.12000000000000001</v>
      </c>
      <c r="FO14" s="99">
        <v>2.75</v>
      </c>
      <c r="FP14" s="103">
        <v>0.12000000000000001</v>
      </c>
      <c r="FQ14" s="96" t="s">
        <v>77</v>
      </c>
      <c r="FR14" s="96" t="s">
        <v>34</v>
      </c>
      <c r="FS14" s="96" t="s">
        <v>33</v>
      </c>
      <c r="FT14" s="96" t="s">
        <v>38</v>
      </c>
      <c r="FU14" s="96" t="s">
        <v>53</v>
      </c>
      <c r="FV14" s="96" t="s">
        <v>63</v>
      </c>
      <c r="FW14" s="96">
        <v>120</v>
      </c>
      <c r="FX14" s="96">
        <v>60</v>
      </c>
    </row>
    <row r="15" spans="1:180" x14ac:dyDescent="0.35">
      <c r="A15" s="96" t="s">
        <v>414</v>
      </c>
      <c r="B15" s="97">
        <v>0.73828703703703702</v>
      </c>
      <c r="C15" s="96" t="s">
        <v>145</v>
      </c>
      <c r="D15" s="96" t="s">
        <v>468</v>
      </c>
      <c r="E15" s="96" t="s">
        <v>401</v>
      </c>
      <c r="F15" s="96">
        <v>0</v>
      </c>
      <c r="G15" s="100">
        <v>45901</v>
      </c>
      <c r="H15" s="143">
        <v>45666</v>
      </c>
      <c r="I15" s="143">
        <v>45697</v>
      </c>
      <c r="J15" s="96" t="s">
        <v>467</v>
      </c>
      <c r="K15" s="98">
        <v>150000</v>
      </c>
      <c r="L15" s="101">
        <v>24</v>
      </c>
      <c r="M15" s="101">
        <v>36</v>
      </c>
      <c r="N15" s="101">
        <v>24.1</v>
      </c>
      <c r="O15" s="101">
        <v>38.200000000000003</v>
      </c>
      <c r="P15" s="102">
        <v>180</v>
      </c>
      <c r="Q15" s="101">
        <v>114.2</v>
      </c>
      <c r="R15" s="98">
        <v>145543</v>
      </c>
      <c r="S15" s="98">
        <v>4367</v>
      </c>
      <c r="T15" s="98">
        <v>149910</v>
      </c>
      <c r="U15" s="98">
        <v>17130</v>
      </c>
      <c r="V15" s="98" t="s">
        <v>43</v>
      </c>
      <c r="W15" s="98">
        <v>946.16617918087786</v>
      </c>
      <c r="X15" s="103">
        <v>0.93500000000000005</v>
      </c>
      <c r="Y15" s="103">
        <v>0.04</v>
      </c>
      <c r="Z15" s="103">
        <v>2.5000000000000001E-2</v>
      </c>
      <c r="AA15" s="103">
        <v>0</v>
      </c>
      <c r="AB15" s="103">
        <v>0</v>
      </c>
      <c r="AC15" s="103">
        <v>0</v>
      </c>
      <c r="AD15" s="103">
        <v>0</v>
      </c>
      <c r="AE15" s="101">
        <v>106.77700000000002</v>
      </c>
      <c r="AF15" s="101">
        <v>4.5680000000000005</v>
      </c>
      <c r="AG15" s="101">
        <v>2.8550000000000004</v>
      </c>
      <c r="AH15" s="101">
        <v>0</v>
      </c>
      <c r="AI15" s="101">
        <v>0</v>
      </c>
      <c r="AJ15" s="101">
        <v>0</v>
      </c>
      <c r="AK15" s="101">
        <v>0</v>
      </c>
      <c r="AL15" s="103">
        <v>1</v>
      </c>
      <c r="AM15" s="103">
        <v>0</v>
      </c>
      <c r="AN15" s="103">
        <v>0</v>
      </c>
      <c r="AO15" s="103">
        <v>0</v>
      </c>
      <c r="AP15" s="103">
        <v>0</v>
      </c>
      <c r="AQ15" s="103">
        <v>0</v>
      </c>
      <c r="AR15" s="103">
        <v>0</v>
      </c>
      <c r="AS15" s="101">
        <v>60</v>
      </c>
      <c r="AT15" s="101">
        <v>0</v>
      </c>
      <c r="AU15" s="101">
        <v>0</v>
      </c>
      <c r="AV15" s="101">
        <v>0</v>
      </c>
      <c r="AW15" s="101">
        <v>0</v>
      </c>
      <c r="AX15" s="101">
        <v>0</v>
      </c>
      <c r="AY15" s="101">
        <v>0</v>
      </c>
      <c r="AZ15" s="103">
        <v>0</v>
      </c>
      <c r="BA15" s="103">
        <v>0</v>
      </c>
      <c r="BB15" s="103">
        <v>0</v>
      </c>
      <c r="BC15" s="101">
        <v>0</v>
      </c>
      <c r="BD15" s="101">
        <v>0</v>
      </c>
      <c r="BE15" s="101">
        <v>0</v>
      </c>
      <c r="BF15" s="101">
        <v>2.2000000000000002</v>
      </c>
      <c r="BG15" s="101">
        <v>1.3066838382400001</v>
      </c>
      <c r="BH15" s="96">
        <v>0</v>
      </c>
      <c r="BI15" s="96">
        <v>0</v>
      </c>
      <c r="BJ15" s="96">
        <v>6</v>
      </c>
      <c r="BK15" s="101">
        <v>0</v>
      </c>
      <c r="BL15" s="101">
        <v>3</v>
      </c>
      <c r="BM15" s="101">
        <v>0</v>
      </c>
      <c r="BN15" s="101">
        <v>0</v>
      </c>
      <c r="BO15" s="101">
        <v>1.5</v>
      </c>
      <c r="BP15" s="101">
        <v>1.3</v>
      </c>
      <c r="BQ15" s="101">
        <v>2.8</v>
      </c>
      <c r="BR15" s="104">
        <v>16016.550000000001</v>
      </c>
      <c r="BS15" s="104">
        <v>685.20000000000016</v>
      </c>
      <c r="BT15" s="104">
        <v>428.25000000000006</v>
      </c>
      <c r="BU15" s="104">
        <v>0</v>
      </c>
      <c r="BV15" s="104">
        <v>0</v>
      </c>
      <c r="BW15" s="104">
        <v>0</v>
      </c>
      <c r="BX15" s="104">
        <v>0</v>
      </c>
      <c r="BY15" s="104">
        <v>9000</v>
      </c>
      <c r="BZ15" s="104">
        <v>0</v>
      </c>
      <c r="CA15" s="104">
        <v>0</v>
      </c>
      <c r="CB15" s="104">
        <v>0</v>
      </c>
      <c r="CC15" s="104">
        <v>0</v>
      </c>
      <c r="CD15" s="104">
        <v>0</v>
      </c>
      <c r="CE15" s="104">
        <v>0</v>
      </c>
      <c r="CF15" s="104">
        <v>0</v>
      </c>
      <c r="CG15" s="104">
        <v>0</v>
      </c>
      <c r="CH15" s="104">
        <v>0</v>
      </c>
      <c r="CI15" s="104">
        <v>0</v>
      </c>
      <c r="CJ15" s="104">
        <v>450</v>
      </c>
      <c r="CK15" s="104">
        <v>0</v>
      </c>
      <c r="CL15" s="104">
        <v>225</v>
      </c>
      <c r="CM15" s="104">
        <v>195</v>
      </c>
      <c r="CN15" s="98">
        <v>30000</v>
      </c>
      <c r="CO15" s="96" t="s">
        <v>149</v>
      </c>
      <c r="CP15" s="101">
        <v>159.96816608996539</v>
      </c>
      <c r="CQ15" s="101">
        <v>5</v>
      </c>
      <c r="CR15" s="101">
        <v>799.84083044982697</v>
      </c>
      <c r="CS15" s="101">
        <v>66.653402537485576</v>
      </c>
      <c r="CT15" s="101">
        <v>33.326701268742788</v>
      </c>
      <c r="CU15" s="143">
        <v>45666</v>
      </c>
      <c r="CV15" s="143">
        <v>45697</v>
      </c>
      <c r="CW15" s="143">
        <v>45786</v>
      </c>
      <c r="CX15" s="143">
        <v>45817</v>
      </c>
      <c r="CY15" s="96" t="s">
        <v>369</v>
      </c>
      <c r="CZ15" s="143">
        <v>45878</v>
      </c>
      <c r="DA15" s="99">
        <v>96.4</v>
      </c>
      <c r="DB15" s="99">
        <v>35</v>
      </c>
      <c r="DC15" s="99">
        <v>215</v>
      </c>
      <c r="DD15" s="99">
        <v>49.5</v>
      </c>
      <c r="DE15" s="99">
        <v>224</v>
      </c>
      <c r="DF15" s="99">
        <v>103</v>
      </c>
      <c r="DG15" s="99">
        <v>50</v>
      </c>
      <c r="DH15" s="99">
        <v>10.29</v>
      </c>
      <c r="DI15" s="99">
        <v>0.16</v>
      </c>
      <c r="DJ15" s="99">
        <v>0.61</v>
      </c>
      <c r="DK15" s="99">
        <v>0</v>
      </c>
      <c r="DL15" s="99">
        <v>0</v>
      </c>
      <c r="DM15" s="99">
        <v>0</v>
      </c>
      <c r="DN15" s="99">
        <v>0</v>
      </c>
      <c r="DO15" s="99">
        <v>11.07</v>
      </c>
      <c r="DP15" s="99">
        <v>94.5</v>
      </c>
      <c r="DQ15" s="99">
        <v>35</v>
      </c>
      <c r="DR15" s="99">
        <v>118</v>
      </c>
      <c r="DS15" s="99">
        <v>90</v>
      </c>
      <c r="DT15" s="99">
        <v>54</v>
      </c>
      <c r="DU15" s="99">
        <v>0</v>
      </c>
      <c r="DV15" s="99">
        <v>50</v>
      </c>
      <c r="DW15" s="99">
        <v>5.67</v>
      </c>
      <c r="DX15" s="99">
        <v>0</v>
      </c>
      <c r="DY15" s="99">
        <v>0</v>
      </c>
      <c r="DZ15" s="99">
        <v>0</v>
      </c>
      <c r="EA15" s="99">
        <v>0</v>
      </c>
      <c r="EB15" s="99">
        <v>0</v>
      </c>
      <c r="EC15" s="99">
        <v>0</v>
      </c>
      <c r="ED15" s="99">
        <v>5.67</v>
      </c>
      <c r="EE15" s="99">
        <v>112.25</v>
      </c>
      <c r="EF15" s="99">
        <v>37.1</v>
      </c>
      <c r="EG15" s="99">
        <v>137.25</v>
      </c>
      <c r="EH15" s="99">
        <v>0</v>
      </c>
      <c r="EI15" s="99">
        <v>0</v>
      </c>
      <c r="EJ15" s="99">
        <v>0</v>
      </c>
      <c r="EK15" s="99">
        <v>0</v>
      </c>
      <c r="EL15" s="99">
        <v>0</v>
      </c>
      <c r="EM15" s="99">
        <v>0</v>
      </c>
      <c r="EN15" s="99">
        <v>0.65</v>
      </c>
      <c r="EO15" s="99">
        <v>0</v>
      </c>
      <c r="EP15" s="99">
        <v>0.13</v>
      </c>
      <c r="EQ15" s="99">
        <v>0.25</v>
      </c>
      <c r="ER15" s="99">
        <v>0.1</v>
      </c>
      <c r="ES15" s="99">
        <v>0.15</v>
      </c>
      <c r="ET15" s="99">
        <v>0.2</v>
      </c>
      <c r="EU15" s="99">
        <v>0.05</v>
      </c>
      <c r="EV15" s="99">
        <v>0.3</v>
      </c>
      <c r="EW15" s="99">
        <v>0</v>
      </c>
      <c r="EX15" s="99">
        <v>1.05</v>
      </c>
      <c r="EY15" s="99">
        <v>3.37</v>
      </c>
      <c r="EZ15" s="99">
        <v>17.82</v>
      </c>
      <c r="FA15" s="99">
        <v>4.42</v>
      </c>
      <c r="FB15" s="99">
        <v>22.24</v>
      </c>
      <c r="FC15" s="99">
        <v>1.1100000000000001</v>
      </c>
      <c r="FD15" s="99">
        <v>23.35</v>
      </c>
      <c r="FE15" s="99">
        <v>25.22</v>
      </c>
      <c r="FF15" s="99">
        <v>26.15</v>
      </c>
      <c r="FG15" s="99">
        <v>280166.14</v>
      </c>
      <c r="FH15" s="99">
        <v>420249.21</v>
      </c>
      <c r="FI15" s="99">
        <v>1.87</v>
      </c>
      <c r="FJ15" s="103">
        <v>8.0000000000000016E-2</v>
      </c>
      <c r="FK15" s="99">
        <v>1.87</v>
      </c>
      <c r="FL15" s="103">
        <v>8.0000000000000016E-2</v>
      </c>
      <c r="FM15" s="99">
        <v>2.8</v>
      </c>
      <c r="FN15" s="103">
        <v>0.11999999999999995</v>
      </c>
      <c r="FO15" s="99">
        <v>2.8</v>
      </c>
      <c r="FP15" s="103">
        <v>0.11999999999999995</v>
      </c>
      <c r="FQ15" s="96" t="s">
        <v>50</v>
      </c>
      <c r="FR15" s="96" t="s">
        <v>34</v>
      </c>
      <c r="FS15" s="96" t="s">
        <v>33</v>
      </c>
      <c r="FT15" s="96" t="s">
        <v>38</v>
      </c>
      <c r="FU15" s="96" t="s">
        <v>53</v>
      </c>
      <c r="FV15" s="96" t="s">
        <v>63</v>
      </c>
      <c r="FW15" s="96">
        <v>120</v>
      </c>
      <c r="FX15" s="96">
        <v>60</v>
      </c>
    </row>
    <row r="16" spans="1:180" x14ac:dyDescent="0.35">
      <c r="A16" s="96" t="s">
        <v>414</v>
      </c>
      <c r="B16" s="97">
        <v>0.74103009259259256</v>
      </c>
      <c r="C16" s="96" t="s">
        <v>145</v>
      </c>
      <c r="D16" s="96" t="s">
        <v>468</v>
      </c>
      <c r="E16" s="96" t="s">
        <v>401</v>
      </c>
      <c r="F16" s="96">
        <v>0</v>
      </c>
      <c r="G16" s="100">
        <v>45901</v>
      </c>
      <c r="H16" s="143">
        <v>45666</v>
      </c>
      <c r="I16" s="143">
        <v>45697</v>
      </c>
      <c r="J16" s="96" t="s">
        <v>467</v>
      </c>
      <c r="K16" s="98">
        <v>150000</v>
      </c>
      <c r="L16" s="101">
        <v>24</v>
      </c>
      <c r="M16" s="101">
        <v>36</v>
      </c>
      <c r="N16" s="101">
        <v>24.1</v>
      </c>
      <c r="O16" s="101">
        <v>38.200000000000003</v>
      </c>
      <c r="P16" s="102">
        <v>180</v>
      </c>
      <c r="Q16" s="101">
        <v>114.2</v>
      </c>
      <c r="R16" s="98">
        <v>145543</v>
      </c>
      <c r="S16" s="98">
        <v>4367</v>
      </c>
      <c r="T16" s="98">
        <v>149910</v>
      </c>
      <c r="U16" s="98">
        <v>17130</v>
      </c>
      <c r="V16" s="98" t="s">
        <v>43</v>
      </c>
      <c r="W16" s="98">
        <v>946.16617918087786</v>
      </c>
      <c r="X16" s="103">
        <v>0.96</v>
      </c>
      <c r="Y16" s="103">
        <v>0.04</v>
      </c>
      <c r="Z16" s="103">
        <v>0</v>
      </c>
      <c r="AA16" s="103">
        <v>0</v>
      </c>
      <c r="AB16" s="103">
        <v>0</v>
      </c>
      <c r="AC16" s="103">
        <v>0</v>
      </c>
      <c r="AD16" s="103">
        <v>0</v>
      </c>
      <c r="AE16" s="101">
        <v>109.63200000000001</v>
      </c>
      <c r="AF16" s="101">
        <v>4.5680000000000005</v>
      </c>
      <c r="AG16" s="101">
        <v>0</v>
      </c>
      <c r="AH16" s="101">
        <v>0</v>
      </c>
      <c r="AI16" s="101">
        <v>0</v>
      </c>
      <c r="AJ16" s="101">
        <v>0</v>
      </c>
      <c r="AK16" s="101">
        <v>0</v>
      </c>
      <c r="AL16" s="103">
        <v>1</v>
      </c>
      <c r="AM16" s="103">
        <v>0</v>
      </c>
      <c r="AN16" s="103">
        <v>0</v>
      </c>
      <c r="AO16" s="103">
        <v>0</v>
      </c>
      <c r="AP16" s="103">
        <v>0</v>
      </c>
      <c r="AQ16" s="103">
        <v>0</v>
      </c>
      <c r="AR16" s="103">
        <v>0</v>
      </c>
      <c r="AS16" s="101">
        <v>60</v>
      </c>
      <c r="AT16" s="101">
        <v>0</v>
      </c>
      <c r="AU16" s="101">
        <v>0</v>
      </c>
      <c r="AV16" s="101">
        <v>0</v>
      </c>
      <c r="AW16" s="101">
        <v>0</v>
      </c>
      <c r="AX16" s="101">
        <v>0</v>
      </c>
      <c r="AY16" s="101">
        <v>0</v>
      </c>
      <c r="AZ16" s="103">
        <v>0</v>
      </c>
      <c r="BA16" s="103">
        <v>0</v>
      </c>
      <c r="BB16" s="103">
        <v>0</v>
      </c>
      <c r="BC16" s="101">
        <v>0</v>
      </c>
      <c r="BD16" s="101">
        <v>0</v>
      </c>
      <c r="BE16" s="101">
        <v>0</v>
      </c>
      <c r="BF16" s="101">
        <v>2.2000000000000002</v>
      </c>
      <c r="BG16" s="101">
        <v>1.3066838382400001</v>
      </c>
      <c r="BH16" s="96">
        <v>0</v>
      </c>
      <c r="BI16" s="96">
        <v>0</v>
      </c>
      <c r="BJ16" s="96">
        <v>6</v>
      </c>
      <c r="BK16" s="101">
        <v>0</v>
      </c>
      <c r="BL16" s="101">
        <v>3</v>
      </c>
      <c r="BM16" s="101">
        <v>0</v>
      </c>
      <c r="BN16" s="101">
        <v>0</v>
      </c>
      <c r="BO16" s="101">
        <v>1.5</v>
      </c>
      <c r="BP16" s="101">
        <v>1.3</v>
      </c>
      <c r="BQ16" s="101">
        <v>2.8</v>
      </c>
      <c r="BR16" s="104">
        <v>16444.8</v>
      </c>
      <c r="BS16" s="104">
        <v>685.20000000000016</v>
      </c>
      <c r="BT16" s="104">
        <v>0</v>
      </c>
      <c r="BU16" s="104">
        <v>0</v>
      </c>
      <c r="BV16" s="104">
        <v>0</v>
      </c>
      <c r="BW16" s="104">
        <v>0</v>
      </c>
      <c r="BX16" s="104">
        <v>0</v>
      </c>
      <c r="BY16" s="104">
        <v>9000</v>
      </c>
      <c r="BZ16" s="104">
        <v>0</v>
      </c>
      <c r="CA16" s="104">
        <v>0</v>
      </c>
      <c r="CB16" s="104">
        <v>0</v>
      </c>
      <c r="CC16" s="104">
        <v>0</v>
      </c>
      <c r="CD16" s="104">
        <v>0</v>
      </c>
      <c r="CE16" s="104">
        <v>0</v>
      </c>
      <c r="CF16" s="104">
        <v>0</v>
      </c>
      <c r="CG16" s="104">
        <v>0</v>
      </c>
      <c r="CH16" s="104">
        <v>0</v>
      </c>
      <c r="CI16" s="104">
        <v>0</v>
      </c>
      <c r="CJ16" s="104">
        <v>450</v>
      </c>
      <c r="CK16" s="104">
        <v>0</v>
      </c>
      <c r="CL16" s="104">
        <v>225</v>
      </c>
      <c r="CM16" s="104">
        <v>195</v>
      </c>
      <c r="CN16" s="98">
        <v>30000</v>
      </c>
      <c r="CO16" s="96" t="s">
        <v>149</v>
      </c>
      <c r="CP16" s="101">
        <v>159.96816608996539</v>
      </c>
      <c r="CQ16" s="101">
        <v>5</v>
      </c>
      <c r="CR16" s="101">
        <v>799.84083044982697</v>
      </c>
      <c r="CS16" s="101">
        <v>66.653402537485576</v>
      </c>
      <c r="CT16" s="101">
        <v>33.326701268742788</v>
      </c>
      <c r="CU16" s="143">
        <v>45666</v>
      </c>
      <c r="CV16" s="143">
        <v>45697</v>
      </c>
      <c r="CW16" s="143">
        <v>45786</v>
      </c>
      <c r="CX16" s="143">
        <v>45817</v>
      </c>
      <c r="CY16" s="96" t="s">
        <v>369</v>
      </c>
      <c r="CZ16" s="143">
        <v>45878</v>
      </c>
      <c r="DA16" s="99">
        <v>96.4</v>
      </c>
      <c r="DB16" s="99">
        <v>35</v>
      </c>
      <c r="DC16" s="99">
        <v>164.17</v>
      </c>
      <c r="DD16" s="99">
        <v>49.5</v>
      </c>
      <c r="DE16" s="99">
        <v>224</v>
      </c>
      <c r="DF16" s="99">
        <v>103</v>
      </c>
      <c r="DG16" s="99">
        <v>50</v>
      </c>
      <c r="DH16" s="99">
        <v>10.57</v>
      </c>
      <c r="DI16" s="99">
        <v>0.16</v>
      </c>
      <c r="DJ16" s="99">
        <v>0</v>
      </c>
      <c r="DK16" s="99">
        <v>0</v>
      </c>
      <c r="DL16" s="99">
        <v>0</v>
      </c>
      <c r="DM16" s="99">
        <v>0</v>
      </c>
      <c r="DN16" s="99">
        <v>0</v>
      </c>
      <c r="DO16" s="99">
        <v>10.73</v>
      </c>
      <c r="DP16" s="99">
        <v>94.5</v>
      </c>
      <c r="DQ16" s="99">
        <v>35</v>
      </c>
      <c r="DR16" s="99">
        <v>118</v>
      </c>
      <c r="DS16" s="99">
        <v>90</v>
      </c>
      <c r="DT16" s="99">
        <v>54</v>
      </c>
      <c r="DU16" s="99">
        <v>0</v>
      </c>
      <c r="DV16" s="99">
        <v>50</v>
      </c>
      <c r="DW16" s="99">
        <v>5.67</v>
      </c>
      <c r="DX16" s="99">
        <v>0</v>
      </c>
      <c r="DY16" s="99">
        <v>0</v>
      </c>
      <c r="DZ16" s="99">
        <v>0</v>
      </c>
      <c r="EA16" s="99">
        <v>0</v>
      </c>
      <c r="EB16" s="99">
        <v>0</v>
      </c>
      <c r="EC16" s="99">
        <v>0</v>
      </c>
      <c r="ED16" s="99">
        <v>5.67</v>
      </c>
      <c r="EE16" s="99">
        <v>112.25</v>
      </c>
      <c r="EF16" s="99">
        <v>37.1</v>
      </c>
      <c r="EG16" s="99">
        <v>137.25</v>
      </c>
      <c r="EH16" s="99">
        <v>0</v>
      </c>
      <c r="EI16" s="99">
        <v>0</v>
      </c>
      <c r="EJ16" s="99">
        <v>0</v>
      </c>
      <c r="EK16" s="99">
        <v>0</v>
      </c>
      <c r="EL16" s="99">
        <v>0</v>
      </c>
      <c r="EM16" s="99">
        <v>0</v>
      </c>
      <c r="EN16" s="99">
        <v>0.65</v>
      </c>
      <c r="EO16" s="99">
        <v>0</v>
      </c>
      <c r="EP16" s="99">
        <v>0.13</v>
      </c>
      <c r="EQ16" s="99">
        <v>0.25</v>
      </c>
      <c r="ER16" s="99">
        <v>0.1</v>
      </c>
      <c r="ES16" s="99">
        <v>0.15</v>
      </c>
      <c r="ET16" s="99">
        <v>0.2</v>
      </c>
      <c r="EU16" s="99">
        <v>0.05</v>
      </c>
      <c r="EV16" s="99">
        <v>0.3</v>
      </c>
      <c r="EW16" s="99">
        <v>0</v>
      </c>
      <c r="EX16" s="99">
        <v>1.05</v>
      </c>
      <c r="EY16" s="99">
        <v>3.37</v>
      </c>
      <c r="EZ16" s="99">
        <v>17.48</v>
      </c>
      <c r="FA16" s="99">
        <v>4.42</v>
      </c>
      <c r="FB16" s="99">
        <v>21.9</v>
      </c>
      <c r="FC16" s="99">
        <v>1.0900000000000001</v>
      </c>
      <c r="FD16" s="99">
        <v>22.99</v>
      </c>
      <c r="FE16" s="99">
        <v>24.83</v>
      </c>
      <c r="FF16" s="99">
        <v>25.75</v>
      </c>
      <c r="FG16" s="99">
        <v>275899.74</v>
      </c>
      <c r="FH16" s="99">
        <v>413849.61</v>
      </c>
      <c r="FI16" s="99">
        <v>1.84</v>
      </c>
      <c r="FJ16" s="103">
        <v>8.0000000000000057E-2</v>
      </c>
      <c r="FK16" s="99">
        <v>1.84</v>
      </c>
      <c r="FL16" s="103">
        <v>8.0000000000000057E-2</v>
      </c>
      <c r="FM16" s="99">
        <v>2.76</v>
      </c>
      <c r="FN16" s="103">
        <v>0.11999999999999994</v>
      </c>
      <c r="FO16" s="99">
        <v>2.76</v>
      </c>
      <c r="FP16" s="103">
        <v>0.11999999999999994</v>
      </c>
      <c r="FQ16" s="96" t="s">
        <v>25</v>
      </c>
      <c r="FR16" s="96" t="s">
        <v>34</v>
      </c>
      <c r="FS16" s="96" t="s">
        <v>33</v>
      </c>
      <c r="FT16" s="96" t="s">
        <v>38</v>
      </c>
      <c r="FU16" s="96" t="s">
        <v>53</v>
      </c>
      <c r="FV16" s="96" t="s">
        <v>63</v>
      </c>
      <c r="FW16" s="96">
        <v>120</v>
      </c>
      <c r="FX16" s="96">
        <v>60</v>
      </c>
    </row>
    <row r="17" spans="1:180" x14ac:dyDescent="0.35">
      <c r="A17" s="96" t="s">
        <v>414</v>
      </c>
      <c r="B17" s="97">
        <v>0.74543981481481481</v>
      </c>
      <c r="C17" s="96" t="s">
        <v>145</v>
      </c>
      <c r="D17" s="96" t="s">
        <v>470</v>
      </c>
      <c r="E17" s="96" t="s">
        <v>401</v>
      </c>
      <c r="F17" s="96">
        <v>0</v>
      </c>
      <c r="G17" s="100">
        <v>45901</v>
      </c>
      <c r="H17" s="143">
        <v>45666</v>
      </c>
      <c r="I17" s="143">
        <v>45697</v>
      </c>
      <c r="J17" s="96" t="s">
        <v>469</v>
      </c>
      <c r="K17" s="98">
        <v>100000</v>
      </c>
      <c r="L17" s="101">
        <v>26</v>
      </c>
      <c r="M17" s="101">
        <v>42</v>
      </c>
      <c r="N17" s="101">
        <v>26.1</v>
      </c>
      <c r="O17" s="101">
        <v>43.2</v>
      </c>
      <c r="P17" s="102">
        <v>140</v>
      </c>
      <c r="Q17" s="101">
        <v>90.913882152959999</v>
      </c>
      <c r="R17" s="98">
        <v>109729</v>
      </c>
      <c r="S17" s="98">
        <v>3292</v>
      </c>
      <c r="T17" s="98">
        <v>113021</v>
      </c>
      <c r="U17" s="98">
        <v>9091.3882152959995</v>
      </c>
      <c r="V17" s="98" t="s">
        <v>24</v>
      </c>
      <c r="W17" s="98">
        <v>1084.1812607519155</v>
      </c>
      <c r="X17" s="103">
        <v>0.77</v>
      </c>
      <c r="Y17" s="103">
        <v>0.22</v>
      </c>
      <c r="Z17" s="103">
        <v>0</v>
      </c>
      <c r="AA17" s="103">
        <v>0</v>
      </c>
      <c r="AB17" s="103">
        <v>0</v>
      </c>
      <c r="AC17" s="103">
        <v>0.01</v>
      </c>
      <c r="AD17" s="103">
        <v>0</v>
      </c>
      <c r="AE17" s="101">
        <v>70.0036892577792</v>
      </c>
      <c r="AF17" s="101">
        <v>20.001054073651201</v>
      </c>
      <c r="AG17" s="101">
        <v>0</v>
      </c>
      <c r="AH17" s="101">
        <v>0</v>
      </c>
      <c r="AI17" s="101">
        <v>0</v>
      </c>
      <c r="AJ17" s="101">
        <v>0.90913882152960002</v>
      </c>
      <c r="AK17" s="101">
        <v>0</v>
      </c>
      <c r="AL17" s="103">
        <v>0</v>
      </c>
      <c r="AM17" s="103">
        <v>0</v>
      </c>
      <c r="AN17" s="103">
        <v>0</v>
      </c>
      <c r="AO17" s="103">
        <v>0</v>
      </c>
      <c r="AP17" s="103">
        <v>0</v>
      </c>
      <c r="AQ17" s="103">
        <v>0</v>
      </c>
      <c r="AR17" s="103">
        <v>0</v>
      </c>
      <c r="AS17" s="101">
        <v>0</v>
      </c>
      <c r="AT17" s="101">
        <v>0</v>
      </c>
      <c r="AU17" s="101">
        <v>0</v>
      </c>
      <c r="AV17" s="101">
        <v>0</v>
      </c>
      <c r="AW17" s="101">
        <v>0</v>
      </c>
      <c r="AX17" s="101">
        <v>0</v>
      </c>
      <c r="AY17" s="101">
        <v>0</v>
      </c>
      <c r="AZ17" s="103">
        <v>0.81</v>
      </c>
      <c r="BA17" s="103">
        <v>0</v>
      </c>
      <c r="BB17" s="103">
        <v>0.19</v>
      </c>
      <c r="BC17" s="101">
        <v>22.68</v>
      </c>
      <c r="BD17" s="101">
        <v>0</v>
      </c>
      <c r="BE17" s="101">
        <v>5.32</v>
      </c>
      <c r="BF17" s="101">
        <v>2.2000000000000002</v>
      </c>
      <c r="BG17" s="101">
        <v>1.6003477670400004</v>
      </c>
      <c r="BH17" s="96">
        <v>2</v>
      </c>
      <c r="BI17" s="96">
        <v>0</v>
      </c>
      <c r="BJ17" s="96">
        <v>0</v>
      </c>
      <c r="BK17" s="101">
        <v>19.78611784704</v>
      </c>
      <c r="BL17" s="101">
        <v>0</v>
      </c>
      <c r="BM17" s="101">
        <v>0</v>
      </c>
      <c r="BN17" s="101">
        <v>0</v>
      </c>
      <c r="BO17" s="101">
        <v>0</v>
      </c>
      <c r="BP17" s="101">
        <v>1.3</v>
      </c>
      <c r="BQ17" s="101">
        <v>1.3</v>
      </c>
      <c r="BR17" s="104">
        <v>7000.3689257779197</v>
      </c>
      <c r="BS17" s="104">
        <v>2000.1054073651201</v>
      </c>
      <c r="BT17" s="104">
        <v>0</v>
      </c>
      <c r="BU17" s="104">
        <v>0</v>
      </c>
      <c r="BV17" s="104">
        <v>0</v>
      </c>
      <c r="BW17" s="104">
        <v>90.913882152959999</v>
      </c>
      <c r="BX17" s="104">
        <v>0</v>
      </c>
      <c r="BY17" s="104">
        <v>0</v>
      </c>
      <c r="BZ17" s="104">
        <v>0</v>
      </c>
      <c r="CA17" s="104">
        <v>0</v>
      </c>
      <c r="CB17" s="104">
        <v>0</v>
      </c>
      <c r="CC17" s="104">
        <v>0</v>
      </c>
      <c r="CD17" s="104">
        <v>0</v>
      </c>
      <c r="CE17" s="104">
        <v>0</v>
      </c>
      <c r="CF17" s="104">
        <v>2268</v>
      </c>
      <c r="CG17" s="104">
        <v>0</v>
      </c>
      <c r="CH17" s="104">
        <v>532</v>
      </c>
      <c r="CI17" s="104">
        <v>1978.611784704</v>
      </c>
      <c r="CJ17" s="104">
        <v>0</v>
      </c>
      <c r="CK17" s="104">
        <v>0</v>
      </c>
      <c r="CL17" s="104">
        <v>0</v>
      </c>
      <c r="CM17" s="104">
        <v>130</v>
      </c>
      <c r="CN17" s="98">
        <v>30000</v>
      </c>
      <c r="CO17" s="96" t="s">
        <v>363</v>
      </c>
      <c r="CP17" s="101">
        <v>141.86989619377164</v>
      </c>
      <c r="CQ17" s="101">
        <v>3.3333333333333335</v>
      </c>
      <c r="CR17" s="101">
        <v>472.89965397923879</v>
      </c>
      <c r="CS17" s="101">
        <v>39.408304498269899</v>
      </c>
      <c r="CT17" s="101">
        <v>19.70415224913495</v>
      </c>
      <c r="CU17" s="143">
        <v>45666</v>
      </c>
      <c r="CV17" s="143">
        <v>45697</v>
      </c>
      <c r="CW17" s="143">
        <v>45786</v>
      </c>
      <c r="CX17" s="96" t="s">
        <v>369</v>
      </c>
      <c r="CY17" s="143">
        <v>45817</v>
      </c>
      <c r="CZ17" s="143">
        <v>45847</v>
      </c>
      <c r="DA17" s="99">
        <v>96.4</v>
      </c>
      <c r="DB17" s="99">
        <v>35</v>
      </c>
      <c r="DC17" s="99">
        <v>164.17</v>
      </c>
      <c r="DD17" s="99">
        <v>49.5</v>
      </c>
      <c r="DE17" s="99">
        <v>224</v>
      </c>
      <c r="DF17" s="99">
        <v>103</v>
      </c>
      <c r="DG17" s="99">
        <v>50</v>
      </c>
      <c r="DH17" s="99">
        <v>6.75</v>
      </c>
      <c r="DI17" s="99">
        <v>0.7</v>
      </c>
      <c r="DJ17" s="99">
        <v>0</v>
      </c>
      <c r="DK17" s="99">
        <v>0</v>
      </c>
      <c r="DL17" s="99">
        <v>0</v>
      </c>
      <c r="DM17" s="99">
        <v>0.09</v>
      </c>
      <c r="DN17" s="99">
        <v>0</v>
      </c>
      <c r="DO17" s="99">
        <v>7.54</v>
      </c>
      <c r="DP17" s="99">
        <v>94.5</v>
      </c>
      <c r="DQ17" s="99">
        <v>35</v>
      </c>
      <c r="DR17" s="99">
        <v>118</v>
      </c>
      <c r="DS17" s="99">
        <v>90</v>
      </c>
      <c r="DT17" s="99">
        <v>54</v>
      </c>
      <c r="DU17" s="99">
        <v>0</v>
      </c>
      <c r="DV17" s="99">
        <v>50</v>
      </c>
      <c r="DW17" s="99">
        <v>0</v>
      </c>
      <c r="DX17" s="99">
        <v>0</v>
      </c>
      <c r="DY17" s="99">
        <v>0</v>
      </c>
      <c r="DZ17" s="99">
        <v>0</v>
      </c>
      <c r="EA17" s="99">
        <v>0</v>
      </c>
      <c r="EB17" s="99">
        <v>0</v>
      </c>
      <c r="EC17" s="99">
        <v>0</v>
      </c>
      <c r="ED17" s="99">
        <v>0</v>
      </c>
      <c r="EE17" s="99">
        <v>112.25</v>
      </c>
      <c r="EF17" s="99">
        <v>37.1</v>
      </c>
      <c r="EG17" s="99">
        <v>137.25</v>
      </c>
      <c r="EH17" s="99">
        <v>2.5499999999999998</v>
      </c>
      <c r="EI17" s="99">
        <v>0</v>
      </c>
      <c r="EJ17" s="99">
        <v>0.73</v>
      </c>
      <c r="EK17" s="99">
        <v>3.28</v>
      </c>
      <c r="EL17" s="99">
        <v>8.31</v>
      </c>
      <c r="EM17" s="99">
        <v>0</v>
      </c>
      <c r="EN17" s="99">
        <v>0</v>
      </c>
      <c r="EO17" s="99">
        <v>0</v>
      </c>
      <c r="EP17" s="99">
        <v>0.05</v>
      </c>
      <c r="EQ17" s="99">
        <v>0.25</v>
      </c>
      <c r="ER17" s="99">
        <v>0</v>
      </c>
      <c r="ES17" s="99">
        <v>0.1</v>
      </c>
      <c r="ET17" s="99">
        <v>0.1</v>
      </c>
      <c r="EU17" s="99">
        <v>0.05</v>
      </c>
      <c r="EV17" s="99">
        <v>0</v>
      </c>
      <c r="EW17" s="99">
        <v>0</v>
      </c>
      <c r="EX17" s="99">
        <v>0.5</v>
      </c>
      <c r="EY17" s="99">
        <v>2.68</v>
      </c>
      <c r="EZ17" s="99">
        <v>19.48</v>
      </c>
      <c r="FA17" s="99">
        <v>3.18</v>
      </c>
      <c r="FB17" s="99">
        <v>22.66</v>
      </c>
      <c r="FC17" s="99">
        <v>1.1299999999999999</v>
      </c>
      <c r="FD17" s="99">
        <v>23.8</v>
      </c>
      <c r="FE17" s="99">
        <v>25.7</v>
      </c>
      <c r="FF17" s="99">
        <v>26.65</v>
      </c>
      <c r="FG17" s="99">
        <v>190362.17</v>
      </c>
      <c r="FH17" s="99">
        <v>285543.25</v>
      </c>
      <c r="FI17" s="99">
        <v>1.9</v>
      </c>
      <c r="FJ17" s="103">
        <v>8.0000000000000029E-2</v>
      </c>
      <c r="FK17" s="99">
        <v>1.9</v>
      </c>
      <c r="FL17" s="103">
        <v>8.0000000000000029E-2</v>
      </c>
      <c r="FM17" s="99">
        <v>2.86</v>
      </c>
      <c r="FN17" s="103">
        <v>0.12000000000000004</v>
      </c>
      <c r="FO17" s="99">
        <v>2.86</v>
      </c>
      <c r="FP17" s="103">
        <v>0.12000000000000004</v>
      </c>
      <c r="FQ17" s="96" t="s">
        <v>25</v>
      </c>
      <c r="FR17" s="96" t="s">
        <v>23</v>
      </c>
      <c r="FS17" s="96" t="s">
        <v>86</v>
      </c>
      <c r="FT17" s="96" t="s">
        <v>121</v>
      </c>
      <c r="FU17" s="96" t="s">
        <v>47</v>
      </c>
      <c r="FV17" s="96" t="s">
        <v>63</v>
      </c>
      <c r="FW17" s="96">
        <v>140</v>
      </c>
    </row>
    <row r="18" spans="1:180" x14ac:dyDescent="0.35">
      <c r="A18" s="96" t="s">
        <v>414</v>
      </c>
      <c r="B18" s="97">
        <v>0.74755787037037036</v>
      </c>
      <c r="C18" s="96" t="s">
        <v>145</v>
      </c>
      <c r="D18" s="96" t="s">
        <v>471</v>
      </c>
      <c r="E18" s="96" t="s">
        <v>401</v>
      </c>
      <c r="F18" s="96">
        <v>0</v>
      </c>
      <c r="G18" s="100">
        <v>45901</v>
      </c>
      <c r="H18" s="143">
        <v>45666</v>
      </c>
      <c r="I18" s="143">
        <v>45697</v>
      </c>
      <c r="J18" s="96" t="s">
        <v>440</v>
      </c>
      <c r="K18" s="98">
        <v>20000</v>
      </c>
      <c r="L18" s="101">
        <v>22</v>
      </c>
      <c r="M18" s="101">
        <v>36</v>
      </c>
      <c r="N18" s="101">
        <v>22.1</v>
      </c>
      <c r="O18" s="101">
        <v>37.200000000000003</v>
      </c>
      <c r="P18" s="102">
        <v>120</v>
      </c>
      <c r="Q18" s="101">
        <v>80.273148853760006</v>
      </c>
      <c r="R18" s="98">
        <v>18898</v>
      </c>
      <c r="S18" s="98">
        <v>567</v>
      </c>
      <c r="T18" s="98">
        <v>19465</v>
      </c>
      <c r="U18" s="98">
        <v>1605.4629770752001</v>
      </c>
      <c r="V18" s="98" t="s">
        <v>24</v>
      </c>
      <c r="W18" s="98">
        <v>1271.4341087104069</v>
      </c>
      <c r="X18" s="103">
        <v>0.75</v>
      </c>
      <c r="Y18" s="103">
        <v>0.25</v>
      </c>
      <c r="Z18" s="103">
        <v>0</v>
      </c>
      <c r="AA18" s="103">
        <v>0</v>
      </c>
      <c r="AB18" s="103">
        <v>0</v>
      </c>
      <c r="AC18" s="103">
        <v>0</v>
      </c>
      <c r="AD18" s="103">
        <v>0</v>
      </c>
      <c r="AE18" s="101">
        <v>60.204861640320004</v>
      </c>
      <c r="AF18" s="101">
        <v>20.068287213440001</v>
      </c>
      <c r="AG18" s="101">
        <v>0</v>
      </c>
      <c r="AH18" s="101">
        <v>0</v>
      </c>
      <c r="AI18" s="101">
        <v>0</v>
      </c>
      <c r="AJ18" s="101">
        <v>0</v>
      </c>
      <c r="AK18" s="101">
        <v>0</v>
      </c>
      <c r="AL18" s="103">
        <v>0</v>
      </c>
      <c r="AM18" s="103">
        <v>0</v>
      </c>
      <c r="AN18" s="103">
        <v>0</v>
      </c>
      <c r="AO18" s="103">
        <v>0</v>
      </c>
      <c r="AP18" s="103">
        <v>0</v>
      </c>
      <c r="AQ18" s="103">
        <v>0</v>
      </c>
      <c r="AR18" s="103">
        <v>0</v>
      </c>
      <c r="AS18" s="101">
        <v>0</v>
      </c>
      <c r="AT18" s="101">
        <v>0</v>
      </c>
      <c r="AU18" s="101">
        <v>0</v>
      </c>
      <c r="AV18" s="101">
        <v>0</v>
      </c>
      <c r="AW18" s="101">
        <v>0</v>
      </c>
      <c r="AX18" s="101">
        <v>0</v>
      </c>
      <c r="AY18" s="101">
        <v>0</v>
      </c>
      <c r="AZ18" s="103">
        <v>0.81</v>
      </c>
      <c r="BA18" s="103">
        <v>0</v>
      </c>
      <c r="BB18" s="103">
        <v>0.19</v>
      </c>
      <c r="BC18" s="101">
        <v>19.440000000000001</v>
      </c>
      <c r="BD18" s="101">
        <v>0</v>
      </c>
      <c r="BE18" s="101">
        <v>4.5600000000000005</v>
      </c>
      <c r="BF18" s="101">
        <v>2.2000000000000002</v>
      </c>
      <c r="BG18" s="101">
        <v>1.1668776662400002</v>
      </c>
      <c r="BH18" s="96">
        <v>2</v>
      </c>
      <c r="BI18" s="96">
        <v>0</v>
      </c>
      <c r="BJ18" s="96">
        <v>0</v>
      </c>
      <c r="BK18" s="101">
        <v>14.426851146240002</v>
      </c>
      <c r="BL18" s="101">
        <v>0</v>
      </c>
      <c r="BM18" s="101">
        <v>0</v>
      </c>
      <c r="BN18" s="101">
        <v>0</v>
      </c>
      <c r="BO18" s="101">
        <v>0</v>
      </c>
      <c r="BP18" s="101">
        <v>1.3</v>
      </c>
      <c r="BQ18" s="101">
        <v>1.3</v>
      </c>
      <c r="BR18" s="104">
        <v>1204.0972328064001</v>
      </c>
      <c r="BS18" s="104">
        <v>401.36574426880003</v>
      </c>
      <c r="BT18" s="104">
        <v>0</v>
      </c>
      <c r="BU18" s="104">
        <v>0</v>
      </c>
      <c r="BV18" s="104">
        <v>0</v>
      </c>
      <c r="BW18" s="104">
        <v>0</v>
      </c>
      <c r="BX18" s="104">
        <v>0</v>
      </c>
      <c r="BY18" s="104">
        <v>0</v>
      </c>
      <c r="BZ18" s="104">
        <v>0</v>
      </c>
      <c r="CA18" s="104">
        <v>0</v>
      </c>
      <c r="CB18" s="104">
        <v>0</v>
      </c>
      <c r="CC18" s="104">
        <v>0</v>
      </c>
      <c r="CD18" s="104">
        <v>0</v>
      </c>
      <c r="CE18" s="104">
        <v>0</v>
      </c>
      <c r="CF18" s="104">
        <v>388.80000000000007</v>
      </c>
      <c r="CG18" s="104">
        <v>0</v>
      </c>
      <c r="CH18" s="104">
        <v>91.200000000000017</v>
      </c>
      <c r="CI18" s="104">
        <v>288.53702292480006</v>
      </c>
      <c r="CJ18" s="104">
        <v>0</v>
      </c>
      <c r="CK18" s="104">
        <v>0</v>
      </c>
      <c r="CL18" s="104">
        <v>0</v>
      </c>
      <c r="CM18" s="104">
        <v>26</v>
      </c>
      <c r="CN18" s="98">
        <v>30000</v>
      </c>
      <c r="CO18" s="96" t="s">
        <v>363</v>
      </c>
      <c r="CP18" s="101">
        <v>141.86989619377164</v>
      </c>
      <c r="CQ18" s="101">
        <v>0.66666666666666663</v>
      </c>
      <c r="CR18" s="101">
        <v>94.579930795847758</v>
      </c>
      <c r="CS18" s="101">
        <v>7.8816608996539799</v>
      </c>
      <c r="CT18" s="101">
        <v>3.9408304498269899</v>
      </c>
      <c r="CU18" s="143">
        <v>45666</v>
      </c>
      <c r="CV18" s="143">
        <v>45697</v>
      </c>
      <c r="CW18" s="143">
        <v>45786</v>
      </c>
      <c r="CX18" s="96" t="s">
        <v>369</v>
      </c>
      <c r="CY18" s="143">
        <v>45817</v>
      </c>
      <c r="CZ18" s="143">
        <v>45847</v>
      </c>
      <c r="DA18" s="99">
        <v>96.4</v>
      </c>
      <c r="DB18" s="99">
        <v>35</v>
      </c>
      <c r="DC18" s="99">
        <v>164.17</v>
      </c>
      <c r="DD18" s="99">
        <v>49.5</v>
      </c>
      <c r="DE18" s="99">
        <v>224</v>
      </c>
      <c r="DF18" s="99">
        <v>103</v>
      </c>
      <c r="DG18" s="99">
        <v>50</v>
      </c>
      <c r="DH18" s="99">
        <v>5.8</v>
      </c>
      <c r="DI18" s="99">
        <v>0.7</v>
      </c>
      <c r="DJ18" s="99">
        <v>0</v>
      </c>
      <c r="DK18" s="99">
        <v>0</v>
      </c>
      <c r="DL18" s="99">
        <v>0</v>
      </c>
      <c r="DM18" s="99">
        <v>0</v>
      </c>
      <c r="DN18" s="99">
        <v>0</v>
      </c>
      <c r="DO18" s="99">
        <v>6.51</v>
      </c>
      <c r="DP18" s="99">
        <v>94.5</v>
      </c>
      <c r="DQ18" s="99">
        <v>35</v>
      </c>
      <c r="DR18" s="99">
        <v>118</v>
      </c>
      <c r="DS18" s="99">
        <v>90</v>
      </c>
      <c r="DT18" s="99">
        <v>54</v>
      </c>
      <c r="DU18" s="99">
        <v>0</v>
      </c>
      <c r="DV18" s="99">
        <v>50</v>
      </c>
      <c r="DW18" s="99">
        <v>0</v>
      </c>
      <c r="DX18" s="99">
        <v>0</v>
      </c>
      <c r="DY18" s="99">
        <v>0</v>
      </c>
      <c r="DZ18" s="99">
        <v>0</v>
      </c>
      <c r="EA18" s="99">
        <v>0</v>
      </c>
      <c r="EB18" s="99">
        <v>0</v>
      </c>
      <c r="EC18" s="99">
        <v>0</v>
      </c>
      <c r="ED18" s="99">
        <v>0</v>
      </c>
      <c r="EE18" s="99">
        <v>112.25</v>
      </c>
      <c r="EF18" s="99">
        <v>37.1</v>
      </c>
      <c r="EG18" s="99">
        <v>137.25</v>
      </c>
      <c r="EH18" s="99">
        <v>2.1800000000000002</v>
      </c>
      <c r="EI18" s="99">
        <v>0</v>
      </c>
      <c r="EJ18" s="99">
        <v>0.63</v>
      </c>
      <c r="EK18" s="99">
        <v>2.81</v>
      </c>
      <c r="EL18" s="99">
        <v>6.06</v>
      </c>
      <c r="EM18" s="99">
        <v>0</v>
      </c>
      <c r="EN18" s="99">
        <v>0</v>
      </c>
      <c r="EO18" s="99">
        <v>0</v>
      </c>
      <c r="EP18" s="99">
        <v>0.05</v>
      </c>
      <c r="EQ18" s="99">
        <v>0.25</v>
      </c>
      <c r="ER18" s="99">
        <v>0</v>
      </c>
      <c r="ES18" s="99">
        <v>0.1</v>
      </c>
      <c r="ET18" s="99">
        <v>0.1</v>
      </c>
      <c r="EU18" s="99">
        <v>0.05</v>
      </c>
      <c r="EV18" s="99">
        <v>0</v>
      </c>
      <c r="EW18" s="99">
        <v>0</v>
      </c>
      <c r="EX18" s="99">
        <v>0.5</v>
      </c>
      <c r="EY18" s="99">
        <v>2.37</v>
      </c>
      <c r="EZ18" s="99">
        <v>15.73</v>
      </c>
      <c r="FA18" s="99">
        <v>2.87</v>
      </c>
      <c r="FB18" s="99">
        <v>18.59</v>
      </c>
      <c r="FC18" s="99">
        <v>0.93</v>
      </c>
      <c r="FD18" s="99">
        <v>19.52</v>
      </c>
      <c r="FE18" s="99">
        <v>21.09</v>
      </c>
      <c r="FF18" s="99">
        <v>21.87</v>
      </c>
      <c r="FG18" s="99">
        <v>31237.040000000001</v>
      </c>
      <c r="FH18" s="99">
        <v>46855.55</v>
      </c>
      <c r="FI18" s="99">
        <v>1.56</v>
      </c>
      <c r="FJ18" s="103">
        <v>7.9999999999999905E-2</v>
      </c>
      <c r="FK18" s="99">
        <v>1.56</v>
      </c>
      <c r="FL18" s="103">
        <v>7.9999999999999905E-2</v>
      </c>
      <c r="FM18" s="99">
        <v>2.34</v>
      </c>
      <c r="FN18" s="103">
        <v>0.11999999999999995</v>
      </c>
      <c r="FO18" s="99">
        <v>2.34</v>
      </c>
      <c r="FP18" s="103">
        <v>0.11999999999999995</v>
      </c>
      <c r="FQ18" s="96" t="s">
        <v>25</v>
      </c>
      <c r="FR18" s="96" t="s">
        <v>23</v>
      </c>
      <c r="FS18" s="96" t="s">
        <v>86</v>
      </c>
      <c r="FT18" s="96" t="s">
        <v>121</v>
      </c>
      <c r="FU18" s="96" t="s">
        <v>47</v>
      </c>
      <c r="FV18" s="96" t="s">
        <v>63</v>
      </c>
      <c r="FW18" s="96">
        <v>120</v>
      </c>
    </row>
    <row r="19" spans="1:180" x14ac:dyDescent="0.35">
      <c r="A19" s="143">
        <v>45697</v>
      </c>
      <c r="B19" s="97">
        <v>0.85364583333333333</v>
      </c>
      <c r="C19" s="96" t="s">
        <v>145</v>
      </c>
      <c r="D19" s="96" t="s">
        <v>474</v>
      </c>
      <c r="E19" s="96" t="s">
        <v>473</v>
      </c>
      <c r="F19" s="96">
        <v>0</v>
      </c>
      <c r="G19" s="100">
        <v>45901</v>
      </c>
      <c r="H19" s="143">
        <v>45697</v>
      </c>
      <c r="I19" s="143">
        <v>45725</v>
      </c>
      <c r="J19" s="96" t="s">
        <v>472</v>
      </c>
      <c r="K19" s="98">
        <v>30000</v>
      </c>
      <c r="L19" s="101">
        <v>22.5</v>
      </c>
      <c r="M19" s="101">
        <v>32.5</v>
      </c>
      <c r="N19" s="101">
        <v>22.6</v>
      </c>
      <c r="O19" s="101">
        <v>33.700000000000003</v>
      </c>
      <c r="P19" s="102">
        <v>123.99999999999999</v>
      </c>
      <c r="Q19" s="101">
        <v>91.330024149759993</v>
      </c>
      <c r="R19" s="98">
        <v>25680</v>
      </c>
      <c r="S19" s="98">
        <v>771</v>
      </c>
      <c r="T19" s="98">
        <v>26451</v>
      </c>
      <c r="U19" s="98">
        <v>2739.9007244927998</v>
      </c>
      <c r="V19" s="98" t="s">
        <v>24</v>
      </c>
      <c r="W19" s="98">
        <v>1038.9775791198213</v>
      </c>
      <c r="X19" s="103">
        <v>0.96</v>
      </c>
      <c r="Y19" s="103">
        <v>0.04</v>
      </c>
      <c r="Z19" s="103">
        <v>0</v>
      </c>
      <c r="AA19" s="103">
        <v>0</v>
      </c>
      <c r="AB19" s="103">
        <v>0</v>
      </c>
      <c r="AC19" s="103">
        <v>0</v>
      </c>
      <c r="AD19" s="103">
        <v>0</v>
      </c>
      <c r="AE19" s="101">
        <v>87.676823183769585</v>
      </c>
      <c r="AF19" s="101">
        <v>3.6532009659903997</v>
      </c>
      <c r="AG19" s="101">
        <v>0</v>
      </c>
      <c r="AH19" s="101">
        <v>0</v>
      </c>
      <c r="AI19" s="101">
        <v>0</v>
      </c>
      <c r="AJ19" s="101">
        <v>0</v>
      </c>
      <c r="AK19" s="101">
        <v>0</v>
      </c>
      <c r="AL19" s="103">
        <v>0</v>
      </c>
      <c r="AM19" s="103">
        <v>0</v>
      </c>
      <c r="AN19" s="103">
        <v>0</v>
      </c>
      <c r="AO19" s="103">
        <v>0</v>
      </c>
      <c r="AP19" s="103">
        <v>0</v>
      </c>
      <c r="AQ19" s="103">
        <v>0</v>
      </c>
      <c r="AR19" s="103">
        <v>0</v>
      </c>
      <c r="AS19" s="101">
        <v>0</v>
      </c>
      <c r="AT19" s="101">
        <v>0</v>
      </c>
      <c r="AU19" s="101">
        <v>0</v>
      </c>
      <c r="AV19" s="101">
        <v>0</v>
      </c>
      <c r="AW19" s="101">
        <v>0</v>
      </c>
      <c r="AX19" s="101">
        <v>0</v>
      </c>
      <c r="AY19" s="101">
        <v>0</v>
      </c>
      <c r="AZ19" s="103">
        <v>0.8</v>
      </c>
      <c r="BA19" s="103">
        <v>0.1</v>
      </c>
      <c r="BB19" s="103">
        <v>0.1</v>
      </c>
      <c r="BC19" s="101">
        <v>14.403840000000001</v>
      </c>
      <c r="BD19" s="101">
        <v>1.8004800000000001</v>
      </c>
      <c r="BE19" s="101">
        <v>1.8004800000000001</v>
      </c>
      <c r="BF19" s="101">
        <v>2.2000000000000002</v>
      </c>
      <c r="BG19" s="101">
        <v>1.0810068702400002</v>
      </c>
      <c r="BH19" s="96">
        <v>2</v>
      </c>
      <c r="BI19" s="96">
        <v>0</v>
      </c>
      <c r="BJ19" s="96">
        <v>0</v>
      </c>
      <c r="BK19" s="101">
        <v>13.36517585024</v>
      </c>
      <c r="BL19" s="101">
        <v>0</v>
      </c>
      <c r="BM19" s="101">
        <v>0</v>
      </c>
      <c r="BN19" s="101">
        <v>0</v>
      </c>
      <c r="BO19" s="101">
        <v>0</v>
      </c>
      <c r="BP19" s="101">
        <v>1.3</v>
      </c>
      <c r="BQ19" s="101">
        <v>1.3</v>
      </c>
      <c r="BR19" s="104">
        <v>2630.3046955130876</v>
      </c>
      <c r="BS19" s="104">
        <v>109.59602897971199</v>
      </c>
      <c r="BT19" s="104">
        <v>0</v>
      </c>
      <c r="BU19" s="104">
        <v>0</v>
      </c>
      <c r="BV19" s="104">
        <v>0</v>
      </c>
      <c r="BW19" s="104">
        <v>0</v>
      </c>
      <c r="BX19" s="104">
        <v>0</v>
      </c>
      <c r="BY19" s="104">
        <v>0</v>
      </c>
      <c r="BZ19" s="104">
        <v>0</v>
      </c>
      <c r="CA19" s="104">
        <v>0</v>
      </c>
      <c r="CB19" s="104">
        <v>0</v>
      </c>
      <c r="CC19" s="104">
        <v>0</v>
      </c>
      <c r="CD19" s="104">
        <v>0</v>
      </c>
      <c r="CE19" s="104">
        <v>0</v>
      </c>
      <c r="CF19" s="104">
        <v>432.11520000000002</v>
      </c>
      <c r="CG19" s="104">
        <v>54.014400000000002</v>
      </c>
      <c r="CH19" s="104">
        <v>54.014400000000002</v>
      </c>
      <c r="CI19" s="104">
        <v>400.95527550719999</v>
      </c>
      <c r="CJ19" s="104">
        <v>0</v>
      </c>
      <c r="CK19" s="104">
        <v>0</v>
      </c>
      <c r="CL19" s="104">
        <v>0</v>
      </c>
      <c r="CM19" s="104">
        <v>39</v>
      </c>
      <c r="CN19" s="98">
        <v>30000</v>
      </c>
      <c r="CO19" s="96" t="s">
        <v>363</v>
      </c>
      <c r="CP19" s="101">
        <v>141.86989619377164</v>
      </c>
      <c r="CQ19" s="101">
        <v>1</v>
      </c>
      <c r="CR19" s="101">
        <v>141.86989619377164</v>
      </c>
      <c r="CS19" s="101">
        <v>11.82249134948097</v>
      </c>
      <c r="CT19" s="101">
        <v>5.9112456747404849</v>
      </c>
      <c r="CU19" s="143">
        <v>45697</v>
      </c>
      <c r="CV19" s="143">
        <v>45725</v>
      </c>
      <c r="CW19" s="143">
        <v>45817</v>
      </c>
      <c r="CX19" s="96" t="s">
        <v>369</v>
      </c>
      <c r="CY19" s="143">
        <v>45847</v>
      </c>
      <c r="CZ19" s="143">
        <v>45878</v>
      </c>
      <c r="DA19" s="99">
        <v>96.4</v>
      </c>
      <c r="DB19" s="99">
        <v>35</v>
      </c>
      <c r="DC19" s="99">
        <v>164.17</v>
      </c>
      <c r="DD19" s="99">
        <v>49.5</v>
      </c>
      <c r="DE19" s="99">
        <v>224</v>
      </c>
      <c r="DF19" s="99">
        <v>103</v>
      </c>
      <c r="DG19" s="99">
        <v>50</v>
      </c>
      <c r="DH19" s="99">
        <v>8.4499999999999993</v>
      </c>
      <c r="DI19" s="99">
        <v>0.13</v>
      </c>
      <c r="DJ19" s="99">
        <v>0</v>
      </c>
      <c r="DK19" s="99">
        <v>0</v>
      </c>
      <c r="DL19" s="99">
        <v>0</v>
      </c>
      <c r="DM19" s="99">
        <v>0</v>
      </c>
      <c r="DN19" s="99">
        <v>0</v>
      </c>
      <c r="DO19" s="99">
        <v>8.58</v>
      </c>
      <c r="DP19" s="99">
        <v>94.5</v>
      </c>
      <c r="DQ19" s="99">
        <v>35</v>
      </c>
      <c r="DR19" s="99">
        <v>118</v>
      </c>
      <c r="DS19" s="99">
        <v>90</v>
      </c>
      <c r="DT19" s="99">
        <v>54</v>
      </c>
      <c r="DU19" s="99">
        <v>0</v>
      </c>
      <c r="DV19" s="99">
        <v>50</v>
      </c>
      <c r="DW19" s="99">
        <v>0</v>
      </c>
      <c r="DX19" s="99">
        <v>0</v>
      </c>
      <c r="DY19" s="99">
        <v>0</v>
      </c>
      <c r="DZ19" s="99">
        <v>0</v>
      </c>
      <c r="EA19" s="99">
        <v>0</v>
      </c>
      <c r="EB19" s="99">
        <v>0</v>
      </c>
      <c r="EC19" s="99">
        <v>0</v>
      </c>
      <c r="ED19" s="99">
        <v>0</v>
      </c>
      <c r="EE19" s="99">
        <v>112.25</v>
      </c>
      <c r="EF19" s="99">
        <v>37.1</v>
      </c>
      <c r="EG19" s="99">
        <v>137.25</v>
      </c>
      <c r="EH19" s="99">
        <v>1.62</v>
      </c>
      <c r="EI19" s="99">
        <v>7.0000000000000007E-2</v>
      </c>
      <c r="EJ19" s="99">
        <v>0.25</v>
      </c>
      <c r="EK19" s="99">
        <v>1.93</v>
      </c>
      <c r="EL19" s="99">
        <v>5.61</v>
      </c>
      <c r="EM19" s="99">
        <v>0</v>
      </c>
      <c r="EN19" s="99">
        <v>0</v>
      </c>
      <c r="EO19" s="99">
        <v>0</v>
      </c>
      <c r="EP19" s="99">
        <v>0.05</v>
      </c>
      <c r="EQ19" s="99">
        <v>0.25</v>
      </c>
      <c r="ER19" s="99">
        <v>0</v>
      </c>
      <c r="ES19" s="99">
        <v>0.1</v>
      </c>
      <c r="ET19" s="99">
        <v>0.1</v>
      </c>
      <c r="EU19" s="99">
        <v>0.05</v>
      </c>
      <c r="EV19" s="99">
        <v>0</v>
      </c>
      <c r="EW19" s="99">
        <v>0</v>
      </c>
      <c r="EX19" s="99">
        <v>0.5</v>
      </c>
      <c r="EY19" s="99">
        <v>2.69</v>
      </c>
      <c r="EZ19" s="99">
        <v>16.48</v>
      </c>
      <c r="FA19" s="99">
        <v>3.19</v>
      </c>
      <c r="FB19" s="99">
        <v>19.670000000000002</v>
      </c>
      <c r="FC19" s="99">
        <v>0.98</v>
      </c>
      <c r="FD19" s="99">
        <v>20.65</v>
      </c>
      <c r="FE19" s="99">
        <v>22.31</v>
      </c>
      <c r="FF19" s="99">
        <v>23.13</v>
      </c>
      <c r="FG19" s="99">
        <v>49569.06</v>
      </c>
      <c r="FH19" s="99">
        <v>74353.59</v>
      </c>
      <c r="FI19" s="99">
        <v>1.65</v>
      </c>
      <c r="FJ19" s="103">
        <v>7.999999999999996E-2</v>
      </c>
      <c r="FK19" s="99">
        <v>1.65</v>
      </c>
      <c r="FL19" s="103">
        <v>7.999999999999996E-2</v>
      </c>
      <c r="FM19" s="99">
        <v>2.48</v>
      </c>
      <c r="FN19" s="103">
        <v>0.12000000000000004</v>
      </c>
      <c r="FO19" s="99">
        <v>2.48</v>
      </c>
      <c r="FP19" s="103">
        <v>0.12000000000000004</v>
      </c>
      <c r="FQ19" s="96" t="s">
        <v>25</v>
      </c>
      <c r="FR19" s="96" t="s">
        <v>23</v>
      </c>
      <c r="FS19" s="96" t="s">
        <v>86</v>
      </c>
      <c r="FT19" s="96" t="s">
        <v>121</v>
      </c>
      <c r="FU19" s="96" t="s">
        <v>47</v>
      </c>
      <c r="FV19" s="96" t="s">
        <v>63</v>
      </c>
      <c r="FW19" s="96">
        <v>124</v>
      </c>
    </row>
    <row r="20" spans="1:180" x14ac:dyDescent="0.35">
      <c r="A20" s="143">
        <v>45697</v>
      </c>
      <c r="B20" s="97">
        <v>0.85906249999999995</v>
      </c>
      <c r="C20" s="96" t="s">
        <v>145</v>
      </c>
      <c r="D20" s="96" t="s">
        <v>474</v>
      </c>
      <c r="E20" s="96" t="s">
        <v>473</v>
      </c>
      <c r="F20" s="96">
        <v>0</v>
      </c>
      <c r="G20" s="100">
        <v>45901</v>
      </c>
      <c r="H20" s="143">
        <v>45697</v>
      </c>
      <c r="I20" s="143">
        <v>45725</v>
      </c>
      <c r="J20" s="96" t="s">
        <v>472</v>
      </c>
      <c r="K20" s="98">
        <v>30000</v>
      </c>
      <c r="L20" s="101">
        <v>22.5</v>
      </c>
      <c r="M20" s="101">
        <v>32.5</v>
      </c>
      <c r="N20" s="101">
        <v>22.6</v>
      </c>
      <c r="O20" s="101">
        <v>33.700000000000003</v>
      </c>
      <c r="P20" s="102">
        <v>123.99999999999999</v>
      </c>
      <c r="Q20" s="101">
        <v>91.330024149759993</v>
      </c>
      <c r="R20" s="98">
        <v>25680</v>
      </c>
      <c r="S20" s="98">
        <v>771</v>
      </c>
      <c r="T20" s="98">
        <v>26451</v>
      </c>
      <c r="U20" s="98">
        <v>2739.9007244927998</v>
      </c>
      <c r="V20" s="98" t="s">
        <v>24</v>
      </c>
      <c r="W20" s="98">
        <v>1038.9775791198213</v>
      </c>
      <c r="X20" s="103">
        <v>0.96</v>
      </c>
      <c r="Y20" s="103">
        <v>0.04</v>
      </c>
      <c r="Z20" s="103">
        <v>0</v>
      </c>
      <c r="AA20" s="103">
        <v>0</v>
      </c>
      <c r="AB20" s="103">
        <v>0</v>
      </c>
      <c r="AC20" s="103">
        <v>0</v>
      </c>
      <c r="AD20" s="103">
        <v>0</v>
      </c>
      <c r="AE20" s="101">
        <v>87.676823183769585</v>
      </c>
      <c r="AF20" s="101">
        <v>3.6532009659903997</v>
      </c>
      <c r="AG20" s="101">
        <v>0</v>
      </c>
      <c r="AH20" s="101">
        <v>0</v>
      </c>
      <c r="AI20" s="101">
        <v>0</v>
      </c>
      <c r="AJ20" s="101">
        <v>0</v>
      </c>
      <c r="AK20" s="101">
        <v>0</v>
      </c>
      <c r="AL20" s="103">
        <v>0</v>
      </c>
      <c r="AM20" s="103">
        <v>0</v>
      </c>
      <c r="AN20" s="103">
        <v>0</v>
      </c>
      <c r="AO20" s="103">
        <v>0</v>
      </c>
      <c r="AP20" s="103">
        <v>0</v>
      </c>
      <c r="AQ20" s="103">
        <v>0</v>
      </c>
      <c r="AR20" s="103">
        <v>0</v>
      </c>
      <c r="AS20" s="101">
        <v>0</v>
      </c>
      <c r="AT20" s="101">
        <v>0</v>
      </c>
      <c r="AU20" s="101">
        <v>0</v>
      </c>
      <c r="AV20" s="101">
        <v>0</v>
      </c>
      <c r="AW20" s="101">
        <v>0</v>
      </c>
      <c r="AX20" s="101">
        <v>0</v>
      </c>
      <c r="AY20" s="101">
        <v>0</v>
      </c>
      <c r="AZ20" s="103">
        <v>0.8</v>
      </c>
      <c r="BA20" s="103">
        <v>0.1</v>
      </c>
      <c r="BB20" s="103">
        <v>0.1</v>
      </c>
      <c r="BC20" s="101">
        <v>14.403840000000001</v>
      </c>
      <c r="BD20" s="101">
        <v>1.8004800000000001</v>
      </c>
      <c r="BE20" s="101">
        <v>1.8004800000000001</v>
      </c>
      <c r="BF20" s="101">
        <v>2.2000000000000002</v>
      </c>
      <c r="BG20" s="101">
        <v>1.0810068702400002</v>
      </c>
      <c r="BH20" s="96">
        <v>2</v>
      </c>
      <c r="BI20" s="96">
        <v>0</v>
      </c>
      <c r="BJ20" s="96">
        <v>0</v>
      </c>
      <c r="BK20" s="101">
        <v>13.36517585024</v>
      </c>
      <c r="BL20" s="101">
        <v>0</v>
      </c>
      <c r="BM20" s="101">
        <v>0</v>
      </c>
      <c r="BN20" s="101">
        <v>0</v>
      </c>
      <c r="BO20" s="101">
        <v>0</v>
      </c>
      <c r="BP20" s="101">
        <v>1.3</v>
      </c>
      <c r="BQ20" s="101">
        <v>1.3</v>
      </c>
      <c r="BR20" s="104">
        <v>2630.3046955130876</v>
      </c>
      <c r="BS20" s="104">
        <v>109.59602897971199</v>
      </c>
      <c r="BT20" s="104">
        <v>0</v>
      </c>
      <c r="BU20" s="104">
        <v>0</v>
      </c>
      <c r="BV20" s="104">
        <v>0</v>
      </c>
      <c r="BW20" s="104">
        <v>0</v>
      </c>
      <c r="BX20" s="104">
        <v>0</v>
      </c>
      <c r="BY20" s="104">
        <v>0</v>
      </c>
      <c r="BZ20" s="104">
        <v>0</v>
      </c>
      <c r="CA20" s="104">
        <v>0</v>
      </c>
      <c r="CB20" s="104">
        <v>0</v>
      </c>
      <c r="CC20" s="104">
        <v>0</v>
      </c>
      <c r="CD20" s="104">
        <v>0</v>
      </c>
      <c r="CE20" s="104">
        <v>0</v>
      </c>
      <c r="CF20" s="104">
        <v>432.11520000000002</v>
      </c>
      <c r="CG20" s="104">
        <v>54.014400000000002</v>
      </c>
      <c r="CH20" s="104">
        <v>54.014400000000002</v>
      </c>
      <c r="CI20" s="104">
        <v>400.95527550719999</v>
      </c>
      <c r="CJ20" s="104">
        <v>0</v>
      </c>
      <c r="CK20" s="104">
        <v>0</v>
      </c>
      <c r="CL20" s="104">
        <v>0</v>
      </c>
      <c r="CM20" s="104">
        <v>39</v>
      </c>
      <c r="CN20" s="98">
        <v>30000</v>
      </c>
      <c r="CO20" s="96" t="s">
        <v>363</v>
      </c>
      <c r="CP20" s="101">
        <v>141.86989619377164</v>
      </c>
      <c r="CQ20" s="101">
        <v>1</v>
      </c>
      <c r="CR20" s="101">
        <v>141.86989619377164</v>
      </c>
      <c r="CS20" s="101">
        <v>11.82249134948097</v>
      </c>
      <c r="CT20" s="101">
        <v>5.9112456747404849</v>
      </c>
      <c r="CU20" s="143">
        <v>45697</v>
      </c>
      <c r="CV20" s="143">
        <v>45725</v>
      </c>
      <c r="CW20" s="143">
        <v>45817</v>
      </c>
      <c r="CX20" s="96" t="s">
        <v>369</v>
      </c>
      <c r="CY20" s="143">
        <v>45847</v>
      </c>
      <c r="CZ20" s="143">
        <v>45878</v>
      </c>
      <c r="DA20" s="99">
        <v>96.4</v>
      </c>
      <c r="DB20" s="99">
        <v>35</v>
      </c>
      <c r="DC20" s="99">
        <v>164.17</v>
      </c>
      <c r="DD20" s="99">
        <v>49.5</v>
      </c>
      <c r="DE20" s="99">
        <v>224</v>
      </c>
      <c r="DF20" s="99">
        <v>103</v>
      </c>
      <c r="DG20" s="99">
        <v>50</v>
      </c>
      <c r="DH20" s="99">
        <v>8.4499999999999993</v>
      </c>
      <c r="DI20" s="99">
        <v>0.13</v>
      </c>
      <c r="DJ20" s="99">
        <v>0</v>
      </c>
      <c r="DK20" s="99">
        <v>0</v>
      </c>
      <c r="DL20" s="99">
        <v>0</v>
      </c>
      <c r="DM20" s="99">
        <v>0</v>
      </c>
      <c r="DN20" s="99">
        <v>0</v>
      </c>
      <c r="DO20" s="99">
        <v>8.58</v>
      </c>
      <c r="DP20" s="99">
        <v>94.5</v>
      </c>
      <c r="DQ20" s="99">
        <v>35</v>
      </c>
      <c r="DR20" s="99">
        <v>118</v>
      </c>
      <c r="DS20" s="99">
        <v>90</v>
      </c>
      <c r="DT20" s="99">
        <v>54</v>
      </c>
      <c r="DU20" s="99">
        <v>0</v>
      </c>
      <c r="DV20" s="99">
        <v>50</v>
      </c>
      <c r="DW20" s="99">
        <v>0</v>
      </c>
      <c r="DX20" s="99">
        <v>0</v>
      </c>
      <c r="DY20" s="99">
        <v>0</v>
      </c>
      <c r="DZ20" s="99">
        <v>0</v>
      </c>
      <c r="EA20" s="99">
        <v>0</v>
      </c>
      <c r="EB20" s="99">
        <v>0</v>
      </c>
      <c r="EC20" s="99">
        <v>0</v>
      </c>
      <c r="ED20" s="99">
        <v>0</v>
      </c>
      <c r="EE20" s="99">
        <v>112.25</v>
      </c>
      <c r="EF20" s="99">
        <v>37.1</v>
      </c>
      <c r="EG20" s="99">
        <v>137.25</v>
      </c>
      <c r="EH20" s="99">
        <v>1.62</v>
      </c>
      <c r="EI20" s="99">
        <v>7.0000000000000007E-2</v>
      </c>
      <c r="EJ20" s="99">
        <v>0.25</v>
      </c>
      <c r="EK20" s="99">
        <v>1.93</v>
      </c>
      <c r="EL20" s="99">
        <v>5.61</v>
      </c>
      <c r="EM20" s="99">
        <v>0</v>
      </c>
      <c r="EN20" s="99">
        <v>0</v>
      </c>
      <c r="EO20" s="99">
        <v>0</v>
      </c>
      <c r="EP20" s="99">
        <v>0.05</v>
      </c>
      <c r="EQ20" s="99">
        <v>0.25</v>
      </c>
      <c r="ER20" s="99">
        <v>0</v>
      </c>
      <c r="ES20" s="99">
        <v>0.1</v>
      </c>
      <c r="ET20" s="99">
        <v>0.1</v>
      </c>
      <c r="EU20" s="99">
        <v>0.05</v>
      </c>
      <c r="EV20" s="99">
        <v>0</v>
      </c>
      <c r="EW20" s="99">
        <v>0</v>
      </c>
      <c r="EX20" s="99">
        <v>0.5</v>
      </c>
      <c r="EY20" s="99">
        <v>2.69</v>
      </c>
      <c r="EZ20" s="99">
        <v>16.48</v>
      </c>
      <c r="FA20" s="99">
        <v>3.19</v>
      </c>
      <c r="FB20" s="99">
        <v>19.670000000000002</v>
      </c>
      <c r="FC20" s="99">
        <v>0.98</v>
      </c>
      <c r="FD20" s="99">
        <v>20.65</v>
      </c>
      <c r="FE20" s="99">
        <v>22.31</v>
      </c>
      <c r="FF20" s="99">
        <v>23.13</v>
      </c>
      <c r="FG20" s="99">
        <v>49569.06</v>
      </c>
      <c r="FH20" s="99">
        <v>74353.59</v>
      </c>
      <c r="FI20" s="99">
        <v>1.65</v>
      </c>
      <c r="FJ20" s="103">
        <v>7.999999999999996E-2</v>
      </c>
      <c r="FK20" s="99">
        <v>1.65</v>
      </c>
      <c r="FL20" s="103">
        <v>7.999999999999996E-2</v>
      </c>
      <c r="FM20" s="99">
        <v>2.48</v>
      </c>
      <c r="FN20" s="103">
        <v>0.12000000000000004</v>
      </c>
      <c r="FO20" s="99">
        <v>2.48</v>
      </c>
      <c r="FP20" s="103">
        <v>0.12000000000000004</v>
      </c>
      <c r="FQ20" s="96" t="s">
        <v>25</v>
      </c>
      <c r="FR20" s="96" t="s">
        <v>23</v>
      </c>
      <c r="FS20" s="96" t="s">
        <v>86</v>
      </c>
      <c r="FT20" s="96" t="s">
        <v>121</v>
      </c>
      <c r="FU20" s="96" t="s">
        <v>47</v>
      </c>
      <c r="FV20" s="96" t="s">
        <v>63</v>
      </c>
      <c r="FW20" s="96">
        <v>124</v>
      </c>
    </row>
    <row r="21" spans="1:180" x14ac:dyDescent="0.35">
      <c r="A21" s="96" t="s">
        <v>532</v>
      </c>
      <c r="B21" s="97">
        <v>0.79760416666666667</v>
      </c>
      <c r="C21" s="96">
        <v>91963</v>
      </c>
      <c r="D21" s="96" t="s">
        <v>531</v>
      </c>
      <c r="E21" s="96" t="s">
        <v>530</v>
      </c>
      <c r="G21" s="100">
        <v>45901</v>
      </c>
      <c r="H21" s="96" t="s">
        <v>532</v>
      </c>
      <c r="I21" s="96" t="s">
        <v>533</v>
      </c>
      <c r="J21" s="96" t="s">
        <v>529</v>
      </c>
      <c r="K21" s="98">
        <v>30000</v>
      </c>
      <c r="L21" s="101">
        <v>26</v>
      </c>
      <c r="M21" s="101">
        <v>42</v>
      </c>
      <c r="N21" s="101">
        <v>26.1</v>
      </c>
      <c r="O21" s="101">
        <v>43.2</v>
      </c>
      <c r="P21" s="102">
        <v>120</v>
      </c>
      <c r="Q21" s="101">
        <v>89.18</v>
      </c>
      <c r="R21" s="98">
        <v>32919</v>
      </c>
      <c r="S21" s="98">
        <v>988</v>
      </c>
      <c r="T21" s="98">
        <v>33907</v>
      </c>
      <c r="U21" s="98">
        <v>2675.4</v>
      </c>
      <c r="V21" s="98" t="s">
        <v>24</v>
      </c>
      <c r="W21" s="98">
        <v>684.9197269011014</v>
      </c>
      <c r="X21" s="103">
        <v>0.7</v>
      </c>
      <c r="Y21" s="103">
        <v>0.3</v>
      </c>
      <c r="Z21" s="103">
        <v>0</v>
      </c>
      <c r="AA21" s="103">
        <v>0</v>
      </c>
      <c r="AB21" s="103">
        <v>0</v>
      </c>
      <c r="AC21" s="103">
        <v>0</v>
      </c>
      <c r="AD21" s="103">
        <v>0</v>
      </c>
      <c r="AE21" s="101">
        <v>62.426000000000002</v>
      </c>
      <c r="AF21" s="101">
        <v>26.754000000000001</v>
      </c>
      <c r="AG21" s="101">
        <v>0</v>
      </c>
      <c r="AH21" s="101">
        <v>0</v>
      </c>
      <c r="AI21" s="101">
        <v>0</v>
      </c>
      <c r="AJ21" s="101">
        <v>0</v>
      </c>
      <c r="AK21" s="101">
        <v>0</v>
      </c>
      <c r="AL21" s="103">
        <v>0</v>
      </c>
      <c r="AM21" s="103">
        <v>0</v>
      </c>
      <c r="AN21" s="103">
        <v>0</v>
      </c>
      <c r="AO21" s="103">
        <v>0</v>
      </c>
      <c r="AP21" s="103">
        <v>0</v>
      </c>
      <c r="AQ21" s="103">
        <v>0</v>
      </c>
      <c r="AR21" s="103">
        <v>0</v>
      </c>
      <c r="AS21" s="101">
        <v>0</v>
      </c>
      <c r="AT21" s="101">
        <v>0</v>
      </c>
      <c r="AU21" s="101">
        <v>0</v>
      </c>
      <c r="AV21" s="101">
        <v>0</v>
      </c>
      <c r="AW21" s="101">
        <v>0</v>
      </c>
      <c r="AX21" s="101">
        <v>0</v>
      </c>
      <c r="AY21" s="101">
        <v>0</v>
      </c>
      <c r="AZ21" s="103">
        <v>0.80640000000000001</v>
      </c>
      <c r="BA21" s="103">
        <v>3.2199999999999999E-2</v>
      </c>
      <c r="BB21" s="103">
        <v>0.16139999999999999</v>
      </c>
      <c r="BC21" s="101">
        <v>21.385728</v>
      </c>
      <c r="BD21" s="101">
        <v>0.85394399999999993</v>
      </c>
      <c r="BE21" s="101">
        <v>4.2803279999999999</v>
      </c>
      <c r="BF21" s="101">
        <v>2.2000000000000002</v>
      </c>
      <c r="BG21" s="101">
        <v>1.6003477670400004</v>
      </c>
      <c r="BH21" s="96">
        <v>0</v>
      </c>
      <c r="BI21" s="96">
        <v>0</v>
      </c>
      <c r="BJ21" s="96">
        <v>6</v>
      </c>
      <c r="BK21" s="101">
        <v>0</v>
      </c>
      <c r="BL21" s="101">
        <v>3</v>
      </c>
      <c r="BM21" s="101">
        <v>0</v>
      </c>
      <c r="BN21" s="101">
        <v>0</v>
      </c>
      <c r="BO21" s="101">
        <v>0</v>
      </c>
      <c r="BP21" s="101">
        <v>1.3</v>
      </c>
      <c r="BQ21" s="101">
        <v>1.3</v>
      </c>
      <c r="BR21" s="104">
        <v>1872.78</v>
      </c>
      <c r="BS21" s="104">
        <v>802.62</v>
      </c>
      <c r="BT21" s="104">
        <v>0</v>
      </c>
      <c r="BU21" s="104">
        <v>0</v>
      </c>
      <c r="BV21" s="104">
        <v>0</v>
      </c>
      <c r="BW21" s="104">
        <v>0</v>
      </c>
      <c r="BX21" s="104">
        <v>0</v>
      </c>
      <c r="BY21" s="104">
        <v>0</v>
      </c>
      <c r="BZ21" s="104">
        <v>0</v>
      </c>
      <c r="CA21" s="104">
        <v>0</v>
      </c>
      <c r="CB21" s="104">
        <v>0</v>
      </c>
      <c r="CC21" s="104">
        <v>0</v>
      </c>
      <c r="CD21" s="104">
        <v>0</v>
      </c>
      <c r="CE21" s="104">
        <v>0</v>
      </c>
      <c r="CF21" s="104">
        <v>641.57183999999995</v>
      </c>
      <c r="CG21" s="104">
        <v>25.618319999999997</v>
      </c>
      <c r="CH21" s="104">
        <v>128.40984</v>
      </c>
      <c r="CI21" s="104">
        <v>0</v>
      </c>
      <c r="CJ21" s="104">
        <v>90</v>
      </c>
      <c r="CK21" s="104">
        <v>0</v>
      </c>
      <c r="CL21" s="104">
        <v>0</v>
      </c>
      <c r="CM21" s="104">
        <v>39</v>
      </c>
      <c r="CN21" s="98">
        <v>30000</v>
      </c>
      <c r="CO21" s="96" t="s">
        <v>164</v>
      </c>
      <c r="CP21" s="101">
        <v>162.23667820069204</v>
      </c>
      <c r="CQ21" s="101">
        <v>1</v>
      </c>
      <c r="CR21" s="101">
        <v>162.23667820069204</v>
      </c>
      <c r="CS21" s="101">
        <v>13.519723183391003</v>
      </c>
      <c r="CT21" s="101">
        <v>6.7598615916955014</v>
      </c>
      <c r="CU21" s="96" t="s">
        <v>532</v>
      </c>
      <c r="CV21" s="96" t="s">
        <v>533</v>
      </c>
      <c r="CW21" s="96" t="s">
        <v>534</v>
      </c>
      <c r="CX21" s="96" t="s">
        <v>535</v>
      </c>
      <c r="CY21" s="96" t="s">
        <v>535</v>
      </c>
      <c r="CZ21" s="143">
        <v>45667</v>
      </c>
      <c r="DA21" s="99">
        <v>94</v>
      </c>
      <c r="DB21" s="99">
        <v>35</v>
      </c>
      <c r="DC21" s="99">
        <v>164.17</v>
      </c>
      <c r="DD21" s="99">
        <v>49.5</v>
      </c>
      <c r="DE21" s="99">
        <v>224</v>
      </c>
      <c r="DF21" s="99">
        <v>103</v>
      </c>
      <c r="DG21" s="99">
        <v>50</v>
      </c>
      <c r="DH21" s="99">
        <v>5.87</v>
      </c>
      <c r="DI21" s="99">
        <v>0.94</v>
      </c>
      <c r="DJ21" s="99">
        <v>0</v>
      </c>
      <c r="DK21" s="99">
        <v>0</v>
      </c>
      <c r="DL21" s="99">
        <v>0</v>
      </c>
      <c r="DM21" s="99">
        <v>0</v>
      </c>
      <c r="DN21" s="99">
        <v>0</v>
      </c>
      <c r="DO21" s="99">
        <v>6.8</v>
      </c>
      <c r="DP21" s="99">
        <v>94.5</v>
      </c>
      <c r="DQ21" s="99">
        <v>35</v>
      </c>
      <c r="DR21" s="99">
        <v>118</v>
      </c>
      <c r="DS21" s="99">
        <v>90</v>
      </c>
      <c r="DT21" s="99">
        <v>54</v>
      </c>
      <c r="DU21" s="99">
        <v>0</v>
      </c>
      <c r="DV21" s="99">
        <v>50</v>
      </c>
      <c r="DW21" s="99">
        <v>0</v>
      </c>
      <c r="DX21" s="99">
        <v>0</v>
      </c>
      <c r="DY21" s="99">
        <v>0</v>
      </c>
      <c r="DZ21" s="99">
        <v>0</v>
      </c>
      <c r="EA21" s="99">
        <v>0</v>
      </c>
      <c r="EB21" s="99">
        <v>0</v>
      </c>
      <c r="EC21" s="99">
        <v>0</v>
      </c>
      <c r="ED21" s="99">
        <v>0</v>
      </c>
      <c r="EE21" s="99">
        <v>112.25</v>
      </c>
      <c r="EF21" s="99">
        <v>37.1</v>
      </c>
      <c r="EG21" s="99">
        <v>137.25</v>
      </c>
      <c r="EH21" s="99">
        <v>2.4</v>
      </c>
      <c r="EI21" s="99">
        <v>0.03</v>
      </c>
      <c r="EJ21" s="99">
        <v>0.59</v>
      </c>
      <c r="EK21" s="99">
        <v>3.02</v>
      </c>
      <c r="EL21" s="99">
        <v>0</v>
      </c>
      <c r="EM21" s="99">
        <v>0</v>
      </c>
      <c r="EN21" s="99">
        <v>0.65</v>
      </c>
      <c r="EO21" s="99">
        <v>0</v>
      </c>
      <c r="EP21" s="99">
        <v>0.05</v>
      </c>
      <c r="EQ21" s="99">
        <v>0.25</v>
      </c>
      <c r="ER21" s="99">
        <v>0.1</v>
      </c>
      <c r="ES21" s="99">
        <v>0.1</v>
      </c>
      <c r="ET21" s="99">
        <v>0.1</v>
      </c>
      <c r="EU21" s="99">
        <v>0.05</v>
      </c>
      <c r="EV21" s="99">
        <v>0</v>
      </c>
      <c r="EW21" s="99">
        <v>0</v>
      </c>
      <c r="EX21" s="99">
        <v>0.6</v>
      </c>
      <c r="EY21" s="99">
        <v>2.63</v>
      </c>
      <c r="EZ21" s="99">
        <v>10.7</v>
      </c>
      <c r="FA21" s="99">
        <v>3.23</v>
      </c>
      <c r="FB21" s="99">
        <v>13.93</v>
      </c>
      <c r="FC21" s="99">
        <v>0.7</v>
      </c>
      <c r="FD21" s="99">
        <v>14.63</v>
      </c>
      <c r="FE21" s="99">
        <v>15.8</v>
      </c>
      <c r="FF21" s="99">
        <v>16.38</v>
      </c>
      <c r="FG21" s="99">
        <v>35108.51</v>
      </c>
      <c r="FH21" s="99">
        <v>52662.76</v>
      </c>
      <c r="FI21" s="99">
        <v>1.17</v>
      </c>
      <c r="FJ21" s="103">
        <v>7.9999999999999988E-2</v>
      </c>
      <c r="FK21" s="99">
        <v>1.17</v>
      </c>
      <c r="FL21" s="103">
        <v>7.9999999999999988E-2</v>
      </c>
      <c r="FM21" s="99">
        <v>1.76</v>
      </c>
      <c r="FN21" s="103">
        <v>0.12000000000000011</v>
      </c>
      <c r="FO21" s="99">
        <v>1.76</v>
      </c>
      <c r="FP21" s="103">
        <v>0.12000000000000011</v>
      </c>
      <c r="FQ21" s="96" t="s">
        <v>25</v>
      </c>
      <c r="FR21" s="96" t="s">
        <v>23</v>
      </c>
      <c r="FS21" s="96" t="s">
        <v>22</v>
      </c>
      <c r="FT21" s="96" t="s">
        <v>121</v>
      </c>
      <c r="FU21" s="96" t="s">
        <v>47</v>
      </c>
      <c r="FV21" s="96" t="s">
        <v>63</v>
      </c>
      <c r="FW21" s="96">
        <v>120</v>
      </c>
    </row>
    <row r="22" spans="1:180" x14ac:dyDescent="0.35">
      <c r="A22" s="96" t="s">
        <v>539</v>
      </c>
      <c r="B22" s="97">
        <v>0.78788194444444448</v>
      </c>
      <c r="C22" s="96">
        <v>91963</v>
      </c>
      <c r="D22" s="96" t="s">
        <v>538</v>
      </c>
      <c r="E22" s="96" t="s">
        <v>537</v>
      </c>
      <c r="G22" s="100">
        <v>45931</v>
      </c>
      <c r="H22" s="96" t="s">
        <v>540</v>
      </c>
      <c r="I22" s="96" t="s">
        <v>539</v>
      </c>
      <c r="J22" s="96" t="s">
        <v>536</v>
      </c>
      <c r="K22" s="98">
        <v>2000000</v>
      </c>
      <c r="L22" s="101">
        <v>24</v>
      </c>
      <c r="M22" s="101">
        <v>36</v>
      </c>
      <c r="N22" s="101">
        <v>24.1</v>
      </c>
      <c r="O22" s="101">
        <v>38.200000000000003</v>
      </c>
      <c r="P22" s="102">
        <v>170</v>
      </c>
      <c r="Q22" s="101">
        <v>114.2</v>
      </c>
      <c r="R22" s="98">
        <v>1940564</v>
      </c>
      <c r="S22" s="98">
        <v>58217</v>
      </c>
      <c r="T22" s="98">
        <v>1998781</v>
      </c>
      <c r="U22" s="98">
        <v>228400</v>
      </c>
      <c r="V22" s="98" t="s">
        <v>35</v>
      </c>
      <c r="W22" s="98">
        <v>981.44695196389364</v>
      </c>
      <c r="X22" s="103">
        <v>0.68</v>
      </c>
      <c r="Y22" s="103">
        <v>0.3</v>
      </c>
      <c r="Z22" s="103">
        <v>0.02</v>
      </c>
      <c r="AA22" s="103">
        <v>0</v>
      </c>
      <c r="AB22" s="103">
        <v>0</v>
      </c>
      <c r="AC22" s="103">
        <v>0</v>
      </c>
      <c r="AD22" s="103">
        <v>0</v>
      </c>
      <c r="AE22" s="101">
        <v>77.656000000000006</v>
      </c>
      <c r="AF22" s="101">
        <v>34.26</v>
      </c>
      <c r="AG22" s="101">
        <v>2.2840000000000003</v>
      </c>
      <c r="AH22" s="101">
        <v>0</v>
      </c>
      <c r="AI22" s="101">
        <v>0</v>
      </c>
      <c r="AJ22" s="101">
        <v>0</v>
      </c>
      <c r="AK22" s="101">
        <v>0</v>
      </c>
      <c r="AL22" s="103">
        <v>0.95</v>
      </c>
      <c r="AM22" s="103">
        <v>0.05</v>
      </c>
      <c r="AN22" s="103">
        <v>0</v>
      </c>
      <c r="AO22" s="103">
        <v>0</v>
      </c>
      <c r="AP22" s="103">
        <v>0</v>
      </c>
      <c r="AQ22" s="103">
        <v>0</v>
      </c>
      <c r="AR22" s="103">
        <v>0</v>
      </c>
      <c r="AS22" s="101">
        <v>47.5</v>
      </c>
      <c r="AT22" s="101">
        <v>2.5</v>
      </c>
      <c r="AU22" s="101">
        <v>0</v>
      </c>
      <c r="AV22" s="101">
        <v>0</v>
      </c>
      <c r="AW22" s="101">
        <v>0</v>
      </c>
      <c r="AX22" s="101">
        <v>0</v>
      </c>
      <c r="AY22" s="101">
        <v>0</v>
      </c>
      <c r="AZ22" s="103">
        <v>0</v>
      </c>
      <c r="BA22" s="103">
        <v>0</v>
      </c>
      <c r="BB22" s="103">
        <v>0</v>
      </c>
      <c r="BC22" s="101">
        <v>0</v>
      </c>
      <c r="BD22" s="101">
        <v>0</v>
      </c>
      <c r="BE22" s="101">
        <v>0</v>
      </c>
      <c r="BF22" s="101">
        <v>2.2000000000000002</v>
      </c>
      <c r="BG22" s="101">
        <v>1.3066838382400001</v>
      </c>
      <c r="BH22" s="96">
        <v>0</v>
      </c>
      <c r="BI22" s="96">
        <v>0</v>
      </c>
      <c r="BJ22" s="96">
        <v>6</v>
      </c>
      <c r="BK22" s="101">
        <v>0</v>
      </c>
      <c r="BL22" s="101">
        <v>3</v>
      </c>
      <c r="BM22" s="101">
        <v>0</v>
      </c>
      <c r="BN22" s="101">
        <v>0</v>
      </c>
      <c r="BO22" s="101">
        <v>1.5</v>
      </c>
      <c r="BP22" s="101">
        <v>1.3</v>
      </c>
      <c r="BQ22" s="101">
        <v>2.8</v>
      </c>
      <c r="BR22" s="104">
        <v>155312</v>
      </c>
      <c r="BS22" s="104">
        <v>68520</v>
      </c>
      <c r="BT22" s="104">
        <v>4568.0000000000009</v>
      </c>
      <c r="BU22" s="104">
        <v>0</v>
      </c>
      <c r="BV22" s="104">
        <v>0</v>
      </c>
      <c r="BW22" s="104">
        <v>0</v>
      </c>
      <c r="BX22" s="104">
        <v>0</v>
      </c>
      <c r="BY22" s="104">
        <v>95000</v>
      </c>
      <c r="BZ22" s="104">
        <v>5000</v>
      </c>
      <c r="CA22" s="104">
        <v>0</v>
      </c>
      <c r="CB22" s="104">
        <v>0</v>
      </c>
      <c r="CC22" s="104">
        <v>0</v>
      </c>
      <c r="CD22" s="104">
        <v>0</v>
      </c>
      <c r="CE22" s="104">
        <v>0</v>
      </c>
      <c r="CF22" s="104">
        <v>0</v>
      </c>
      <c r="CG22" s="104">
        <v>0</v>
      </c>
      <c r="CH22" s="104">
        <v>0</v>
      </c>
      <c r="CI22" s="104">
        <v>0</v>
      </c>
      <c r="CJ22" s="104">
        <v>6000</v>
      </c>
      <c r="CK22" s="104">
        <v>0</v>
      </c>
      <c r="CL22" s="104">
        <v>3000</v>
      </c>
      <c r="CM22" s="104">
        <v>2600</v>
      </c>
      <c r="CN22" s="98">
        <v>30000</v>
      </c>
      <c r="CO22" s="96" t="s">
        <v>149</v>
      </c>
      <c r="CP22" s="101">
        <v>159.96816608996539</v>
      </c>
      <c r="CQ22" s="101">
        <v>66.666666666666671</v>
      </c>
      <c r="CR22" s="101">
        <v>10664.544405997694</v>
      </c>
      <c r="CS22" s="101">
        <v>888.71203383314116</v>
      </c>
      <c r="CT22" s="101">
        <v>444.35601691657058</v>
      </c>
      <c r="CU22" s="96" t="s">
        <v>540</v>
      </c>
      <c r="CV22" s="96" t="s">
        <v>539</v>
      </c>
      <c r="CW22" s="96" t="s">
        <v>541</v>
      </c>
      <c r="CX22" s="96" t="s">
        <v>542</v>
      </c>
      <c r="CY22" s="96" t="s">
        <v>369</v>
      </c>
      <c r="CZ22" s="143">
        <v>45699</v>
      </c>
      <c r="DA22" s="151">
        <v>94</v>
      </c>
      <c r="DB22" s="151">
        <v>35</v>
      </c>
      <c r="DC22" s="151">
        <v>170</v>
      </c>
      <c r="DD22" s="151">
        <v>49.5</v>
      </c>
      <c r="DE22" s="151">
        <v>224</v>
      </c>
      <c r="DF22" s="151">
        <v>103</v>
      </c>
      <c r="DG22" s="151">
        <v>50</v>
      </c>
      <c r="DH22" s="151">
        <v>7.3</v>
      </c>
      <c r="DI22" s="151">
        <v>1.2</v>
      </c>
      <c r="DJ22" s="151">
        <v>0.39</v>
      </c>
      <c r="DK22" s="151">
        <v>0</v>
      </c>
      <c r="DL22" s="151">
        <v>0</v>
      </c>
      <c r="DM22" s="151">
        <v>0</v>
      </c>
      <c r="DN22" s="151">
        <v>0</v>
      </c>
      <c r="DO22" s="151">
        <v>8.89</v>
      </c>
      <c r="DP22" s="151">
        <v>94.5</v>
      </c>
      <c r="DQ22" s="151">
        <v>35</v>
      </c>
      <c r="DR22" s="151">
        <v>118</v>
      </c>
      <c r="DS22" s="151">
        <v>90</v>
      </c>
      <c r="DT22" s="151">
        <v>54</v>
      </c>
      <c r="DU22" s="151">
        <v>0</v>
      </c>
      <c r="DV22" s="151">
        <v>50</v>
      </c>
      <c r="DW22" s="151">
        <v>4.49</v>
      </c>
      <c r="DX22" s="151">
        <v>0.09</v>
      </c>
      <c r="DY22" s="151">
        <v>0</v>
      </c>
      <c r="DZ22" s="151">
        <v>0</v>
      </c>
      <c r="EA22" s="151">
        <v>0</v>
      </c>
      <c r="EB22" s="151">
        <v>0</v>
      </c>
      <c r="EC22" s="151">
        <v>0</v>
      </c>
      <c r="ED22" s="151">
        <v>4.58</v>
      </c>
      <c r="EE22" s="151">
        <v>112.25</v>
      </c>
      <c r="EF22" s="151">
        <v>37.1</v>
      </c>
      <c r="EG22" s="151">
        <v>137.25</v>
      </c>
      <c r="EH22" s="151">
        <v>0</v>
      </c>
      <c r="EI22" s="151">
        <v>0</v>
      </c>
      <c r="EJ22" s="151">
        <v>0</v>
      </c>
      <c r="EK22" s="151">
        <v>0</v>
      </c>
      <c r="EL22" s="151">
        <v>0</v>
      </c>
      <c r="EM22" s="151">
        <v>0</v>
      </c>
      <c r="EN22" s="151">
        <v>0.65</v>
      </c>
      <c r="EO22" s="151">
        <v>0</v>
      </c>
      <c r="EP22" s="151">
        <v>0.13</v>
      </c>
      <c r="EQ22" s="151">
        <v>0.25</v>
      </c>
      <c r="ER22" s="151">
        <v>0.1</v>
      </c>
      <c r="ES22" s="151">
        <v>0.1</v>
      </c>
      <c r="ET22" s="151">
        <v>0.1</v>
      </c>
      <c r="EU22" s="151">
        <v>0.05</v>
      </c>
      <c r="EV22" s="151">
        <v>0.3</v>
      </c>
      <c r="EW22" s="151">
        <v>0</v>
      </c>
      <c r="EX22" s="151">
        <v>0.9</v>
      </c>
      <c r="EY22" s="151">
        <v>3.37</v>
      </c>
      <c r="EZ22" s="151">
        <v>14.24</v>
      </c>
      <c r="FA22" s="151">
        <v>4.2699999999999996</v>
      </c>
      <c r="FB22" s="151">
        <v>18.510000000000002</v>
      </c>
      <c r="FC22" s="151">
        <v>0.93</v>
      </c>
      <c r="FD22" s="151">
        <v>19.440000000000001</v>
      </c>
      <c r="FE22" s="151">
        <v>20.99</v>
      </c>
      <c r="FF22" s="151">
        <v>21.77</v>
      </c>
      <c r="FG22" s="151">
        <v>3109964.59</v>
      </c>
      <c r="FH22" s="151">
        <v>4664946.8899999997</v>
      </c>
      <c r="FI22" s="151">
        <v>1.56</v>
      </c>
      <c r="FJ22" s="103">
        <v>7.9999999999999932E-2</v>
      </c>
      <c r="FK22" s="151">
        <v>1.56</v>
      </c>
      <c r="FL22" s="103">
        <v>7.9999999999999932E-2</v>
      </c>
      <c r="FM22" s="151">
        <v>2.33</v>
      </c>
      <c r="FN22" s="103">
        <v>0.12000000000000008</v>
      </c>
      <c r="FO22" s="151">
        <v>2.33</v>
      </c>
      <c r="FP22" s="103">
        <v>0.12000000000000008</v>
      </c>
      <c r="FQ22" s="96" t="s">
        <v>77</v>
      </c>
      <c r="FR22" s="96" t="s">
        <v>34</v>
      </c>
      <c r="FS22" s="96" t="s">
        <v>33</v>
      </c>
      <c r="FT22" s="96" t="s">
        <v>38</v>
      </c>
      <c r="FU22" s="96" t="s">
        <v>53</v>
      </c>
      <c r="FV22" s="96" t="s">
        <v>63</v>
      </c>
      <c r="FW22" s="96">
        <v>120</v>
      </c>
      <c r="FX22" s="96">
        <v>50</v>
      </c>
    </row>
    <row r="23" spans="1:180" x14ac:dyDescent="0.35">
      <c r="B23" s="97"/>
      <c r="G23" s="100"/>
      <c r="K23" s="98"/>
      <c r="L23" s="101"/>
      <c r="M23" s="101"/>
      <c r="N23" s="101"/>
      <c r="O23" s="101"/>
      <c r="P23" s="102"/>
      <c r="Q23" s="101"/>
      <c r="R23" s="98"/>
      <c r="S23" s="98"/>
      <c r="T23" s="98"/>
      <c r="U23" s="98"/>
      <c r="V23" s="98"/>
      <c r="W23" s="98"/>
      <c r="X23" s="103"/>
      <c r="Y23" s="103"/>
      <c r="Z23" s="103"/>
      <c r="AA23" s="103"/>
      <c r="AB23" s="103"/>
      <c r="AC23" s="103"/>
      <c r="AD23" s="103"/>
      <c r="AE23" s="101"/>
      <c r="AF23" s="101"/>
      <c r="AG23" s="101"/>
      <c r="AH23" s="101"/>
      <c r="AI23" s="101"/>
      <c r="AJ23" s="101"/>
      <c r="AK23" s="101"/>
      <c r="AL23" s="103"/>
      <c r="AM23" s="103"/>
      <c r="AN23" s="103"/>
      <c r="AO23" s="103"/>
      <c r="AP23" s="103"/>
      <c r="AQ23" s="103"/>
      <c r="AR23" s="103"/>
      <c r="AS23" s="101"/>
      <c r="AT23" s="101"/>
      <c r="AU23" s="101"/>
      <c r="AV23" s="101"/>
      <c r="AW23" s="101"/>
      <c r="AX23" s="101"/>
      <c r="AY23" s="101"/>
      <c r="AZ23" s="103"/>
      <c r="BA23" s="103"/>
      <c r="BB23" s="103"/>
      <c r="BC23" s="101"/>
      <c r="BD23" s="101"/>
      <c r="BE23" s="101"/>
      <c r="BF23" s="101"/>
      <c r="BG23" s="101"/>
      <c r="BK23" s="101"/>
      <c r="BL23" s="101"/>
      <c r="BM23" s="101"/>
      <c r="BN23" s="101"/>
      <c r="BO23" s="101"/>
      <c r="BP23" s="101"/>
      <c r="BQ23" s="101"/>
      <c r="BR23" s="104"/>
      <c r="BS23" s="104"/>
      <c r="BT23" s="104"/>
      <c r="BU23" s="104"/>
      <c r="BV23" s="104"/>
      <c r="BW23" s="104"/>
      <c r="BX23" s="104"/>
      <c r="BY23" s="104"/>
      <c r="BZ23" s="104"/>
      <c r="CA23" s="104"/>
      <c r="CB23" s="104"/>
      <c r="CC23" s="104"/>
      <c r="CD23" s="104"/>
      <c r="CE23" s="104"/>
      <c r="CF23" s="104"/>
      <c r="CG23" s="104"/>
      <c r="CH23" s="104"/>
      <c r="CI23" s="104"/>
      <c r="CJ23" s="104"/>
      <c r="CK23" s="104"/>
      <c r="CL23" s="104"/>
      <c r="CM23" s="104"/>
      <c r="CN23" s="98"/>
      <c r="CP23" s="101"/>
      <c r="CQ23" s="101"/>
      <c r="CR23" s="101"/>
      <c r="CS23" s="101"/>
      <c r="CT23" s="101"/>
      <c r="FJ23" s="103"/>
      <c r="FL23" s="103"/>
      <c r="FN23" s="103"/>
      <c r="FP23" s="103"/>
    </row>
    <row r="24" spans="1:180" x14ac:dyDescent="0.35">
      <c r="B24" s="97"/>
      <c r="G24" s="100"/>
      <c r="K24" s="98"/>
      <c r="L24" s="101"/>
      <c r="M24" s="101"/>
      <c r="N24" s="101"/>
      <c r="O24" s="101"/>
      <c r="P24" s="102"/>
      <c r="Q24" s="101"/>
      <c r="R24" s="98"/>
      <c r="S24" s="98"/>
      <c r="T24" s="98"/>
      <c r="U24" s="98"/>
      <c r="V24" s="98"/>
      <c r="W24" s="98"/>
      <c r="X24" s="103"/>
      <c r="Y24" s="103"/>
      <c r="Z24" s="103"/>
      <c r="AA24" s="103"/>
      <c r="AB24" s="103"/>
      <c r="AC24" s="103"/>
      <c r="AD24" s="103"/>
      <c r="AE24" s="101"/>
      <c r="AF24" s="101"/>
      <c r="AG24" s="101"/>
      <c r="AH24" s="101"/>
      <c r="AI24" s="101"/>
      <c r="AJ24" s="101"/>
      <c r="AK24" s="101"/>
      <c r="AL24" s="103"/>
      <c r="AM24" s="103"/>
      <c r="AN24" s="103"/>
      <c r="AO24" s="103"/>
      <c r="AP24" s="103"/>
      <c r="AQ24" s="103"/>
      <c r="AR24" s="103"/>
      <c r="AS24" s="101"/>
      <c r="AT24" s="101"/>
      <c r="AU24" s="101"/>
      <c r="AV24" s="101"/>
      <c r="AW24" s="101"/>
      <c r="AX24" s="101"/>
      <c r="AY24" s="101"/>
      <c r="AZ24" s="103"/>
      <c r="BA24" s="103"/>
      <c r="BB24" s="103"/>
      <c r="BC24" s="101"/>
      <c r="BD24" s="101"/>
      <c r="BE24" s="101"/>
      <c r="BF24" s="101"/>
      <c r="BG24" s="101"/>
      <c r="BK24" s="101"/>
      <c r="BL24" s="101"/>
      <c r="BM24" s="101"/>
      <c r="BN24" s="101"/>
      <c r="BO24" s="101"/>
      <c r="BP24" s="101"/>
      <c r="BQ24" s="101"/>
      <c r="BR24" s="104"/>
      <c r="BS24" s="104"/>
      <c r="BT24" s="104"/>
      <c r="BU24" s="104"/>
      <c r="BV24" s="104"/>
      <c r="BW24" s="104"/>
      <c r="BX24" s="104"/>
      <c r="BY24" s="104"/>
      <c r="BZ24" s="104"/>
      <c r="CA24" s="104"/>
      <c r="CB24" s="104"/>
      <c r="CC24" s="104"/>
      <c r="CD24" s="104"/>
      <c r="CE24" s="104"/>
      <c r="CF24" s="104"/>
      <c r="CG24" s="104"/>
      <c r="CH24" s="104"/>
      <c r="CI24" s="104"/>
      <c r="CJ24" s="104"/>
      <c r="CK24" s="104"/>
      <c r="CL24" s="104"/>
      <c r="CM24" s="104"/>
      <c r="CN24" s="98"/>
      <c r="CP24" s="101"/>
      <c r="CQ24" s="101"/>
      <c r="CR24" s="101"/>
      <c r="CS24" s="101"/>
      <c r="CT24" s="101"/>
      <c r="FJ24" s="103"/>
      <c r="FL24" s="103"/>
      <c r="FN24" s="103"/>
      <c r="FP24" s="103"/>
    </row>
    <row r="25" spans="1:180" x14ac:dyDescent="0.35">
      <c r="B25" s="97"/>
      <c r="G25" s="100"/>
      <c r="K25" s="98"/>
      <c r="L25" s="101"/>
      <c r="M25" s="101"/>
      <c r="N25" s="101"/>
      <c r="O25" s="101"/>
      <c r="P25" s="102"/>
      <c r="Q25" s="101"/>
      <c r="R25" s="98"/>
      <c r="S25" s="98"/>
      <c r="T25" s="98"/>
      <c r="U25" s="98"/>
      <c r="V25" s="98"/>
      <c r="W25" s="98"/>
      <c r="X25" s="103"/>
      <c r="Y25" s="103"/>
      <c r="Z25" s="103"/>
      <c r="AA25" s="103"/>
      <c r="AB25" s="103"/>
      <c r="AC25" s="103"/>
      <c r="AD25" s="103"/>
      <c r="AE25" s="101"/>
      <c r="AF25" s="101"/>
      <c r="AG25" s="101"/>
      <c r="AH25" s="101"/>
      <c r="AI25" s="101"/>
      <c r="AJ25" s="101"/>
      <c r="AK25" s="101"/>
      <c r="AL25" s="103"/>
      <c r="AM25" s="103"/>
      <c r="AN25" s="103"/>
      <c r="AO25" s="103"/>
      <c r="AP25" s="103"/>
      <c r="AQ25" s="103"/>
      <c r="AR25" s="103"/>
      <c r="AS25" s="101"/>
      <c r="AT25" s="101"/>
      <c r="AU25" s="101"/>
      <c r="AV25" s="101"/>
      <c r="AW25" s="101"/>
      <c r="AX25" s="101"/>
      <c r="AY25" s="101"/>
      <c r="AZ25" s="103"/>
      <c r="BA25" s="103"/>
      <c r="BB25" s="103"/>
      <c r="BC25" s="101"/>
      <c r="BD25" s="101"/>
      <c r="BE25" s="101"/>
      <c r="BF25" s="101"/>
      <c r="BG25" s="101"/>
      <c r="BK25" s="101"/>
      <c r="BL25" s="101"/>
      <c r="BM25" s="101"/>
      <c r="BN25" s="101"/>
      <c r="BO25" s="101"/>
      <c r="BP25" s="101"/>
      <c r="BQ25" s="101"/>
      <c r="BR25" s="104"/>
      <c r="BS25" s="104"/>
      <c r="BT25" s="104"/>
      <c r="BU25" s="104"/>
      <c r="BV25" s="104"/>
      <c r="BW25" s="104"/>
      <c r="BX25" s="104"/>
      <c r="BY25" s="104"/>
      <c r="BZ25" s="104"/>
      <c r="CA25" s="104"/>
      <c r="CB25" s="104"/>
      <c r="CC25" s="104"/>
      <c r="CD25" s="104"/>
      <c r="CE25" s="104"/>
      <c r="CF25" s="104"/>
      <c r="CG25" s="104"/>
      <c r="CH25" s="104"/>
      <c r="CI25" s="104"/>
      <c r="CJ25" s="104"/>
      <c r="CK25" s="104"/>
      <c r="CL25" s="104"/>
      <c r="CM25" s="104"/>
      <c r="CN25" s="98"/>
      <c r="CP25" s="101"/>
      <c r="CQ25" s="101"/>
      <c r="CR25" s="101"/>
      <c r="CS25" s="101"/>
      <c r="CT25" s="101"/>
      <c r="FJ25" s="103"/>
      <c r="FL25" s="103"/>
      <c r="FN25" s="103"/>
      <c r="FP25" s="103"/>
    </row>
    <row r="26" spans="1:180" x14ac:dyDescent="0.35">
      <c r="B26" s="97"/>
      <c r="G26" s="100"/>
      <c r="K26" s="98"/>
      <c r="L26" s="101"/>
      <c r="M26" s="101"/>
      <c r="N26" s="101"/>
      <c r="O26" s="101"/>
      <c r="P26" s="102"/>
      <c r="Q26" s="101"/>
      <c r="R26" s="98"/>
      <c r="S26" s="98"/>
      <c r="T26" s="98"/>
      <c r="U26" s="98"/>
      <c r="V26" s="98"/>
      <c r="W26" s="98"/>
      <c r="X26" s="103"/>
      <c r="Y26" s="103"/>
      <c r="Z26" s="103"/>
      <c r="AA26" s="103"/>
      <c r="AB26" s="103"/>
      <c r="AC26" s="103"/>
      <c r="AD26" s="103"/>
      <c r="AE26" s="101"/>
      <c r="AF26" s="101"/>
      <c r="AG26" s="101"/>
      <c r="AH26" s="101"/>
      <c r="AI26" s="101"/>
      <c r="AJ26" s="101"/>
      <c r="AK26" s="101"/>
      <c r="AL26" s="103"/>
      <c r="AM26" s="103"/>
      <c r="AN26" s="103"/>
      <c r="AO26" s="103"/>
      <c r="AP26" s="103"/>
      <c r="AQ26" s="103"/>
      <c r="AR26" s="103"/>
      <c r="AS26" s="101"/>
      <c r="AT26" s="101"/>
      <c r="AU26" s="101"/>
      <c r="AV26" s="101"/>
      <c r="AW26" s="101"/>
      <c r="AX26" s="101"/>
      <c r="AY26" s="101"/>
      <c r="AZ26" s="103"/>
      <c r="BA26" s="103"/>
      <c r="BB26" s="103"/>
      <c r="BC26" s="101"/>
      <c r="BD26" s="101"/>
      <c r="BE26" s="101"/>
      <c r="BF26" s="101"/>
      <c r="BG26" s="101"/>
      <c r="BK26" s="101"/>
      <c r="BL26" s="101"/>
      <c r="BM26" s="101"/>
      <c r="BN26" s="101"/>
      <c r="BO26" s="101"/>
      <c r="BP26" s="101"/>
      <c r="BQ26" s="101"/>
      <c r="BR26" s="104"/>
      <c r="BS26" s="104"/>
      <c r="BT26" s="104"/>
      <c r="BU26" s="104"/>
      <c r="BV26" s="104"/>
      <c r="BW26" s="104"/>
      <c r="BX26" s="104"/>
      <c r="BY26" s="104"/>
      <c r="BZ26" s="104"/>
      <c r="CA26" s="104"/>
      <c r="CB26" s="104"/>
      <c r="CC26" s="104"/>
      <c r="CD26" s="104"/>
      <c r="CE26" s="104"/>
      <c r="CF26" s="104"/>
      <c r="CG26" s="104"/>
      <c r="CH26" s="104"/>
      <c r="CI26" s="104"/>
      <c r="CJ26" s="104"/>
      <c r="CK26" s="104"/>
      <c r="CL26" s="104"/>
      <c r="CM26" s="104"/>
      <c r="CN26" s="98"/>
      <c r="CP26" s="101"/>
      <c r="CQ26" s="101"/>
      <c r="CR26" s="101"/>
      <c r="CS26" s="101"/>
      <c r="CT26" s="101"/>
      <c r="FJ26" s="103"/>
      <c r="FL26" s="103"/>
      <c r="FN26" s="103"/>
      <c r="FP26" s="103"/>
    </row>
    <row r="27" spans="1:180" x14ac:dyDescent="0.35">
      <c r="B27" s="97"/>
      <c r="G27" s="100"/>
      <c r="K27" s="98"/>
      <c r="L27" s="101"/>
      <c r="M27" s="101"/>
      <c r="N27" s="101"/>
      <c r="O27" s="101"/>
      <c r="P27" s="102"/>
      <c r="Q27" s="101"/>
      <c r="R27" s="98"/>
      <c r="S27" s="98"/>
      <c r="T27" s="98"/>
      <c r="U27" s="98"/>
      <c r="V27" s="98"/>
      <c r="W27" s="98"/>
      <c r="X27" s="103"/>
      <c r="Y27" s="103"/>
      <c r="Z27" s="103"/>
      <c r="AA27" s="103"/>
      <c r="AB27" s="103"/>
      <c r="AC27" s="103"/>
      <c r="AD27" s="103"/>
      <c r="AE27" s="101"/>
      <c r="AF27" s="101"/>
      <c r="AG27" s="101"/>
      <c r="AH27" s="101"/>
      <c r="AI27" s="101"/>
      <c r="AJ27" s="101"/>
      <c r="AK27" s="101"/>
      <c r="AL27" s="103"/>
      <c r="AM27" s="103"/>
      <c r="AN27" s="103"/>
      <c r="AO27" s="103"/>
      <c r="AP27" s="103"/>
      <c r="AQ27" s="103"/>
      <c r="AR27" s="103"/>
      <c r="AS27" s="101"/>
      <c r="AT27" s="101"/>
      <c r="AU27" s="101"/>
      <c r="AV27" s="101"/>
      <c r="AW27" s="101"/>
      <c r="AX27" s="101"/>
      <c r="AY27" s="101"/>
      <c r="AZ27" s="103"/>
      <c r="BA27" s="103"/>
      <c r="BB27" s="103"/>
      <c r="BC27" s="101"/>
      <c r="BD27" s="101"/>
      <c r="BE27" s="101"/>
      <c r="BF27" s="101"/>
      <c r="BG27" s="101"/>
      <c r="BK27" s="101"/>
      <c r="BL27" s="101"/>
      <c r="BM27" s="101"/>
      <c r="BN27" s="101"/>
      <c r="BO27" s="101"/>
      <c r="BP27" s="101"/>
      <c r="BQ27" s="101"/>
      <c r="BR27" s="104"/>
      <c r="BS27" s="104"/>
      <c r="BT27" s="104"/>
      <c r="BU27" s="104"/>
      <c r="BV27" s="104"/>
      <c r="BW27" s="104"/>
      <c r="BX27" s="104"/>
      <c r="BY27" s="104"/>
      <c r="BZ27" s="104"/>
      <c r="CA27" s="104"/>
      <c r="CB27" s="104"/>
      <c r="CC27" s="104"/>
      <c r="CD27" s="104"/>
      <c r="CE27" s="104"/>
      <c r="CF27" s="104"/>
      <c r="CG27" s="104"/>
      <c r="CH27" s="104"/>
      <c r="CI27" s="104"/>
      <c r="CJ27" s="104"/>
      <c r="CK27" s="104"/>
      <c r="CL27" s="104"/>
      <c r="CM27" s="104"/>
      <c r="CN27" s="98"/>
      <c r="CP27" s="101"/>
      <c r="CQ27" s="101"/>
      <c r="CR27" s="101"/>
      <c r="CS27" s="101"/>
      <c r="CT27" s="101"/>
      <c r="FJ27" s="103"/>
      <c r="FL27" s="103"/>
      <c r="FN27" s="103"/>
      <c r="FP27" s="103"/>
    </row>
    <row r="28" spans="1:180" x14ac:dyDescent="0.35">
      <c r="B28" s="97"/>
      <c r="G28" s="100"/>
      <c r="K28" s="98"/>
      <c r="L28" s="101"/>
      <c r="M28" s="101"/>
      <c r="N28" s="101"/>
      <c r="O28" s="101"/>
      <c r="P28" s="102"/>
      <c r="Q28" s="101"/>
      <c r="R28" s="98"/>
      <c r="S28" s="98"/>
      <c r="T28" s="98"/>
      <c r="U28" s="98"/>
      <c r="V28" s="98"/>
      <c r="W28" s="98"/>
      <c r="X28" s="103"/>
      <c r="Y28" s="103"/>
      <c r="Z28" s="103"/>
      <c r="AA28" s="103"/>
      <c r="AB28" s="103"/>
      <c r="AC28" s="103"/>
      <c r="AD28" s="103"/>
      <c r="AE28" s="101"/>
      <c r="AF28" s="101"/>
      <c r="AG28" s="101"/>
      <c r="AH28" s="101"/>
      <c r="AI28" s="101"/>
      <c r="AJ28" s="101"/>
      <c r="AK28" s="101"/>
      <c r="AL28" s="103"/>
      <c r="AM28" s="103"/>
      <c r="AN28" s="103"/>
      <c r="AO28" s="103"/>
      <c r="AP28" s="103"/>
      <c r="AQ28" s="103"/>
      <c r="AR28" s="103"/>
      <c r="AS28" s="101"/>
      <c r="AT28" s="101"/>
      <c r="AU28" s="101"/>
      <c r="AV28" s="101"/>
      <c r="AW28" s="101"/>
      <c r="AX28" s="101"/>
      <c r="AY28" s="101"/>
      <c r="AZ28" s="103"/>
      <c r="BA28" s="103"/>
      <c r="BB28" s="103"/>
      <c r="BC28" s="101"/>
      <c r="BD28" s="101"/>
      <c r="BE28" s="101"/>
      <c r="BF28" s="101"/>
      <c r="BG28" s="101"/>
      <c r="BK28" s="101"/>
      <c r="BL28" s="101"/>
      <c r="BM28" s="101"/>
      <c r="BN28" s="101"/>
      <c r="BO28" s="101"/>
      <c r="BP28" s="101"/>
      <c r="BQ28" s="101"/>
      <c r="BR28" s="104"/>
      <c r="BS28" s="104"/>
      <c r="BT28" s="104"/>
      <c r="BU28" s="104"/>
      <c r="BV28" s="104"/>
      <c r="BW28" s="104"/>
      <c r="BX28" s="104"/>
      <c r="BY28" s="104"/>
      <c r="BZ28" s="104"/>
      <c r="CA28" s="104"/>
      <c r="CB28" s="104"/>
      <c r="CC28" s="104"/>
      <c r="CD28" s="104"/>
      <c r="CE28" s="104"/>
      <c r="CF28" s="104"/>
      <c r="CG28" s="104"/>
      <c r="CH28" s="104"/>
      <c r="CI28" s="104"/>
      <c r="CJ28" s="104"/>
      <c r="CK28" s="104"/>
      <c r="CL28" s="104"/>
      <c r="CM28" s="104"/>
      <c r="CN28" s="98"/>
      <c r="CP28" s="101"/>
      <c r="CQ28" s="101"/>
      <c r="CR28" s="101"/>
      <c r="CS28" s="101"/>
      <c r="CT28" s="101"/>
      <c r="FJ28" s="103"/>
      <c r="FL28" s="103"/>
      <c r="FN28" s="103"/>
      <c r="FP28" s="103"/>
    </row>
    <row r="29" spans="1:180" x14ac:dyDescent="0.35">
      <c r="B29" s="97"/>
      <c r="G29" s="100"/>
      <c r="K29" s="98"/>
      <c r="L29" s="101"/>
      <c r="M29" s="101"/>
      <c r="N29" s="101"/>
      <c r="O29" s="101"/>
      <c r="P29" s="102"/>
      <c r="Q29" s="101"/>
      <c r="R29" s="98"/>
      <c r="S29" s="98"/>
      <c r="T29" s="98"/>
      <c r="U29" s="98"/>
      <c r="V29" s="98"/>
      <c r="W29" s="98"/>
      <c r="X29" s="103"/>
      <c r="Y29" s="103"/>
      <c r="Z29" s="103"/>
      <c r="AA29" s="103"/>
      <c r="AB29" s="103"/>
      <c r="AC29" s="103"/>
      <c r="AD29" s="103"/>
      <c r="AE29" s="101"/>
      <c r="AF29" s="101"/>
      <c r="AG29" s="101"/>
      <c r="AH29" s="101"/>
      <c r="AI29" s="101"/>
      <c r="AJ29" s="101"/>
      <c r="AK29" s="101"/>
      <c r="AL29" s="103"/>
      <c r="AM29" s="103"/>
      <c r="AN29" s="103"/>
      <c r="AO29" s="103"/>
      <c r="AP29" s="103"/>
      <c r="AQ29" s="103"/>
      <c r="AR29" s="103"/>
      <c r="AS29" s="101"/>
      <c r="AT29" s="101"/>
      <c r="AU29" s="101"/>
      <c r="AV29" s="101"/>
      <c r="AW29" s="101"/>
      <c r="AX29" s="101"/>
      <c r="AY29" s="101"/>
      <c r="AZ29" s="103"/>
      <c r="BA29" s="103"/>
      <c r="BB29" s="103"/>
      <c r="BC29" s="101"/>
      <c r="BD29" s="101"/>
      <c r="BE29" s="101"/>
      <c r="BF29" s="101"/>
      <c r="BG29" s="101"/>
      <c r="BK29" s="101"/>
      <c r="BL29" s="101"/>
      <c r="BM29" s="101"/>
      <c r="BN29" s="101"/>
      <c r="BO29" s="101"/>
      <c r="BP29" s="101"/>
      <c r="BQ29" s="101"/>
      <c r="BR29" s="104"/>
      <c r="BS29" s="104"/>
      <c r="BT29" s="104"/>
      <c r="BU29" s="104"/>
      <c r="BV29" s="104"/>
      <c r="BW29" s="104"/>
      <c r="BX29" s="104"/>
      <c r="BY29" s="104"/>
      <c r="BZ29" s="104"/>
      <c r="CA29" s="104"/>
      <c r="CB29" s="104"/>
      <c r="CC29" s="104"/>
      <c r="CD29" s="104"/>
      <c r="CE29" s="104"/>
      <c r="CF29" s="104"/>
      <c r="CG29" s="104"/>
      <c r="CH29" s="104"/>
      <c r="CI29" s="104"/>
      <c r="CJ29" s="104"/>
      <c r="CK29" s="104"/>
      <c r="CL29" s="104"/>
      <c r="CM29" s="104"/>
      <c r="CN29" s="98"/>
      <c r="CP29" s="101"/>
      <c r="CQ29" s="101"/>
      <c r="CR29" s="101"/>
      <c r="CS29" s="101"/>
      <c r="CT29" s="101"/>
      <c r="FJ29" s="103"/>
      <c r="FL29" s="103"/>
      <c r="FN29" s="103"/>
      <c r="FP29" s="103"/>
    </row>
    <row r="30" spans="1:180" x14ac:dyDescent="0.35">
      <c r="B30" s="97"/>
      <c r="G30" s="100"/>
      <c r="K30" s="98"/>
      <c r="L30" s="101"/>
      <c r="M30" s="101"/>
      <c r="N30" s="101"/>
      <c r="O30" s="101"/>
      <c r="P30" s="102"/>
      <c r="Q30" s="101"/>
      <c r="R30" s="98"/>
      <c r="S30" s="98"/>
      <c r="T30" s="98"/>
      <c r="U30" s="98"/>
      <c r="V30" s="98"/>
      <c r="W30" s="98"/>
      <c r="X30" s="103"/>
      <c r="Y30" s="103"/>
      <c r="Z30" s="103"/>
      <c r="AA30" s="103"/>
      <c r="AB30" s="103"/>
      <c r="AC30" s="103"/>
      <c r="AD30" s="103"/>
      <c r="AE30" s="101"/>
      <c r="AF30" s="101"/>
      <c r="AG30" s="101"/>
      <c r="AH30" s="101"/>
      <c r="AI30" s="101"/>
      <c r="AJ30" s="101"/>
      <c r="AK30" s="101"/>
      <c r="AL30" s="103"/>
      <c r="AM30" s="103"/>
      <c r="AN30" s="103"/>
      <c r="AO30" s="103"/>
      <c r="AP30" s="103"/>
      <c r="AQ30" s="103"/>
      <c r="AR30" s="103"/>
      <c r="AS30" s="101"/>
      <c r="AT30" s="101"/>
      <c r="AU30" s="101"/>
      <c r="AV30" s="101"/>
      <c r="AW30" s="101"/>
      <c r="AX30" s="101"/>
      <c r="AY30" s="101"/>
      <c r="AZ30" s="103"/>
      <c r="BA30" s="103"/>
      <c r="BB30" s="103"/>
      <c r="BC30" s="101"/>
      <c r="BD30" s="101"/>
      <c r="BE30" s="101"/>
      <c r="BF30" s="101"/>
      <c r="BG30" s="101"/>
      <c r="BK30" s="101"/>
      <c r="BL30" s="101"/>
      <c r="BM30" s="101"/>
      <c r="BN30" s="101"/>
      <c r="BO30" s="101"/>
      <c r="BP30" s="101"/>
      <c r="BQ30" s="101"/>
      <c r="BR30" s="104"/>
      <c r="BS30" s="104"/>
      <c r="BT30" s="104"/>
      <c r="BU30" s="104"/>
      <c r="BV30" s="104"/>
      <c r="BW30" s="104"/>
      <c r="BX30" s="104"/>
      <c r="BY30" s="104"/>
      <c r="BZ30" s="104"/>
      <c r="CA30" s="104"/>
      <c r="CB30" s="104"/>
      <c r="CC30" s="104"/>
      <c r="CD30" s="104"/>
      <c r="CE30" s="104"/>
      <c r="CF30" s="104"/>
      <c r="CG30" s="104"/>
      <c r="CH30" s="104"/>
      <c r="CI30" s="104"/>
      <c r="CJ30" s="104"/>
      <c r="CK30" s="104"/>
      <c r="CL30" s="104"/>
      <c r="CM30" s="104"/>
      <c r="CN30" s="98"/>
      <c r="CP30" s="101"/>
      <c r="CQ30" s="101"/>
      <c r="CR30" s="101"/>
      <c r="CS30" s="101"/>
      <c r="CT30" s="101"/>
      <c r="FJ30" s="103"/>
      <c r="FL30" s="103"/>
      <c r="FN30" s="103"/>
      <c r="FP30" s="103"/>
    </row>
    <row r="31" spans="1:180" x14ac:dyDescent="0.35">
      <c r="B31" s="97"/>
      <c r="G31" s="100"/>
      <c r="K31" s="98"/>
      <c r="L31" s="101"/>
      <c r="M31" s="101"/>
      <c r="N31" s="101"/>
      <c r="O31" s="101"/>
      <c r="P31" s="102"/>
      <c r="Q31" s="101"/>
      <c r="R31" s="98"/>
      <c r="S31" s="98"/>
      <c r="T31" s="98"/>
      <c r="U31" s="98"/>
      <c r="V31" s="98"/>
      <c r="W31" s="98"/>
      <c r="X31" s="103"/>
      <c r="Y31" s="103"/>
      <c r="Z31" s="103"/>
      <c r="AA31" s="103"/>
      <c r="AB31" s="103"/>
      <c r="AC31" s="103"/>
      <c r="AD31" s="103"/>
      <c r="AE31" s="101"/>
      <c r="AF31" s="101"/>
      <c r="AG31" s="101"/>
      <c r="AH31" s="101"/>
      <c r="AI31" s="101"/>
      <c r="AJ31" s="101"/>
      <c r="AK31" s="101"/>
      <c r="AL31" s="103"/>
      <c r="AM31" s="103"/>
      <c r="AN31" s="103"/>
      <c r="AO31" s="103"/>
      <c r="AP31" s="103"/>
      <c r="AQ31" s="103"/>
      <c r="AR31" s="103"/>
      <c r="AS31" s="101"/>
      <c r="AT31" s="101"/>
      <c r="AU31" s="101"/>
      <c r="AV31" s="101"/>
      <c r="AW31" s="101"/>
      <c r="AX31" s="101"/>
      <c r="AY31" s="101"/>
      <c r="AZ31" s="103"/>
      <c r="BA31" s="103"/>
      <c r="BB31" s="103"/>
      <c r="BC31" s="101"/>
      <c r="BD31" s="101"/>
      <c r="BE31" s="101"/>
      <c r="BF31" s="101"/>
      <c r="BG31" s="101"/>
      <c r="BK31" s="101"/>
      <c r="BL31" s="101"/>
      <c r="BM31" s="101"/>
      <c r="BN31" s="101"/>
      <c r="BO31" s="101"/>
      <c r="BP31" s="101"/>
      <c r="BQ31" s="101"/>
      <c r="BR31" s="104"/>
      <c r="BS31" s="104"/>
      <c r="BT31" s="104"/>
      <c r="BU31" s="104"/>
      <c r="BV31" s="104"/>
      <c r="BW31" s="104"/>
      <c r="BX31" s="104"/>
      <c r="BY31" s="104"/>
      <c r="BZ31" s="104"/>
      <c r="CA31" s="104"/>
      <c r="CB31" s="104"/>
      <c r="CC31" s="104"/>
      <c r="CD31" s="104"/>
      <c r="CE31" s="104"/>
      <c r="CF31" s="104"/>
      <c r="CG31" s="104"/>
      <c r="CH31" s="104"/>
      <c r="CI31" s="104"/>
      <c r="CJ31" s="104"/>
      <c r="CK31" s="104"/>
      <c r="CL31" s="104"/>
      <c r="CM31" s="104"/>
      <c r="CN31" s="98"/>
      <c r="CP31" s="101"/>
      <c r="CQ31" s="101"/>
      <c r="CR31" s="101"/>
      <c r="CS31" s="101"/>
      <c r="CT31" s="101"/>
      <c r="FJ31" s="103"/>
      <c r="FL31" s="103"/>
      <c r="FN31" s="103"/>
      <c r="FP31" s="103"/>
    </row>
    <row r="32" spans="1:180" x14ac:dyDescent="0.35">
      <c r="B32" s="97"/>
      <c r="G32" s="100"/>
      <c r="K32" s="98"/>
      <c r="L32" s="101"/>
      <c r="M32" s="101"/>
      <c r="N32" s="101"/>
      <c r="O32" s="101"/>
      <c r="P32" s="102"/>
      <c r="Q32" s="101"/>
      <c r="R32" s="98"/>
      <c r="S32" s="98"/>
      <c r="T32" s="98"/>
      <c r="U32" s="98"/>
      <c r="V32" s="98"/>
      <c r="W32" s="98"/>
      <c r="X32" s="103"/>
      <c r="Y32" s="103"/>
      <c r="Z32" s="103"/>
      <c r="AA32" s="103"/>
      <c r="AB32" s="103"/>
      <c r="AC32" s="103"/>
      <c r="AD32" s="103"/>
      <c r="AE32" s="101"/>
      <c r="AF32" s="101"/>
      <c r="AG32" s="101"/>
      <c r="AH32" s="101"/>
      <c r="AI32" s="101"/>
      <c r="AJ32" s="101"/>
      <c r="AK32" s="101"/>
      <c r="AL32" s="103"/>
      <c r="AM32" s="103"/>
      <c r="AN32" s="103"/>
      <c r="AO32" s="103"/>
      <c r="AP32" s="103"/>
      <c r="AQ32" s="103"/>
      <c r="AR32" s="103"/>
      <c r="AS32" s="101"/>
      <c r="AT32" s="101"/>
      <c r="AU32" s="101"/>
      <c r="AV32" s="101"/>
      <c r="AW32" s="101"/>
      <c r="AX32" s="101"/>
      <c r="AY32" s="101"/>
      <c r="AZ32" s="103"/>
      <c r="BA32" s="103"/>
      <c r="BB32" s="103"/>
      <c r="BC32" s="101"/>
      <c r="BD32" s="101"/>
      <c r="BE32" s="101"/>
      <c r="BF32" s="101"/>
      <c r="BG32" s="101"/>
      <c r="BK32" s="101"/>
      <c r="BL32" s="101"/>
      <c r="BM32" s="101"/>
      <c r="BN32" s="101"/>
      <c r="BO32" s="101"/>
      <c r="BP32" s="101"/>
      <c r="BQ32" s="101"/>
      <c r="BR32" s="104"/>
      <c r="BS32" s="104"/>
      <c r="BT32" s="104"/>
      <c r="BU32" s="104"/>
      <c r="BV32" s="104"/>
      <c r="BW32" s="104"/>
      <c r="BX32" s="104"/>
      <c r="BY32" s="104"/>
      <c r="BZ32" s="104"/>
      <c r="CA32" s="104"/>
      <c r="CB32" s="104"/>
      <c r="CC32" s="104"/>
      <c r="CD32" s="104"/>
      <c r="CE32" s="104"/>
      <c r="CF32" s="104"/>
      <c r="CG32" s="104"/>
      <c r="CH32" s="104"/>
      <c r="CI32" s="104"/>
      <c r="CJ32" s="104"/>
      <c r="CK32" s="104"/>
      <c r="CL32" s="104"/>
      <c r="CM32" s="104"/>
      <c r="CN32" s="98"/>
      <c r="CP32" s="101"/>
      <c r="CQ32" s="101"/>
      <c r="CR32" s="101"/>
      <c r="CS32" s="101"/>
      <c r="CT32" s="101"/>
      <c r="FJ32" s="103"/>
      <c r="FL32" s="103"/>
      <c r="FN32" s="103"/>
      <c r="FP32" s="103"/>
    </row>
    <row r="33" spans="2:172" x14ac:dyDescent="0.35">
      <c r="B33" s="97"/>
      <c r="G33" s="100"/>
      <c r="K33" s="98"/>
      <c r="L33" s="101"/>
      <c r="M33" s="101"/>
      <c r="N33" s="101"/>
      <c r="O33" s="101"/>
      <c r="P33" s="102"/>
      <c r="Q33" s="101"/>
      <c r="R33" s="98"/>
      <c r="S33" s="98"/>
      <c r="T33" s="98"/>
      <c r="U33" s="98"/>
      <c r="V33" s="98"/>
      <c r="W33" s="98"/>
      <c r="X33" s="103"/>
      <c r="Y33" s="103"/>
      <c r="Z33" s="103"/>
      <c r="AA33" s="103"/>
      <c r="AB33" s="103"/>
      <c r="AC33" s="103"/>
      <c r="AD33" s="103"/>
      <c r="AE33" s="101"/>
      <c r="AF33" s="101"/>
      <c r="AG33" s="101"/>
      <c r="AH33" s="101"/>
      <c r="AI33" s="101"/>
      <c r="AJ33" s="101"/>
      <c r="AK33" s="101"/>
      <c r="AL33" s="103"/>
      <c r="AM33" s="103"/>
      <c r="AN33" s="103"/>
      <c r="AO33" s="103"/>
      <c r="AP33" s="103"/>
      <c r="AQ33" s="103"/>
      <c r="AR33" s="103"/>
      <c r="AS33" s="101"/>
      <c r="AT33" s="101"/>
      <c r="AU33" s="101"/>
      <c r="AV33" s="101"/>
      <c r="AW33" s="101"/>
      <c r="AX33" s="101"/>
      <c r="AY33" s="101"/>
      <c r="AZ33" s="103"/>
      <c r="BA33" s="103"/>
      <c r="BB33" s="103"/>
      <c r="BC33" s="101"/>
      <c r="BD33" s="101"/>
      <c r="BE33" s="101"/>
      <c r="BF33" s="101"/>
      <c r="BG33" s="101"/>
      <c r="BK33" s="101"/>
      <c r="BL33" s="101"/>
      <c r="BM33" s="101"/>
      <c r="BN33" s="101"/>
      <c r="BO33" s="101"/>
      <c r="BP33" s="101"/>
      <c r="BQ33" s="101"/>
      <c r="BR33" s="104"/>
      <c r="BS33" s="104"/>
      <c r="BT33" s="104"/>
      <c r="BU33" s="104"/>
      <c r="BV33" s="104"/>
      <c r="BW33" s="104"/>
      <c r="BX33" s="104"/>
      <c r="BY33" s="104"/>
      <c r="BZ33" s="104"/>
      <c r="CA33" s="104"/>
      <c r="CB33" s="104"/>
      <c r="CC33" s="104"/>
      <c r="CD33" s="104"/>
      <c r="CE33" s="104"/>
      <c r="CF33" s="104"/>
      <c r="CG33" s="104"/>
      <c r="CH33" s="104"/>
      <c r="CI33" s="104"/>
      <c r="CJ33" s="104"/>
      <c r="CK33" s="104"/>
      <c r="CL33" s="104"/>
      <c r="CM33" s="104"/>
      <c r="CN33" s="98"/>
      <c r="CP33" s="101"/>
      <c r="CQ33" s="101"/>
      <c r="CR33" s="101"/>
      <c r="CS33" s="101"/>
      <c r="CT33" s="101"/>
      <c r="FJ33" s="103"/>
      <c r="FL33" s="103"/>
      <c r="FN33" s="103"/>
      <c r="FP33" s="103"/>
    </row>
    <row r="34" spans="2:172" x14ac:dyDescent="0.35">
      <c r="B34" s="97"/>
      <c r="G34" s="100"/>
      <c r="K34" s="98"/>
      <c r="L34" s="101"/>
      <c r="M34" s="101"/>
      <c r="N34" s="101"/>
      <c r="O34" s="101"/>
      <c r="P34" s="102"/>
      <c r="Q34" s="101"/>
      <c r="R34" s="98"/>
      <c r="S34" s="98"/>
      <c r="T34" s="98"/>
      <c r="U34" s="98"/>
      <c r="V34" s="98"/>
      <c r="W34" s="98"/>
      <c r="X34" s="103"/>
      <c r="Y34" s="103"/>
      <c r="Z34" s="103"/>
      <c r="AA34" s="103"/>
      <c r="AB34" s="103"/>
      <c r="AC34" s="103"/>
      <c r="AD34" s="103"/>
      <c r="AE34" s="101"/>
      <c r="AF34" s="101"/>
      <c r="AG34" s="101"/>
      <c r="AH34" s="101"/>
      <c r="AI34" s="101"/>
      <c r="AJ34" s="101"/>
      <c r="AK34" s="101"/>
      <c r="AL34" s="103"/>
      <c r="AM34" s="103"/>
      <c r="AN34" s="103"/>
      <c r="AO34" s="103"/>
      <c r="AP34" s="103"/>
      <c r="AQ34" s="103"/>
      <c r="AR34" s="103"/>
      <c r="AS34" s="101"/>
      <c r="AT34" s="101"/>
      <c r="AU34" s="101"/>
      <c r="AV34" s="101"/>
      <c r="AW34" s="101"/>
      <c r="AX34" s="101"/>
      <c r="AY34" s="101"/>
      <c r="AZ34" s="103"/>
      <c r="BA34" s="103"/>
      <c r="BB34" s="103"/>
      <c r="BC34" s="101"/>
      <c r="BD34" s="101"/>
      <c r="BE34" s="101"/>
      <c r="BF34" s="101"/>
      <c r="BG34" s="101"/>
      <c r="BK34" s="101"/>
      <c r="BL34" s="101"/>
      <c r="BM34" s="101"/>
      <c r="BN34" s="101"/>
      <c r="BO34" s="101"/>
      <c r="BP34" s="101"/>
      <c r="BQ34" s="101"/>
      <c r="BR34" s="104"/>
      <c r="BS34" s="104"/>
      <c r="BT34" s="104"/>
      <c r="BU34" s="104"/>
      <c r="BV34" s="104"/>
      <c r="BW34" s="104"/>
      <c r="BX34" s="104"/>
      <c r="BY34" s="104"/>
      <c r="BZ34" s="104"/>
      <c r="CA34" s="104"/>
      <c r="CB34" s="104"/>
      <c r="CC34" s="104"/>
      <c r="CD34" s="104"/>
      <c r="CE34" s="104"/>
      <c r="CF34" s="104"/>
      <c r="CG34" s="104"/>
      <c r="CH34" s="104"/>
      <c r="CI34" s="104"/>
      <c r="CJ34" s="104"/>
      <c r="CK34" s="104"/>
      <c r="CL34" s="104"/>
      <c r="CM34" s="104"/>
      <c r="CN34" s="98"/>
      <c r="CP34" s="101"/>
      <c r="CQ34" s="101"/>
      <c r="CR34" s="101"/>
      <c r="CS34" s="101"/>
      <c r="CT34" s="101"/>
      <c r="FJ34" s="103"/>
      <c r="FL34" s="103"/>
      <c r="FN34" s="103"/>
      <c r="FP34" s="103"/>
    </row>
    <row r="35" spans="2:172" x14ac:dyDescent="0.35">
      <c r="B35" s="97"/>
      <c r="G35" s="100"/>
      <c r="K35" s="98"/>
      <c r="L35" s="101"/>
      <c r="M35" s="101"/>
      <c r="N35" s="101"/>
      <c r="O35" s="101"/>
      <c r="P35" s="102"/>
      <c r="Q35" s="101"/>
      <c r="R35" s="98"/>
      <c r="S35" s="98"/>
      <c r="T35" s="98"/>
      <c r="U35" s="98"/>
      <c r="V35" s="98"/>
      <c r="W35" s="98"/>
      <c r="X35" s="103"/>
      <c r="Y35" s="103"/>
      <c r="Z35" s="103"/>
      <c r="AA35" s="103"/>
      <c r="AB35" s="103"/>
      <c r="AC35" s="103"/>
      <c r="AD35" s="103"/>
      <c r="AE35" s="101"/>
      <c r="AF35" s="101"/>
      <c r="AG35" s="101"/>
      <c r="AH35" s="101"/>
      <c r="AI35" s="101"/>
      <c r="AJ35" s="101"/>
      <c r="AK35" s="101"/>
      <c r="AL35" s="103"/>
      <c r="AM35" s="103"/>
      <c r="AN35" s="103"/>
      <c r="AO35" s="103"/>
      <c r="AP35" s="103"/>
      <c r="AQ35" s="103"/>
      <c r="AR35" s="103"/>
      <c r="AS35" s="101"/>
      <c r="AT35" s="101"/>
      <c r="AU35" s="101"/>
      <c r="AV35" s="101"/>
      <c r="AW35" s="101"/>
      <c r="AX35" s="101"/>
      <c r="AY35" s="101"/>
      <c r="AZ35" s="103"/>
      <c r="BA35" s="103"/>
      <c r="BB35" s="103"/>
      <c r="BC35" s="101"/>
      <c r="BD35" s="101"/>
      <c r="BE35" s="101"/>
      <c r="BF35" s="101"/>
      <c r="BG35" s="101"/>
      <c r="BK35" s="101"/>
      <c r="BL35" s="101"/>
      <c r="BM35" s="101"/>
      <c r="BN35" s="101"/>
      <c r="BO35" s="101"/>
      <c r="BP35" s="101"/>
      <c r="BQ35" s="101"/>
      <c r="BR35" s="104"/>
      <c r="BS35" s="104"/>
      <c r="BT35" s="104"/>
      <c r="BU35" s="104"/>
      <c r="BV35" s="104"/>
      <c r="BW35" s="104"/>
      <c r="BX35" s="104"/>
      <c r="BY35" s="104"/>
      <c r="BZ35" s="104"/>
      <c r="CA35" s="104"/>
      <c r="CB35" s="104"/>
      <c r="CC35" s="104"/>
      <c r="CD35" s="104"/>
      <c r="CE35" s="104"/>
      <c r="CF35" s="104"/>
      <c r="CG35" s="104"/>
      <c r="CH35" s="104"/>
      <c r="CI35" s="104"/>
      <c r="CJ35" s="104"/>
      <c r="CK35" s="104"/>
      <c r="CL35" s="104"/>
      <c r="CM35" s="104"/>
      <c r="CN35" s="98"/>
      <c r="CP35" s="101"/>
      <c r="CQ35" s="101"/>
      <c r="CR35" s="101"/>
      <c r="CS35" s="101"/>
      <c r="CT35" s="101"/>
      <c r="FJ35" s="103"/>
      <c r="FL35" s="103"/>
      <c r="FN35" s="103"/>
      <c r="FP35" s="103"/>
    </row>
    <row r="36" spans="2:172" x14ac:dyDescent="0.35">
      <c r="B36" s="97"/>
      <c r="G36" s="100"/>
      <c r="K36" s="98"/>
      <c r="L36" s="101"/>
      <c r="M36" s="101"/>
      <c r="N36" s="101"/>
      <c r="O36" s="101"/>
      <c r="P36" s="102"/>
      <c r="Q36" s="101"/>
      <c r="R36" s="98"/>
      <c r="S36" s="98"/>
      <c r="T36" s="98"/>
      <c r="U36" s="98"/>
      <c r="V36" s="98"/>
      <c r="W36" s="98"/>
      <c r="X36" s="103"/>
      <c r="Y36" s="103"/>
      <c r="Z36" s="103"/>
      <c r="AA36" s="103"/>
      <c r="AB36" s="103"/>
      <c r="AC36" s="103"/>
      <c r="AD36" s="103"/>
      <c r="AE36" s="101"/>
      <c r="AF36" s="101"/>
      <c r="AG36" s="101"/>
      <c r="AH36" s="101"/>
      <c r="AI36" s="101"/>
      <c r="AJ36" s="101"/>
      <c r="AK36" s="101"/>
      <c r="AL36" s="103"/>
      <c r="AM36" s="103"/>
      <c r="AN36" s="103"/>
      <c r="AO36" s="103"/>
      <c r="AP36" s="103"/>
      <c r="AQ36" s="103"/>
      <c r="AR36" s="103"/>
      <c r="AS36" s="101"/>
      <c r="AT36" s="101"/>
      <c r="AU36" s="101"/>
      <c r="AV36" s="101"/>
      <c r="AW36" s="101"/>
      <c r="AX36" s="101"/>
      <c r="AY36" s="101"/>
      <c r="AZ36" s="103"/>
      <c r="BA36" s="103"/>
      <c r="BB36" s="103"/>
      <c r="BC36" s="101"/>
      <c r="BD36" s="101"/>
      <c r="BE36" s="101"/>
      <c r="BF36" s="101"/>
      <c r="BG36" s="101"/>
      <c r="BK36" s="101"/>
      <c r="BL36" s="101"/>
      <c r="BM36" s="101"/>
      <c r="BN36" s="101"/>
      <c r="BO36" s="101"/>
      <c r="BP36" s="101"/>
      <c r="BQ36" s="101"/>
      <c r="BR36" s="104"/>
      <c r="BS36" s="104"/>
      <c r="BT36" s="104"/>
      <c r="BU36" s="104"/>
      <c r="BV36" s="104"/>
      <c r="BW36" s="104"/>
      <c r="BX36" s="104"/>
      <c r="BY36" s="104"/>
      <c r="BZ36" s="104"/>
      <c r="CA36" s="104"/>
      <c r="CB36" s="104"/>
      <c r="CC36" s="104"/>
      <c r="CD36" s="104"/>
      <c r="CE36" s="104"/>
      <c r="CF36" s="104"/>
      <c r="CG36" s="104"/>
      <c r="CH36" s="104"/>
      <c r="CI36" s="104"/>
      <c r="CJ36" s="104"/>
      <c r="CK36" s="104"/>
      <c r="CL36" s="104"/>
      <c r="CM36" s="104"/>
      <c r="CN36" s="98"/>
      <c r="CP36" s="101"/>
      <c r="CQ36" s="101"/>
      <c r="CR36" s="101"/>
      <c r="CS36" s="101"/>
      <c r="CT36" s="101"/>
      <c r="FJ36" s="103"/>
      <c r="FL36" s="103"/>
      <c r="FN36" s="103"/>
      <c r="FP36" s="103"/>
    </row>
    <row r="37" spans="2:172" x14ac:dyDescent="0.35">
      <c r="B37" s="97"/>
      <c r="G37" s="100"/>
      <c r="K37" s="98"/>
      <c r="L37" s="101"/>
      <c r="M37" s="101"/>
      <c r="N37" s="101"/>
      <c r="O37" s="101"/>
      <c r="P37" s="102"/>
      <c r="Q37" s="101"/>
      <c r="R37" s="98"/>
      <c r="S37" s="98"/>
      <c r="T37" s="98"/>
      <c r="U37" s="98"/>
      <c r="V37" s="98"/>
      <c r="W37" s="98"/>
      <c r="X37" s="103"/>
      <c r="Y37" s="103"/>
      <c r="Z37" s="103"/>
      <c r="AA37" s="103"/>
      <c r="AB37" s="103"/>
      <c r="AC37" s="103"/>
      <c r="AD37" s="103"/>
      <c r="AE37" s="101"/>
      <c r="AF37" s="101"/>
      <c r="AG37" s="101"/>
      <c r="AH37" s="101"/>
      <c r="AI37" s="101"/>
      <c r="AJ37" s="101"/>
      <c r="AK37" s="101"/>
      <c r="AL37" s="103"/>
      <c r="AM37" s="103"/>
      <c r="AN37" s="103"/>
      <c r="AO37" s="103"/>
      <c r="AP37" s="103"/>
      <c r="AQ37" s="103"/>
      <c r="AR37" s="103"/>
      <c r="AS37" s="101"/>
      <c r="AT37" s="101"/>
      <c r="AU37" s="101"/>
      <c r="AV37" s="101"/>
      <c r="AW37" s="101"/>
      <c r="AX37" s="101"/>
      <c r="AY37" s="101"/>
      <c r="AZ37" s="103"/>
      <c r="BA37" s="103"/>
      <c r="BB37" s="103"/>
      <c r="BC37" s="101"/>
      <c r="BD37" s="101"/>
      <c r="BE37" s="101"/>
      <c r="BF37" s="101"/>
      <c r="BG37" s="101"/>
      <c r="BK37" s="101"/>
      <c r="BL37" s="101"/>
      <c r="BM37" s="101"/>
      <c r="BN37" s="101"/>
      <c r="BO37" s="101"/>
      <c r="BP37" s="101"/>
      <c r="BQ37" s="101"/>
      <c r="BR37" s="104"/>
      <c r="BS37" s="104"/>
      <c r="BT37" s="104"/>
      <c r="BU37" s="104"/>
      <c r="BV37" s="104"/>
      <c r="BW37" s="104"/>
      <c r="BX37" s="104"/>
      <c r="BY37" s="104"/>
      <c r="BZ37" s="104"/>
      <c r="CA37" s="104"/>
      <c r="CB37" s="104"/>
      <c r="CC37" s="104"/>
      <c r="CD37" s="104"/>
      <c r="CE37" s="104"/>
      <c r="CF37" s="104"/>
      <c r="CG37" s="104"/>
      <c r="CH37" s="104"/>
      <c r="CI37" s="104"/>
      <c r="CJ37" s="104"/>
      <c r="CK37" s="104"/>
      <c r="CL37" s="104"/>
      <c r="CM37" s="104"/>
      <c r="CN37" s="98"/>
      <c r="CP37" s="101"/>
      <c r="CQ37" s="101"/>
      <c r="CR37" s="101"/>
      <c r="CS37" s="101"/>
      <c r="CT37" s="101"/>
      <c r="FJ37" s="103"/>
      <c r="FL37" s="103"/>
      <c r="FN37" s="103"/>
      <c r="FP37" s="103"/>
    </row>
    <row r="38" spans="2:172" x14ac:dyDescent="0.35">
      <c r="B38" s="97"/>
      <c r="G38" s="100"/>
      <c r="K38" s="98"/>
      <c r="L38" s="101"/>
      <c r="M38" s="101"/>
      <c r="N38" s="101"/>
      <c r="O38" s="101"/>
      <c r="P38" s="102"/>
      <c r="Q38" s="101"/>
      <c r="R38" s="98"/>
      <c r="S38" s="98"/>
      <c r="T38" s="98"/>
      <c r="U38" s="98"/>
      <c r="V38" s="98"/>
      <c r="W38" s="98"/>
      <c r="X38" s="103"/>
      <c r="Y38" s="103"/>
      <c r="Z38" s="103"/>
      <c r="AA38" s="103"/>
      <c r="AB38" s="103"/>
      <c r="AC38" s="103"/>
      <c r="AD38" s="103"/>
      <c r="AE38" s="101"/>
      <c r="AF38" s="101"/>
      <c r="AG38" s="101"/>
      <c r="AH38" s="101"/>
      <c r="AI38" s="101"/>
      <c r="AJ38" s="101"/>
      <c r="AK38" s="101"/>
      <c r="AL38" s="103"/>
      <c r="AM38" s="103"/>
      <c r="AN38" s="103"/>
      <c r="AO38" s="103"/>
      <c r="AP38" s="103"/>
      <c r="AQ38" s="103"/>
      <c r="AR38" s="103"/>
      <c r="AS38" s="101"/>
      <c r="AT38" s="101"/>
      <c r="AU38" s="101"/>
      <c r="AV38" s="101"/>
      <c r="AW38" s="101"/>
      <c r="AX38" s="101"/>
      <c r="AY38" s="101"/>
      <c r="AZ38" s="103"/>
      <c r="BA38" s="103"/>
      <c r="BB38" s="103"/>
      <c r="BC38" s="101"/>
      <c r="BD38" s="101"/>
      <c r="BE38" s="101"/>
      <c r="BF38" s="101"/>
      <c r="BG38" s="101"/>
      <c r="BK38" s="101"/>
      <c r="BL38" s="101"/>
      <c r="BM38" s="101"/>
      <c r="BN38" s="101"/>
      <c r="BO38" s="101"/>
      <c r="BP38" s="101"/>
      <c r="BQ38" s="101"/>
      <c r="BR38" s="104"/>
      <c r="BS38" s="104"/>
      <c r="BT38" s="104"/>
      <c r="BU38" s="104"/>
      <c r="BV38" s="104"/>
      <c r="BW38" s="104"/>
      <c r="BX38" s="104"/>
      <c r="BY38" s="104"/>
      <c r="BZ38" s="104"/>
      <c r="CA38" s="104"/>
      <c r="CB38" s="104"/>
      <c r="CC38" s="104"/>
      <c r="CD38" s="104"/>
      <c r="CE38" s="104"/>
      <c r="CF38" s="104"/>
      <c r="CG38" s="104"/>
      <c r="CH38" s="104"/>
      <c r="CI38" s="104"/>
      <c r="CJ38" s="104"/>
      <c r="CK38" s="104"/>
      <c r="CL38" s="104"/>
      <c r="CM38" s="104"/>
      <c r="CN38" s="98"/>
      <c r="CP38" s="101"/>
      <c r="CQ38" s="101"/>
      <c r="CR38" s="101"/>
      <c r="CS38" s="101"/>
      <c r="CT38" s="101"/>
      <c r="FJ38" s="103"/>
      <c r="FL38" s="103"/>
      <c r="FN38" s="103"/>
      <c r="FP38" s="103"/>
    </row>
    <row r="39" spans="2:172" x14ac:dyDescent="0.35">
      <c r="B39" s="97"/>
      <c r="G39" s="100"/>
      <c r="K39" s="98"/>
      <c r="L39" s="101"/>
      <c r="M39" s="101"/>
      <c r="N39" s="101"/>
      <c r="O39" s="101"/>
      <c r="P39" s="102"/>
      <c r="Q39" s="101"/>
      <c r="R39" s="98"/>
      <c r="S39" s="98"/>
      <c r="T39" s="98"/>
      <c r="U39" s="98"/>
      <c r="V39" s="98"/>
      <c r="W39" s="98"/>
      <c r="X39" s="103"/>
      <c r="Y39" s="103"/>
      <c r="Z39" s="103"/>
      <c r="AA39" s="103"/>
      <c r="AB39" s="103"/>
      <c r="AC39" s="103"/>
      <c r="AD39" s="103"/>
      <c r="AE39" s="101"/>
      <c r="AF39" s="101"/>
      <c r="AG39" s="101"/>
      <c r="AH39" s="101"/>
      <c r="AI39" s="101"/>
      <c r="AJ39" s="101"/>
      <c r="AK39" s="101"/>
      <c r="AL39" s="103"/>
      <c r="AM39" s="103"/>
      <c r="AN39" s="103"/>
      <c r="AO39" s="103"/>
      <c r="AP39" s="103"/>
      <c r="AQ39" s="103"/>
      <c r="AR39" s="103"/>
      <c r="AS39" s="101"/>
      <c r="AT39" s="101"/>
      <c r="AU39" s="101"/>
      <c r="AV39" s="101"/>
      <c r="AW39" s="101"/>
      <c r="AX39" s="101"/>
      <c r="AY39" s="101"/>
      <c r="AZ39" s="103"/>
      <c r="BA39" s="103"/>
      <c r="BB39" s="103"/>
      <c r="BC39" s="101"/>
      <c r="BD39" s="101"/>
      <c r="BE39" s="101"/>
      <c r="BF39" s="101"/>
      <c r="BG39" s="101"/>
      <c r="BK39" s="101"/>
      <c r="BL39" s="101"/>
      <c r="BM39" s="101"/>
      <c r="BN39" s="101"/>
      <c r="BO39" s="101"/>
      <c r="BP39" s="101"/>
      <c r="BQ39" s="101"/>
      <c r="BR39" s="104"/>
      <c r="BS39" s="104"/>
      <c r="BT39" s="104"/>
      <c r="BU39" s="104"/>
      <c r="BV39" s="104"/>
      <c r="BW39" s="104"/>
      <c r="BX39" s="104"/>
      <c r="BY39" s="104"/>
      <c r="BZ39" s="104"/>
      <c r="CA39" s="104"/>
      <c r="CB39" s="104"/>
      <c r="CC39" s="104"/>
      <c r="CD39" s="104"/>
      <c r="CE39" s="104"/>
      <c r="CF39" s="104"/>
      <c r="CG39" s="104"/>
      <c r="CH39" s="104"/>
      <c r="CI39" s="104"/>
      <c r="CJ39" s="104"/>
      <c r="CK39" s="104"/>
      <c r="CL39" s="104"/>
      <c r="CM39" s="104"/>
      <c r="CN39" s="98"/>
      <c r="CP39" s="101"/>
      <c r="CQ39" s="101"/>
      <c r="CR39" s="101"/>
      <c r="CS39" s="101"/>
      <c r="CT39" s="101"/>
      <c r="FJ39" s="103"/>
      <c r="FL39" s="103"/>
      <c r="FN39" s="103"/>
      <c r="FP39" s="103"/>
    </row>
    <row r="40" spans="2:172" x14ac:dyDescent="0.35">
      <c r="B40" s="97"/>
      <c r="G40" s="100"/>
      <c r="K40" s="98"/>
      <c r="L40" s="101"/>
      <c r="M40" s="101"/>
      <c r="N40" s="101"/>
      <c r="O40" s="101"/>
      <c r="P40" s="102"/>
      <c r="Q40" s="101"/>
      <c r="R40" s="98"/>
      <c r="S40" s="98"/>
      <c r="T40" s="98"/>
      <c r="U40" s="98"/>
      <c r="V40" s="98"/>
      <c r="W40" s="98"/>
      <c r="X40" s="103"/>
      <c r="Y40" s="103"/>
      <c r="Z40" s="103"/>
      <c r="AA40" s="103"/>
      <c r="AB40" s="103"/>
      <c r="AC40" s="103"/>
      <c r="AD40" s="103"/>
      <c r="AE40" s="101"/>
      <c r="AF40" s="101"/>
      <c r="AG40" s="101"/>
      <c r="AH40" s="101"/>
      <c r="AI40" s="101"/>
      <c r="AJ40" s="101"/>
      <c r="AK40" s="101"/>
      <c r="AL40" s="103"/>
      <c r="AM40" s="103"/>
      <c r="AN40" s="103"/>
      <c r="AO40" s="103"/>
      <c r="AP40" s="103"/>
      <c r="AQ40" s="103"/>
      <c r="AR40" s="103"/>
      <c r="AS40" s="101"/>
      <c r="AT40" s="101"/>
      <c r="AU40" s="101"/>
      <c r="AV40" s="101"/>
      <c r="AW40" s="101"/>
      <c r="AX40" s="101"/>
      <c r="AY40" s="101"/>
      <c r="AZ40" s="103"/>
      <c r="BA40" s="103"/>
      <c r="BB40" s="103"/>
      <c r="BC40" s="101"/>
      <c r="BD40" s="101"/>
      <c r="BE40" s="101"/>
      <c r="BF40" s="101"/>
      <c r="BG40" s="101"/>
      <c r="BK40" s="101"/>
      <c r="BL40" s="101"/>
      <c r="BM40" s="101"/>
      <c r="BN40" s="101"/>
      <c r="BO40" s="101"/>
      <c r="BP40" s="101"/>
      <c r="BQ40" s="101"/>
      <c r="BR40" s="104"/>
      <c r="BS40" s="104"/>
      <c r="BT40" s="104"/>
      <c r="BU40" s="104"/>
      <c r="BV40" s="104"/>
      <c r="BW40" s="104"/>
      <c r="BX40" s="104"/>
      <c r="BY40" s="104"/>
      <c r="BZ40" s="104"/>
      <c r="CA40" s="104"/>
      <c r="CB40" s="104"/>
      <c r="CC40" s="104"/>
      <c r="CD40" s="104"/>
      <c r="CE40" s="104"/>
      <c r="CF40" s="104"/>
      <c r="CG40" s="104"/>
      <c r="CH40" s="104"/>
      <c r="CI40" s="104"/>
      <c r="CJ40" s="104"/>
      <c r="CK40" s="104"/>
      <c r="CL40" s="104"/>
      <c r="CM40" s="104"/>
      <c r="CN40" s="98"/>
      <c r="CP40" s="101"/>
      <c r="CQ40" s="101"/>
      <c r="CR40" s="101"/>
      <c r="CS40" s="101"/>
      <c r="CT40" s="101"/>
      <c r="FJ40" s="103"/>
      <c r="FL40" s="103"/>
      <c r="FN40" s="103"/>
      <c r="FP40" s="103"/>
    </row>
    <row r="41" spans="2:172" x14ac:dyDescent="0.35">
      <c r="B41" s="97"/>
      <c r="G41" s="100"/>
      <c r="K41" s="98"/>
      <c r="L41" s="101"/>
      <c r="M41" s="101"/>
      <c r="N41" s="101"/>
      <c r="O41" s="101"/>
      <c r="P41" s="102"/>
      <c r="Q41" s="101"/>
      <c r="R41" s="98"/>
      <c r="S41" s="98"/>
      <c r="T41" s="98"/>
      <c r="U41" s="98"/>
      <c r="V41" s="98"/>
      <c r="W41" s="98"/>
      <c r="X41" s="103"/>
      <c r="Y41" s="103"/>
      <c r="Z41" s="103"/>
      <c r="AA41" s="103"/>
      <c r="AB41" s="103"/>
      <c r="AC41" s="103"/>
      <c r="AD41" s="103"/>
      <c r="AE41" s="101"/>
      <c r="AF41" s="101"/>
      <c r="AG41" s="101"/>
      <c r="AH41" s="101"/>
      <c r="AI41" s="101"/>
      <c r="AJ41" s="101"/>
      <c r="AK41" s="101"/>
      <c r="AL41" s="103"/>
      <c r="AM41" s="103"/>
      <c r="AN41" s="103"/>
      <c r="AO41" s="103"/>
      <c r="AP41" s="103"/>
      <c r="AQ41" s="103"/>
      <c r="AR41" s="103"/>
      <c r="AS41" s="101"/>
      <c r="AT41" s="101"/>
      <c r="AU41" s="101"/>
      <c r="AV41" s="101"/>
      <c r="AW41" s="101"/>
      <c r="AX41" s="101"/>
      <c r="AY41" s="101"/>
      <c r="AZ41" s="103"/>
      <c r="BA41" s="103"/>
      <c r="BB41" s="103"/>
      <c r="BC41" s="101"/>
      <c r="BD41" s="101"/>
      <c r="BE41" s="101"/>
      <c r="BF41" s="101"/>
      <c r="BG41" s="101"/>
      <c r="BK41" s="101"/>
      <c r="BL41" s="101"/>
      <c r="BM41" s="101"/>
      <c r="BN41" s="101"/>
      <c r="BO41" s="101"/>
      <c r="BP41" s="101"/>
      <c r="BQ41" s="101"/>
      <c r="BR41" s="104"/>
      <c r="BS41" s="104"/>
      <c r="BT41" s="104"/>
      <c r="BU41" s="104"/>
      <c r="BV41" s="104"/>
      <c r="BW41" s="104"/>
      <c r="BX41" s="104"/>
      <c r="BY41" s="104"/>
      <c r="BZ41" s="104"/>
      <c r="CA41" s="104"/>
      <c r="CB41" s="104"/>
      <c r="CC41" s="104"/>
      <c r="CD41" s="104"/>
      <c r="CE41" s="104"/>
      <c r="CF41" s="104"/>
      <c r="CG41" s="104"/>
      <c r="CH41" s="104"/>
      <c r="CI41" s="104"/>
      <c r="CJ41" s="104"/>
      <c r="CK41" s="104"/>
      <c r="CL41" s="104"/>
      <c r="CM41" s="104"/>
      <c r="CN41" s="98"/>
      <c r="CP41" s="101"/>
      <c r="CQ41" s="101"/>
      <c r="CR41" s="101"/>
      <c r="CS41" s="101"/>
      <c r="CT41" s="101"/>
      <c r="FJ41" s="103"/>
      <c r="FL41" s="103"/>
      <c r="FN41" s="103"/>
      <c r="FP41" s="103"/>
    </row>
    <row r="42" spans="2:172" x14ac:dyDescent="0.35">
      <c r="B42" s="97"/>
      <c r="G42" s="100"/>
      <c r="K42" s="98"/>
      <c r="L42" s="101"/>
      <c r="M42" s="101"/>
      <c r="N42" s="101"/>
      <c r="O42" s="101"/>
      <c r="P42" s="102"/>
      <c r="Q42" s="101"/>
      <c r="R42" s="98"/>
      <c r="S42" s="98"/>
      <c r="T42" s="98"/>
      <c r="U42" s="98"/>
      <c r="V42" s="98"/>
      <c r="W42" s="98"/>
      <c r="X42" s="103"/>
      <c r="Y42" s="103"/>
      <c r="Z42" s="103"/>
      <c r="AA42" s="103"/>
      <c r="AB42" s="103"/>
      <c r="AC42" s="103"/>
      <c r="AD42" s="103"/>
      <c r="AE42" s="101"/>
      <c r="AF42" s="101"/>
      <c r="AG42" s="101"/>
      <c r="AH42" s="101"/>
      <c r="AI42" s="101"/>
      <c r="AJ42" s="101"/>
      <c r="AK42" s="101"/>
      <c r="AL42" s="103"/>
      <c r="AM42" s="103"/>
      <c r="AN42" s="103"/>
      <c r="AO42" s="103"/>
      <c r="AP42" s="103"/>
      <c r="AQ42" s="103"/>
      <c r="AR42" s="103"/>
      <c r="AS42" s="101"/>
      <c r="AT42" s="101"/>
      <c r="AU42" s="101"/>
      <c r="AV42" s="101"/>
      <c r="AW42" s="101"/>
      <c r="AX42" s="101"/>
      <c r="AY42" s="101"/>
      <c r="AZ42" s="103"/>
      <c r="BA42" s="103"/>
      <c r="BB42" s="103"/>
      <c r="BC42" s="101"/>
      <c r="BD42" s="101"/>
      <c r="BE42" s="101"/>
      <c r="BF42" s="101"/>
      <c r="BG42" s="101"/>
      <c r="BK42" s="101"/>
      <c r="BL42" s="101"/>
      <c r="BM42" s="101"/>
      <c r="BN42" s="101"/>
      <c r="BO42" s="101"/>
      <c r="BP42" s="101"/>
      <c r="BQ42" s="101"/>
      <c r="BR42" s="104"/>
      <c r="BS42" s="104"/>
      <c r="BT42" s="104"/>
      <c r="BU42" s="104"/>
      <c r="BV42" s="104"/>
      <c r="BW42" s="104"/>
      <c r="BX42" s="104"/>
      <c r="BY42" s="104"/>
      <c r="BZ42" s="104"/>
      <c r="CA42" s="104"/>
      <c r="CB42" s="104"/>
      <c r="CC42" s="104"/>
      <c r="CD42" s="104"/>
      <c r="CE42" s="104"/>
      <c r="CF42" s="104"/>
      <c r="CG42" s="104"/>
      <c r="CH42" s="104"/>
      <c r="CI42" s="104"/>
      <c r="CJ42" s="104"/>
      <c r="CK42" s="104"/>
      <c r="CL42" s="104"/>
      <c r="CM42" s="104"/>
      <c r="CN42" s="98"/>
      <c r="CP42" s="101"/>
      <c r="CQ42" s="101"/>
      <c r="CR42" s="101"/>
      <c r="CS42" s="101"/>
      <c r="CT42" s="101"/>
      <c r="FJ42" s="103"/>
      <c r="FL42" s="103"/>
      <c r="FN42" s="103"/>
      <c r="FP42" s="103"/>
    </row>
    <row r="43" spans="2:172" x14ac:dyDescent="0.35">
      <c r="B43" s="97"/>
      <c r="G43" s="100"/>
      <c r="K43" s="98"/>
      <c r="L43" s="101"/>
      <c r="M43" s="101"/>
      <c r="N43" s="101"/>
      <c r="O43" s="101"/>
      <c r="P43" s="102"/>
      <c r="Q43" s="101"/>
      <c r="R43" s="98"/>
      <c r="S43" s="98"/>
      <c r="T43" s="98"/>
      <c r="U43" s="98"/>
      <c r="V43" s="98"/>
      <c r="W43" s="98"/>
      <c r="X43" s="103"/>
      <c r="Y43" s="103"/>
      <c r="Z43" s="103"/>
      <c r="AA43" s="103"/>
      <c r="AB43" s="103"/>
      <c r="AC43" s="103"/>
      <c r="AD43" s="103"/>
      <c r="AE43" s="101"/>
      <c r="AF43" s="101"/>
      <c r="AG43" s="101"/>
      <c r="AH43" s="101"/>
      <c r="AI43" s="101"/>
      <c r="AJ43" s="101"/>
      <c r="AK43" s="101"/>
      <c r="AL43" s="103"/>
      <c r="AM43" s="103"/>
      <c r="AN43" s="103"/>
      <c r="AO43" s="103"/>
      <c r="AP43" s="103"/>
      <c r="AQ43" s="103"/>
      <c r="AR43" s="103"/>
      <c r="AS43" s="101"/>
      <c r="AT43" s="101"/>
      <c r="AU43" s="101"/>
      <c r="AV43" s="101"/>
      <c r="AW43" s="101"/>
      <c r="AX43" s="101"/>
      <c r="AY43" s="101"/>
      <c r="AZ43" s="103"/>
      <c r="BA43" s="103"/>
      <c r="BB43" s="103"/>
      <c r="BC43" s="101"/>
      <c r="BD43" s="101"/>
      <c r="BE43" s="101"/>
      <c r="BF43" s="101"/>
      <c r="BG43" s="101"/>
      <c r="BK43" s="101"/>
      <c r="BL43" s="101"/>
      <c r="BM43" s="101"/>
      <c r="BN43" s="101"/>
      <c r="BO43" s="101"/>
      <c r="BP43" s="101"/>
      <c r="BQ43" s="101"/>
      <c r="BR43" s="104"/>
      <c r="BS43" s="104"/>
      <c r="BT43" s="104"/>
      <c r="BU43" s="104"/>
      <c r="BV43" s="104"/>
      <c r="BW43" s="104"/>
      <c r="BX43" s="104"/>
      <c r="BY43" s="104"/>
      <c r="BZ43" s="104"/>
      <c r="CA43" s="104"/>
      <c r="CB43" s="104"/>
      <c r="CC43" s="104"/>
      <c r="CD43" s="104"/>
      <c r="CE43" s="104"/>
      <c r="CF43" s="104"/>
      <c r="CG43" s="104"/>
      <c r="CH43" s="104"/>
      <c r="CI43" s="104"/>
      <c r="CJ43" s="104"/>
      <c r="CK43" s="104"/>
      <c r="CL43" s="104"/>
      <c r="CM43" s="104"/>
      <c r="CN43" s="98"/>
      <c r="CP43" s="101"/>
      <c r="CQ43" s="101"/>
      <c r="CR43" s="101"/>
      <c r="CS43" s="101"/>
      <c r="CT43" s="101"/>
      <c r="FJ43" s="103"/>
      <c r="FL43" s="103"/>
      <c r="FN43" s="103"/>
      <c r="FP43" s="103"/>
    </row>
    <row r="44" spans="2:172" x14ac:dyDescent="0.35">
      <c r="B44" s="97"/>
      <c r="G44" s="100"/>
      <c r="K44" s="98"/>
      <c r="L44" s="101"/>
      <c r="M44" s="101"/>
      <c r="N44" s="101"/>
      <c r="O44" s="101"/>
      <c r="P44" s="102"/>
      <c r="Q44" s="101"/>
      <c r="R44" s="98"/>
      <c r="S44" s="98"/>
      <c r="T44" s="98"/>
      <c r="U44" s="98"/>
      <c r="V44" s="98"/>
      <c r="W44" s="98"/>
      <c r="X44" s="103"/>
      <c r="Y44" s="103"/>
      <c r="Z44" s="103"/>
      <c r="AA44" s="103"/>
      <c r="AB44" s="103"/>
      <c r="AC44" s="103"/>
      <c r="AD44" s="103"/>
      <c r="AE44" s="101"/>
      <c r="AF44" s="101"/>
      <c r="AG44" s="101"/>
      <c r="AH44" s="101"/>
      <c r="AI44" s="101"/>
      <c r="AJ44" s="101"/>
      <c r="AK44" s="101"/>
      <c r="AL44" s="103"/>
      <c r="AM44" s="103"/>
      <c r="AN44" s="103"/>
      <c r="AO44" s="103"/>
      <c r="AP44" s="103"/>
      <c r="AQ44" s="103"/>
      <c r="AR44" s="103"/>
      <c r="AS44" s="101"/>
      <c r="AT44" s="101"/>
      <c r="AU44" s="101"/>
      <c r="AV44" s="101"/>
      <c r="AW44" s="101"/>
      <c r="AX44" s="101"/>
      <c r="AY44" s="101"/>
      <c r="AZ44" s="103"/>
      <c r="BA44" s="103"/>
      <c r="BB44" s="103"/>
      <c r="BC44" s="101"/>
      <c r="BD44" s="101"/>
      <c r="BE44" s="101"/>
      <c r="BF44" s="101"/>
      <c r="BG44" s="101"/>
      <c r="BK44" s="101"/>
      <c r="BL44" s="101"/>
      <c r="BM44" s="101"/>
      <c r="BN44" s="101"/>
      <c r="BO44" s="101"/>
      <c r="BP44" s="101"/>
      <c r="BQ44" s="101"/>
      <c r="BR44" s="104"/>
      <c r="BS44" s="104"/>
      <c r="BT44" s="104"/>
      <c r="BU44" s="104"/>
      <c r="BV44" s="104"/>
      <c r="BW44" s="104"/>
      <c r="BX44" s="104"/>
      <c r="BY44" s="104"/>
      <c r="BZ44" s="104"/>
      <c r="CA44" s="104"/>
      <c r="CB44" s="104"/>
      <c r="CC44" s="104"/>
      <c r="CD44" s="104"/>
      <c r="CE44" s="104"/>
      <c r="CF44" s="104"/>
      <c r="CG44" s="104"/>
      <c r="CH44" s="104"/>
      <c r="CI44" s="104"/>
      <c r="CJ44" s="104"/>
      <c r="CK44" s="104"/>
      <c r="CL44" s="104"/>
      <c r="CM44" s="104"/>
      <c r="CN44" s="98"/>
      <c r="CP44" s="101"/>
      <c r="CQ44" s="101"/>
      <c r="CR44" s="101"/>
      <c r="CS44" s="101"/>
      <c r="CT44" s="101"/>
      <c r="FJ44" s="103"/>
      <c r="FL44" s="103"/>
      <c r="FN44" s="103"/>
      <c r="FP44" s="103"/>
    </row>
    <row r="45" spans="2:172" x14ac:dyDescent="0.35">
      <c r="B45" s="97"/>
      <c r="G45" s="100"/>
      <c r="K45" s="98"/>
      <c r="L45" s="101"/>
      <c r="M45" s="101"/>
      <c r="N45" s="101"/>
      <c r="O45" s="101"/>
      <c r="P45" s="102"/>
      <c r="Q45" s="101"/>
      <c r="R45" s="98"/>
      <c r="S45" s="98"/>
      <c r="T45" s="98"/>
      <c r="U45" s="98"/>
      <c r="V45" s="98"/>
      <c r="W45" s="98"/>
      <c r="X45" s="103"/>
      <c r="Y45" s="103"/>
      <c r="Z45" s="103"/>
      <c r="AA45" s="103"/>
      <c r="AB45" s="103"/>
      <c r="AC45" s="103"/>
      <c r="AD45" s="103"/>
      <c r="AE45" s="101"/>
      <c r="AF45" s="101"/>
      <c r="AG45" s="101"/>
      <c r="AH45" s="101"/>
      <c r="AI45" s="101"/>
      <c r="AJ45" s="101"/>
      <c r="AK45" s="101"/>
      <c r="AL45" s="103"/>
      <c r="AM45" s="103"/>
      <c r="AN45" s="103"/>
      <c r="AO45" s="103"/>
      <c r="AP45" s="103"/>
      <c r="AQ45" s="103"/>
      <c r="AR45" s="103"/>
      <c r="AS45" s="101"/>
      <c r="AT45" s="101"/>
      <c r="AU45" s="101"/>
      <c r="AV45" s="101"/>
      <c r="AW45" s="101"/>
      <c r="AX45" s="101"/>
      <c r="AY45" s="101"/>
      <c r="AZ45" s="103"/>
      <c r="BA45" s="103"/>
      <c r="BB45" s="103"/>
      <c r="BC45" s="101"/>
      <c r="BD45" s="101"/>
      <c r="BE45" s="101"/>
      <c r="BF45" s="101"/>
      <c r="BG45" s="101"/>
      <c r="BK45" s="101"/>
      <c r="BL45" s="101"/>
      <c r="BM45" s="101"/>
      <c r="BN45" s="101"/>
      <c r="BO45" s="101"/>
      <c r="BP45" s="101"/>
      <c r="BQ45" s="101"/>
      <c r="BR45" s="104"/>
      <c r="BS45" s="104"/>
      <c r="BT45" s="104"/>
      <c r="BU45" s="104"/>
      <c r="BV45" s="104"/>
      <c r="BW45" s="104"/>
      <c r="BX45" s="104"/>
      <c r="BY45" s="104"/>
      <c r="BZ45" s="104"/>
      <c r="CA45" s="104"/>
      <c r="CB45" s="104"/>
      <c r="CC45" s="104"/>
      <c r="CD45" s="104"/>
      <c r="CE45" s="104"/>
      <c r="CF45" s="104"/>
      <c r="CG45" s="104"/>
      <c r="CH45" s="104"/>
      <c r="CI45" s="104"/>
      <c r="CJ45" s="104"/>
      <c r="CK45" s="104"/>
      <c r="CL45" s="104"/>
      <c r="CM45" s="104"/>
      <c r="CN45" s="98"/>
      <c r="CP45" s="101"/>
      <c r="CQ45" s="101"/>
      <c r="CR45" s="101"/>
      <c r="CS45" s="101"/>
      <c r="CT45" s="101"/>
      <c r="FJ45" s="103"/>
      <c r="FL45" s="103"/>
      <c r="FN45" s="103"/>
      <c r="FP45" s="103"/>
    </row>
    <row r="46" spans="2:172" x14ac:dyDescent="0.35">
      <c r="B46" s="97"/>
      <c r="G46" s="100"/>
      <c r="K46" s="98"/>
      <c r="L46" s="101"/>
      <c r="M46" s="101"/>
      <c r="N46" s="101"/>
      <c r="O46" s="101"/>
      <c r="P46" s="102"/>
      <c r="Q46" s="101"/>
      <c r="R46" s="98"/>
      <c r="S46" s="98"/>
      <c r="T46" s="98"/>
      <c r="U46" s="98"/>
      <c r="V46" s="98"/>
      <c r="W46" s="98"/>
      <c r="X46" s="103"/>
      <c r="Y46" s="103"/>
      <c r="Z46" s="103"/>
      <c r="AA46" s="103"/>
      <c r="AB46" s="103"/>
      <c r="AC46" s="103"/>
      <c r="AD46" s="103"/>
      <c r="AE46" s="101"/>
      <c r="AF46" s="101"/>
      <c r="AG46" s="101"/>
      <c r="AH46" s="101"/>
      <c r="AI46" s="101"/>
      <c r="AJ46" s="101"/>
      <c r="AK46" s="101"/>
      <c r="AL46" s="103"/>
      <c r="AM46" s="103"/>
      <c r="AN46" s="103"/>
      <c r="AO46" s="103"/>
      <c r="AP46" s="103"/>
      <c r="AQ46" s="103"/>
      <c r="AR46" s="103"/>
      <c r="AS46" s="101"/>
      <c r="AT46" s="101"/>
      <c r="AU46" s="101"/>
      <c r="AV46" s="101"/>
      <c r="AW46" s="101"/>
      <c r="AX46" s="101"/>
      <c r="AY46" s="101"/>
      <c r="AZ46" s="103"/>
      <c r="BA46" s="103"/>
      <c r="BB46" s="103"/>
      <c r="BC46" s="101"/>
      <c r="BD46" s="101"/>
      <c r="BE46" s="101"/>
      <c r="BF46" s="101"/>
      <c r="BG46" s="101"/>
      <c r="BK46" s="101"/>
      <c r="BL46" s="101"/>
      <c r="BM46" s="101"/>
      <c r="BN46" s="101"/>
      <c r="BO46" s="101"/>
      <c r="BP46" s="101"/>
      <c r="BQ46" s="101"/>
      <c r="BR46" s="104"/>
      <c r="BS46" s="104"/>
      <c r="BT46" s="104"/>
      <c r="BU46" s="104"/>
      <c r="BV46" s="104"/>
      <c r="BW46" s="104"/>
      <c r="BX46" s="104"/>
      <c r="BY46" s="104"/>
      <c r="BZ46" s="104"/>
      <c r="CA46" s="104"/>
      <c r="CB46" s="104"/>
      <c r="CC46" s="104"/>
      <c r="CD46" s="104"/>
      <c r="CE46" s="104"/>
      <c r="CF46" s="104"/>
      <c r="CG46" s="104"/>
      <c r="CH46" s="104"/>
      <c r="CI46" s="104"/>
      <c r="CJ46" s="104"/>
      <c r="CK46" s="104"/>
      <c r="CL46" s="104"/>
      <c r="CM46" s="104"/>
      <c r="CN46" s="98"/>
      <c r="CP46" s="101"/>
      <c r="CQ46" s="101"/>
      <c r="CR46" s="101"/>
      <c r="CS46" s="101"/>
      <c r="CT46" s="101"/>
      <c r="FJ46" s="103"/>
      <c r="FL46" s="103"/>
      <c r="FN46" s="103"/>
      <c r="FP46" s="103"/>
    </row>
    <row r="47" spans="2:172" x14ac:dyDescent="0.35">
      <c r="B47" s="97"/>
      <c r="G47" s="100"/>
      <c r="K47" s="98"/>
      <c r="L47" s="101"/>
      <c r="M47" s="101"/>
      <c r="N47" s="101"/>
      <c r="O47" s="101"/>
      <c r="P47" s="102"/>
      <c r="Q47" s="101"/>
      <c r="R47" s="98"/>
      <c r="S47" s="98"/>
      <c r="T47" s="98"/>
      <c r="U47" s="98"/>
      <c r="V47" s="98"/>
      <c r="W47" s="98"/>
      <c r="X47" s="103"/>
      <c r="Y47" s="103"/>
      <c r="Z47" s="103"/>
      <c r="AA47" s="103"/>
      <c r="AB47" s="103"/>
      <c r="AC47" s="103"/>
      <c r="AD47" s="103"/>
      <c r="AE47" s="101"/>
      <c r="AF47" s="101"/>
      <c r="AG47" s="101"/>
      <c r="AH47" s="101"/>
      <c r="AI47" s="101"/>
      <c r="AJ47" s="101"/>
      <c r="AK47" s="101"/>
      <c r="AL47" s="103"/>
      <c r="AM47" s="103"/>
      <c r="AN47" s="103"/>
      <c r="AO47" s="103"/>
      <c r="AP47" s="103"/>
      <c r="AQ47" s="103"/>
      <c r="AR47" s="103"/>
      <c r="AS47" s="101"/>
      <c r="AT47" s="101"/>
      <c r="AU47" s="101"/>
      <c r="AV47" s="101"/>
      <c r="AW47" s="101"/>
      <c r="AX47" s="101"/>
      <c r="AY47" s="101"/>
      <c r="AZ47" s="103"/>
      <c r="BA47" s="103"/>
      <c r="BB47" s="103"/>
      <c r="BC47" s="101"/>
      <c r="BD47" s="101"/>
      <c r="BE47" s="101"/>
      <c r="BF47" s="101"/>
      <c r="BG47" s="101"/>
      <c r="BK47" s="101"/>
      <c r="BL47" s="101"/>
      <c r="BM47" s="101"/>
      <c r="BN47" s="101"/>
      <c r="BO47" s="101"/>
      <c r="BP47" s="101"/>
      <c r="BQ47" s="101"/>
      <c r="BR47" s="104"/>
      <c r="BS47" s="104"/>
      <c r="BT47" s="104"/>
      <c r="BU47" s="104"/>
      <c r="BV47" s="104"/>
      <c r="BW47" s="104"/>
      <c r="BX47" s="104"/>
      <c r="BY47" s="104"/>
      <c r="BZ47" s="104"/>
      <c r="CA47" s="104"/>
      <c r="CB47" s="104"/>
      <c r="CC47" s="104"/>
      <c r="CD47" s="104"/>
      <c r="CE47" s="104"/>
      <c r="CF47" s="104"/>
      <c r="CG47" s="104"/>
      <c r="CH47" s="104"/>
      <c r="CI47" s="104"/>
      <c r="CJ47" s="104"/>
      <c r="CK47" s="104"/>
      <c r="CL47" s="104"/>
      <c r="CM47" s="104"/>
      <c r="CN47" s="98"/>
      <c r="CP47" s="101"/>
      <c r="CQ47" s="101"/>
      <c r="CR47" s="101"/>
      <c r="CS47" s="101"/>
      <c r="CT47" s="101"/>
      <c r="FJ47" s="103"/>
      <c r="FL47" s="103"/>
      <c r="FN47" s="103"/>
      <c r="FP47" s="103"/>
    </row>
    <row r="48" spans="2:172" x14ac:dyDescent="0.35">
      <c r="B48" s="97"/>
      <c r="G48" s="100"/>
      <c r="K48" s="98"/>
      <c r="L48" s="101"/>
      <c r="M48" s="101"/>
      <c r="N48" s="101"/>
      <c r="O48" s="101"/>
      <c r="P48" s="102"/>
      <c r="Q48" s="101"/>
      <c r="R48" s="98"/>
      <c r="S48" s="98"/>
      <c r="T48" s="98"/>
      <c r="U48" s="98"/>
      <c r="V48" s="98"/>
      <c r="W48" s="98"/>
      <c r="X48" s="103"/>
      <c r="Y48" s="103"/>
      <c r="Z48" s="103"/>
      <c r="AA48" s="103"/>
      <c r="AB48" s="103"/>
      <c r="AC48" s="103"/>
      <c r="AD48" s="103"/>
      <c r="AE48" s="101"/>
      <c r="AF48" s="101"/>
      <c r="AG48" s="101"/>
      <c r="AH48" s="101"/>
      <c r="AI48" s="101"/>
      <c r="AJ48" s="101"/>
      <c r="AK48" s="101"/>
      <c r="AL48" s="103"/>
      <c r="AM48" s="103"/>
      <c r="AN48" s="103"/>
      <c r="AO48" s="103"/>
      <c r="AP48" s="103"/>
      <c r="AQ48" s="103"/>
      <c r="AR48" s="103"/>
      <c r="AS48" s="101"/>
      <c r="AT48" s="101"/>
      <c r="AU48" s="101"/>
      <c r="AV48" s="101"/>
      <c r="AW48" s="101"/>
      <c r="AX48" s="101"/>
      <c r="AY48" s="101"/>
      <c r="AZ48" s="103"/>
      <c r="BA48" s="103"/>
      <c r="BB48" s="103"/>
      <c r="BC48" s="101"/>
      <c r="BD48" s="101"/>
      <c r="BE48" s="101"/>
      <c r="BF48" s="101"/>
      <c r="BG48" s="101"/>
      <c r="BK48" s="101"/>
      <c r="BL48" s="101"/>
      <c r="BM48" s="101"/>
      <c r="BN48" s="101"/>
      <c r="BO48" s="101"/>
      <c r="BP48" s="101"/>
      <c r="BQ48" s="101"/>
      <c r="BR48" s="104"/>
      <c r="BS48" s="104"/>
      <c r="BT48" s="104"/>
      <c r="BU48" s="104"/>
      <c r="BV48" s="104"/>
      <c r="BW48" s="104"/>
      <c r="BX48" s="104"/>
      <c r="BY48" s="104"/>
      <c r="BZ48" s="104"/>
      <c r="CA48" s="104"/>
      <c r="CB48" s="104"/>
      <c r="CC48" s="104"/>
      <c r="CD48" s="104"/>
      <c r="CE48" s="104"/>
      <c r="CF48" s="104"/>
      <c r="CG48" s="104"/>
      <c r="CH48" s="104"/>
      <c r="CI48" s="104"/>
      <c r="CJ48" s="104"/>
      <c r="CK48" s="104"/>
      <c r="CL48" s="104"/>
      <c r="CM48" s="104"/>
      <c r="CN48" s="98"/>
      <c r="CP48" s="101"/>
      <c r="CQ48" s="101"/>
      <c r="CR48" s="101"/>
      <c r="CS48" s="101"/>
      <c r="CT48" s="101"/>
      <c r="FJ48" s="103"/>
      <c r="FL48" s="103"/>
      <c r="FN48" s="103"/>
      <c r="FP48" s="103"/>
    </row>
    <row r="49" spans="2:172" x14ac:dyDescent="0.35">
      <c r="B49" s="97"/>
      <c r="G49" s="100"/>
      <c r="K49" s="98"/>
      <c r="L49" s="101"/>
      <c r="M49" s="101"/>
      <c r="N49" s="101"/>
      <c r="O49" s="101"/>
      <c r="P49" s="102"/>
      <c r="Q49" s="101"/>
      <c r="R49" s="98"/>
      <c r="S49" s="98"/>
      <c r="T49" s="98"/>
      <c r="U49" s="98"/>
      <c r="V49" s="98"/>
      <c r="W49" s="98"/>
      <c r="X49" s="103"/>
      <c r="Y49" s="103"/>
      <c r="Z49" s="103"/>
      <c r="AA49" s="103"/>
      <c r="AB49" s="103"/>
      <c r="AC49" s="103"/>
      <c r="AD49" s="103"/>
      <c r="AE49" s="101"/>
      <c r="AF49" s="101"/>
      <c r="AG49" s="101"/>
      <c r="AH49" s="101"/>
      <c r="AI49" s="101"/>
      <c r="AJ49" s="101"/>
      <c r="AK49" s="101"/>
      <c r="AL49" s="103"/>
      <c r="AM49" s="103"/>
      <c r="AN49" s="103"/>
      <c r="AO49" s="103"/>
      <c r="AP49" s="103"/>
      <c r="AQ49" s="103"/>
      <c r="AR49" s="103"/>
      <c r="AS49" s="101"/>
      <c r="AT49" s="101"/>
      <c r="AU49" s="101"/>
      <c r="AV49" s="101"/>
      <c r="AW49" s="101"/>
      <c r="AX49" s="101"/>
      <c r="AY49" s="101"/>
      <c r="AZ49" s="103"/>
      <c r="BA49" s="103"/>
      <c r="BB49" s="103"/>
      <c r="BC49" s="101"/>
      <c r="BD49" s="101"/>
      <c r="BE49" s="101"/>
      <c r="BF49" s="101"/>
      <c r="BG49" s="101"/>
      <c r="BK49" s="101"/>
      <c r="BL49" s="101"/>
      <c r="BM49" s="101"/>
      <c r="BN49" s="101"/>
      <c r="BO49" s="101"/>
      <c r="BP49" s="101"/>
      <c r="BQ49" s="101"/>
      <c r="BR49" s="104"/>
      <c r="BS49" s="104"/>
      <c r="BT49" s="104"/>
      <c r="BU49" s="104"/>
      <c r="BV49" s="104"/>
      <c r="BW49" s="104"/>
      <c r="BX49" s="104"/>
      <c r="BY49" s="104"/>
      <c r="BZ49" s="104"/>
      <c r="CA49" s="104"/>
      <c r="CB49" s="104"/>
      <c r="CC49" s="104"/>
      <c r="CD49" s="104"/>
      <c r="CE49" s="104"/>
      <c r="CF49" s="104"/>
      <c r="CG49" s="104"/>
      <c r="CH49" s="104"/>
      <c r="CI49" s="104"/>
      <c r="CJ49" s="104"/>
      <c r="CK49" s="104"/>
      <c r="CL49" s="104"/>
      <c r="CM49" s="104"/>
      <c r="CN49" s="98"/>
      <c r="CP49" s="101"/>
      <c r="CQ49" s="101"/>
      <c r="CR49" s="101"/>
      <c r="CS49" s="101"/>
      <c r="CT49" s="101"/>
      <c r="FJ49" s="103"/>
      <c r="FL49" s="103"/>
      <c r="FN49" s="103"/>
      <c r="FP49" s="103"/>
    </row>
    <row r="50" spans="2:172" x14ac:dyDescent="0.35">
      <c r="B50" s="97"/>
      <c r="G50" s="100"/>
      <c r="K50" s="98"/>
      <c r="L50" s="101"/>
      <c r="M50" s="101"/>
      <c r="N50" s="101"/>
      <c r="O50" s="101"/>
      <c r="P50" s="102"/>
      <c r="Q50" s="101"/>
      <c r="R50" s="98"/>
      <c r="S50" s="98"/>
      <c r="T50" s="98"/>
      <c r="U50" s="98"/>
      <c r="V50" s="98"/>
      <c r="W50" s="98"/>
      <c r="X50" s="103"/>
      <c r="Y50" s="103"/>
      <c r="Z50" s="103"/>
      <c r="AA50" s="103"/>
      <c r="AB50" s="103"/>
      <c r="AC50" s="103"/>
      <c r="AD50" s="103"/>
      <c r="AE50" s="101"/>
      <c r="AF50" s="101"/>
      <c r="AG50" s="101"/>
      <c r="AH50" s="101"/>
      <c r="AI50" s="101"/>
      <c r="AJ50" s="101"/>
      <c r="AK50" s="101"/>
      <c r="AL50" s="103"/>
      <c r="AM50" s="103"/>
      <c r="AN50" s="103"/>
      <c r="AO50" s="103"/>
      <c r="AP50" s="103"/>
      <c r="AQ50" s="103"/>
      <c r="AR50" s="103"/>
      <c r="AS50" s="101"/>
      <c r="AT50" s="101"/>
      <c r="AU50" s="101"/>
      <c r="AV50" s="101"/>
      <c r="AW50" s="101"/>
      <c r="AX50" s="101"/>
      <c r="AY50" s="101"/>
      <c r="AZ50" s="103"/>
      <c r="BA50" s="103"/>
      <c r="BB50" s="103"/>
      <c r="BC50" s="101"/>
      <c r="BD50" s="101"/>
      <c r="BE50" s="101"/>
      <c r="BF50" s="101"/>
      <c r="BG50" s="101"/>
      <c r="BK50" s="101"/>
      <c r="BL50" s="101"/>
      <c r="BM50" s="101"/>
      <c r="BN50" s="101"/>
      <c r="BO50" s="101"/>
      <c r="BP50" s="101"/>
      <c r="BQ50" s="101"/>
      <c r="BR50" s="104"/>
      <c r="BS50" s="104"/>
      <c r="BT50" s="104"/>
      <c r="BU50" s="104"/>
      <c r="BV50" s="104"/>
      <c r="BW50" s="104"/>
      <c r="BX50" s="104"/>
      <c r="BY50" s="104"/>
      <c r="BZ50" s="104"/>
      <c r="CA50" s="104"/>
      <c r="CB50" s="104"/>
      <c r="CC50" s="104"/>
      <c r="CD50" s="104"/>
      <c r="CE50" s="104"/>
      <c r="CF50" s="104"/>
      <c r="CG50" s="104"/>
      <c r="CH50" s="104"/>
      <c r="CI50" s="104"/>
      <c r="CJ50" s="104"/>
      <c r="CK50" s="104"/>
      <c r="CL50" s="104"/>
      <c r="CM50" s="104"/>
      <c r="CN50" s="98"/>
      <c r="CP50" s="101"/>
      <c r="CQ50" s="101"/>
      <c r="CR50" s="101"/>
      <c r="CS50" s="101"/>
      <c r="CT50" s="101"/>
      <c r="FJ50" s="103"/>
      <c r="FL50" s="103"/>
      <c r="FN50" s="103"/>
      <c r="FP50" s="103"/>
    </row>
    <row r="51" spans="2:172" x14ac:dyDescent="0.35">
      <c r="B51" s="97"/>
      <c r="G51" s="100"/>
      <c r="K51" s="98"/>
      <c r="L51" s="101"/>
      <c r="M51" s="101"/>
      <c r="N51" s="101"/>
      <c r="O51" s="101"/>
      <c r="P51" s="102"/>
      <c r="Q51" s="101"/>
      <c r="R51" s="98"/>
      <c r="S51" s="98"/>
      <c r="T51" s="98"/>
      <c r="U51" s="98"/>
      <c r="V51" s="98"/>
      <c r="W51" s="98"/>
      <c r="X51" s="103"/>
      <c r="Y51" s="103"/>
      <c r="Z51" s="103"/>
      <c r="AA51" s="103"/>
      <c r="AB51" s="103"/>
      <c r="AC51" s="103"/>
      <c r="AD51" s="103"/>
      <c r="AE51" s="101"/>
      <c r="AF51" s="101"/>
      <c r="AG51" s="101"/>
      <c r="AH51" s="101"/>
      <c r="AI51" s="101"/>
      <c r="AJ51" s="101"/>
      <c r="AK51" s="101"/>
      <c r="AL51" s="103"/>
      <c r="AM51" s="103"/>
      <c r="AN51" s="103"/>
      <c r="AO51" s="103"/>
      <c r="AP51" s="103"/>
      <c r="AQ51" s="103"/>
      <c r="AR51" s="103"/>
      <c r="AS51" s="101"/>
      <c r="AT51" s="101"/>
      <c r="AU51" s="101"/>
      <c r="AV51" s="101"/>
      <c r="AW51" s="101"/>
      <c r="AX51" s="101"/>
      <c r="AY51" s="101"/>
      <c r="AZ51" s="103"/>
      <c r="BA51" s="103"/>
      <c r="BB51" s="103"/>
      <c r="BC51" s="101"/>
      <c r="BD51" s="101"/>
      <c r="BE51" s="101"/>
      <c r="BF51" s="101"/>
      <c r="BG51" s="101"/>
      <c r="BK51" s="101"/>
      <c r="BL51" s="101"/>
      <c r="BM51" s="101"/>
      <c r="BN51" s="101"/>
      <c r="BO51" s="101"/>
      <c r="BP51" s="101"/>
      <c r="BQ51" s="101"/>
      <c r="BR51" s="104"/>
      <c r="BS51" s="104"/>
      <c r="BT51" s="104"/>
      <c r="BU51" s="104"/>
      <c r="BV51" s="104"/>
      <c r="BW51" s="104"/>
      <c r="BX51" s="104"/>
      <c r="BY51" s="104"/>
      <c r="BZ51" s="104"/>
      <c r="CA51" s="104"/>
      <c r="CB51" s="104"/>
      <c r="CC51" s="104"/>
      <c r="CD51" s="104"/>
      <c r="CE51" s="104"/>
      <c r="CF51" s="104"/>
      <c r="CG51" s="104"/>
      <c r="CH51" s="104"/>
      <c r="CI51" s="104"/>
      <c r="CJ51" s="104"/>
      <c r="CK51" s="104"/>
      <c r="CL51" s="104"/>
      <c r="CM51" s="104"/>
      <c r="CN51" s="98"/>
      <c r="CP51" s="101"/>
      <c r="CQ51" s="101"/>
      <c r="CR51" s="101"/>
      <c r="CS51" s="101"/>
      <c r="CT51" s="101"/>
      <c r="FJ51" s="103"/>
      <c r="FL51" s="103"/>
      <c r="FN51" s="103"/>
      <c r="FP51" s="103"/>
    </row>
    <row r="52" spans="2:172" x14ac:dyDescent="0.35">
      <c r="B52" s="97"/>
      <c r="G52" s="100"/>
      <c r="K52" s="98"/>
      <c r="L52" s="101"/>
      <c r="M52" s="101"/>
      <c r="N52" s="101"/>
      <c r="O52" s="101"/>
      <c r="P52" s="102"/>
      <c r="Q52" s="101"/>
      <c r="R52" s="98"/>
      <c r="S52" s="98"/>
      <c r="T52" s="98"/>
      <c r="U52" s="98"/>
      <c r="V52" s="98"/>
      <c r="W52" s="98"/>
      <c r="X52" s="103"/>
      <c r="Y52" s="103"/>
      <c r="Z52" s="103"/>
      <c r="AA52" s="103"/>
      <c r="AB52" s="103"/>
      <c r="AC52" s="103"/>
      <c r="AD52" s="103"/>
      <c r="AE52" s="101"/>
      <c r="AF52" s="101"/>
      <c r="AG52" s="101"/>
      <c r="AH52" s="101"/>
      <c r="AI52" s="101"/>
      <c r="AJ52" s="101"/>
      <c r="AK52" s="101"/>
      <c r="AL52" s="103"/>
      <c r="AM52" s="103"/>
      <c r="AN52" s="103"/>
      <c r="AO52" s="103"/>
      <c r="AP52" s="103"/>
      <c r="AQ52" s="103"/>
      <c r="AR52" s="103"/>
      <c r="AS52" s="101"/>
      <c r="AT52" s="101"/>
      <c r="AU52" s="101"/>
      <c r="AV52" s="101"/>
      <c r="AW52" s="101"/>
      <c r="AX52" s="101"/>
      <c r="AY52" s="101"/>
      <c r="AZ52" s="103"/>
      <c r="BA52" s="103"/>
      <c r="BB52" s="103"/>
      <c r="BC52" s="101"/>
      <c r="BD52" s="101"/>
      <c r="BE52" s="101"/>
      <c r="BF52" s="101"/>
      <c r="BG52" s="101"/>
      <c r="BK52" s="101"/>
      <c r="BL52" s="101"/>
      <c r="BM52" s="101"/>
      <c r="BN52" s="101"/>
      <c r="BO52" s="101"/>
      <c r="BP52" s="101"/>
      <c r="BQ52" s="101"/>
      <c r="BR52" s="104"/>
      <c r="BS52" s="104"/>
      <c r="BT52" s="104"/>
      <c r="BU52" s="104"/>
      <c r="BV52" s="104"/>
      <c r="BW52" s="104"/>
      <c r="BX52" s="104"/>
      <c r="BY52" s="104"/>
      <c r="BZ52" s="104"/>
      <c r="CA52" s="104"/>
      <c r="CB52" s="104"/>
      <c r="CC52" s="104"/>
      <c r="CD52" s="104"/>
      <c r="CE52" s="104"/>
      <c r="CF52" s="104"/>
      <c r="CG52" s="104"/>
      <c r="CH52" s="104"/>
      <c r="CI52" s="104"/>
      <c r="CJ52" s="104"/>
      <c r="CK52" s="104"/>
      <c r="CL52" s="104"/>
      <c r="CM52" s="104"/>
      <c r="CN52" s="98"/>
      <c r="CP52" s="101"/>
      <c r="CQ52" s="101"/>
      <c r="CR52" s="101"/>
      <c r="CS52" s="101"/>
      <c r="CT52" s="101"/>
      <c r="FJ52" s="103"/>
      <c r="FL52" s="103"/>
      <c r="FN52" s="103"/>
      <c r="FP52" s="103"/>
    </row>
    <row r="53" spans="2:172" x14ac:dyDescent="0.35">
      <c r="B53" s="97"/>
      <c r="G53" s="100"/>
      <c r="K53" s="98"/>
      <c r="L53" s="101"/>
      <c r="M53" s="101"/>
      <c r="N53" s="101"/>
      <c r="O53" s="101"/>
      <c r="P53" s="102"/>
      <c r="Q53" s="101"/>
      <c r="R53" s="98"/>
      <c r="S53" s="98"/>
      <c r="T53" s="98"/>
      <c r="U53" s="98"/>
      <c r="V53" s="98"/>
      <c r="W53" s="98"/>
      <c r="X53" s="103"/>
      <c r="Y53" s="103"/>
      <c r="Z53" s="103"/>
      <c r="AA53" s="103"/>
      <c r="AB53" s="103"/>
      <c r="AC53" s="103"/>
      <c r="AD53" s="103"/>
      <c r="AE53" s="101"/>
      <c r="AF53" s="101"/>
      <c r="AG53" s="101"/>
      <c r="AH53" s="101"/>
      <c r="AI53" s="101"/>
      <c r="AJ53" s="101"/>
      <c r="AK53" s="101"/>
      <c r="AL53" s="103"/>
      <c r="AM53" s="103"/>
      <c r="AN53" s="103"/>
      <c r="AO53" s="103"/>
      <c r="AP53" s="103"/>
      <c r="AQ53" s="103"/>
      <c r="AR53" s="103"/>
      <c r="AS53" s="101"/>
      <c r="AT53" s="101"/>
      <c r="AU53" s="101"/>
      <c r="AV53" s="101"/>
      <c r="AW53" s="101"/>
      <c r="AX53" s="101"/>
      <c r="AY53" s="101"/>
      <c r="AZ53" s="103"/>
      <c r="BA53" s="103"/>
      <c r="BB53" s="103"/>
      <c r="BC53" s="101"/>
      <c r="BD53" s="101"/>
      <c r="BE53" s="101"/>
      <c r="BF53" s="101"/>
      <c r="BG53" s="101"/>
      <c r="BK53" s="101"/>
      <c r="BL53" s="101"/>
      <c r="BM53" s="101"/>
      <c r="BN53" s="101"/>
      <c r="BO53" s="101"/>
      <c r="BP53" s="101"/>
      <c r="BQ53" s="101"/>
      <c r="BR53" s="104"/>
      <c r="BS53" s="104"/>
      <c r="BT53" s="104"/>
      <c r="BU53" s="104"/>
      <c r="BV53" s="104"/>
      <c r="BW53" s="104"/>
      <c r="BX53" s="104"/>
      <c r="BY53" s="104"/>
      <c r="BZ53" s="104"/>
      <c r="CA53" s="104"/>
      <c r="CB53" s="104"/>
      <c r="CC53" s="104"/>
      <c r="CD53" s="104"/>
      <c r="CE53" s="104"/>
      <c r="CF53" s="104"/>
      <c r="CG53" s="104"/>
      <c r="CH53" s="104"/>
      <c r="CI53" s="104"/>
      <c r="CJ53" s="104"/>
      <c r="CK53" s="104"/>
      <c r="CL53" s="104"/>
      <c r="CM53" s="104"/>
      <c r="CN53" s="98"/>
      <c r="CP53" s="101"/>
      <c r="CQ53" s="101"/>
      <c r="CR53" s="101"/>
      <c r="CS53" s="101"/>
      <c r="CT53" s="101"/>
      <c r="FJ53" s="103"/>
      <c r="FL53" s="103"/>
      <c r="FN53" s="103"/>
      <c r="FP53" s="103"/>
    </row>
    <row r="54" spans="2:172" x14ac:dyDescent="0.35">
      <c r="B54" s="97"/>
      <c r="G54" s="100"/>
      <c r="K54" s="98"/>
      <c r="L54" s="101"/>
      <c r="M54" s="101"/>
      <c r="N54" s="101"/>
      <c r="O54" s="101"/>
      <c r="P54" s="102"/>
      <c r="Q54" s="101"/>
      <c r="R54" s="98"/>
      <c r="S54" s="98"/>
      <c r="T54" s="98"/>
      <c r="U54" s="98"/>
      <c r="V54" s="98"/>
      <c r="W54" s="98"/>
      <c r="X54" s="103"/>
      <c r="Y54" s="103"/>
      <c r="Z54" s="103"/>
      <c r="AA54" s="103"/>
      <c r="AB54" s="103"/>
      <c r="AC54" s="103"/>
      <c r="AD54" s="103"/>
      <c r="AE54" s="101"/>
      <c r="AF54" s="101"/>
      <c r="AG54" s="101"/>
      <c r="AH54" s="101"/>
      <c r="AI54" s="101"/>
      <c r="AJ54" s="101"/>
      <c r="AK54" s="101"/>
      <c r="AL54" s="103"/>
      <c r="AM54" s="103"/>
      <c r="AN54" s="103"/>
      <c r="AO54" s="103"/>
      <c r="AP54" s="103"/>
      <c r="AQ54" s="103"/>
      <c r="AR54" s="103"/>
      <c r="AS54" s="101"/>
      <c r="AT54" s="101"/>
      <c r="AU54" s="101"/>
      <c r="AV54" s="101"/>
      <c r="AW54" s="101"/>
      <c r="AX54" s="101"/>
      <c r="AY54" s="101"/>
      <c r="AZ54" s="103"/>
      <c r="BA54" s="103"/>
      <c r="BB54" s="103"/>
      <c r="BC54" s="101"/>
      <c r="BD54" s="101"/>
      <c r="BE54" s="101"/>
      <c r="BF54" s="101"/>
      <c r="BG54" s="101"/>
      <c r="BK54" s="101"/>
      <c r="BL54" s="101"/>
      <c r="BM54" s="101"/>
      <c r="BN54" s="101"/>
      <c r="BO54" s="101"/>
      <c r="BP54" s="101"/>
      <c r="BQ54" s="101"/>
      <c r="BR54" s="104"/>
      <c r="BS54" s="104"/>
      <c r="BT54" s="104"/>
      <c r="BU54" s="104"/>
      <c r="BV54" s="104"/>
      <c r="BW54" s="104"/>
      <c r="BX54" s="104"/>
      <c r="BY54" s="104"/>
      <c r="BZ54" s="104"/>
      <c r="CA54" s="104"/>
      <c r="CB54" s="104"/>
      <c r="CC54" s="104"/>
      <c r="CD54" s="104"/>
      <c r="CE54" s="104"/>
      <c r="CF54" s="104"/>
      <c r="CG54" s="104"/>
      <c r="CH54" s="104"/>
      <c r="CI54" s="104"/>
      <c r="CJ54" s="104"/>
      <c r="CK54" s="104"/>
      <c r="CL54" s="104"/>
      <c r="CM54" s="104"/>
      <c r="CN54" s="98"/>
      <c r="CP54" s="101"/>
      <c r="CQ54" s="101"/>
      <c r="CR54" s="101"/>
      <c r="CS54" s="101"/>
      <c r="CT54" s="101"/>
      <c r="FJ54" s="103"/>
      <c r="FL54" s="103"/>
      <c r="FN54" s="103"/>
      <c r="FP54" s="103"/>
    </row>
    <row r="55" spans="2:172" x14ac:dyDescent="0.35">
      <c r="B55" s="97"/>
      <c r="G55" s="100"/>
      <c r="K55" s="98"/>
      <c r="L55" s="101"/>
      <c r="M55" s="101"/>
      <c r="N55" s="101"/>
      <c r="O55" s="101"/>
      <c r="P55" s="102"/>
      <c r="Q55" s="101"/>
      <c r="R55" s="98"/>
      <c r="S55" s="98"/>
      <c r="T55" s="98"/>
      <c r="U55" s="98"/>
      <c r="V55" s="98"/>
      <c r="W55" s="98"/>
      <c r="X55" s="103"/>
      <c r="Y55" s="103"/>
      <c r="Z55" s="103"/>
      <c r="AA55" s="103"/>
      <c r="AB55" s="103"/>
      <c r="AC55" s="103"/>
      <c r="AD55" s="103"/>
      <c r="AE55" s="101"/>
      <c r="AF55" s="101"/>
      <c r="AG55" s="101"/>
      <c r="AH55" s="101"/>
      <c r="AI55" s="101"/>
      <c r="AJ55" s="101"/>
      <c r="AK55" s="101"/>
      <c r="AL55" s="103"/>
      <c r="AM55" s="103"/>
      <c r="AN55" s="103"/>
      <c r="AO55" s="103"/>
      <c r="AP55" s="103"/>
      <c r="AQ55" s="103"/>
      <c r="AR55" s="103"/>
      <c r="AS55" s="101"/>
      <c r="AT55" s="101"/>
      <c r="AU55" s="101"/>
      <c r="AV55" s="101"/>
      <c r="AW55" s="101"/>
      <c r="AX55" s="101"/>
      <c r="AY55" s="101"/>
      <c r="AZ55" s="103"/>
      <c r="BA55" s="103"/>
      <c r="BB55" s="103"/>
      <c r="BC55" s="101"/>
      <c r="BD55" s="101"/>
      <c r="BE55" s="101"/>
      <c r="BF55" s="101"/>
      <c r="BG55" s="101"/>
      <c r="BK55" s="101"/>
      <c r="BL55" s="101"/>
      <c r="BM55" s="101"/>
      <c r="BN55" s="101"/>
      <c r="BO55" s="101"/>
      <c r="BP55" s="101"/>
      <c r="BQ55" s="101"/>
      <c r="BR55" s="104"/>
      <c r="BS55" s="104"/>
      <c r="BT55" s="104"/>
      <c r="BU55" s="104"/>
      <c r="BV55" s="104"/>
      <c r="BW55" s="104"/>
      <c r="BX55" s="104"/>
      <c r="BY55" s="104"/>
      <c r="BZ55" s="104"/>
      <c r="CA55" s="104"/>
      <c r="CB55" s="104"/>
      <c r="CC55" s="104"/>
      <c r="CD55" s="104"/>
      <c r="CE55" s="104"/>
      <c r="CF55" s="104"/>
      <c r="CG55" s="104"/>
      <c r="CH55" s="104"/>
      <c r="CI55" s="104"/>
      <c r="CJ55" s="104"/>
      <c r="CK55" s="104"/>
      <c r="CL55" s="104"/>
      <c r="CM55" s="104"/>
      <c r="CN55" s="98"/>
      <c r="CP55" s="101"/>
      <c r="CQ55" s="101"/>
      <c r="CR55" s="101"/>
      <c r="CS55" s="101"/>
      <c r="CT55" s="101"/>
      <c r="FJ55" s="103"/>
      <c r="FL55" s="103"/>
      <c r="FN55" s="103"/>
      <c r="FP55" s="103"/>
    </row>
    <row r="56" spans="2:172" x14ac:dyDescent="0.35">
      <c r="B56" s="97"/>
      <c r="G56" s="100"/>
      <c r="K56" s="98"/>
      <c r="L56" s="101"/>
      <c r="M56" s="101"/>
      <c r="N56" s="101"/>
      <c r="O56" s="101"/>
      <c r="P56" s="102"/>
      <c r="Q56" s="101"/>
      <c r="R56" s="98"/>
      <c r="S56" s="98"/>
      <c r="T56" s="98"/>
      <c r="U56" s="98"/>
      <c r="V56" s="98"/>
      <c r="W56" s="98"/>
      <c r="X56" s="103"/>
      <c r="Y56" s="103"/>
      <c r="Z56" s="103"/>
      <c r="AA56" s="103"/>
      <c r="AB56" s="103"/>
      <c r="AC56" s="103"/>
      <c r="AD56" s="103"/>
      <c r="AE56" s="101"/>
      <c r="AF56" s="101"/>
      <c r="AG56" s="101"/>
      <c r="AH56" s="101"/>
      <c r="AI56" s="101"/>
      <c r="AJ56" s="101"/>
      <c r="AK56" s="101"/>
      <c r="AL56" s="103"/>
      <c r="AM56" s="103"/>
      <c r="AN56" s="103"/>
      <c r="AO56" s="103"/>
      <c r="AP56" s="103"/>
      <c r="AQ56" s="103"/>
      <c r="AR56" s="103"/>
      <c r="AS56" s="101"/>
      <c r="AT56" s="101"/>
      <c r="AU56" s="101"/>
      <c r="AV56" s="101"/>
      <c r="AW56" s="101"/>
      <c r="AX56" s="101"/>
      <c r="AY56" s="101"/>
      <c r="AZ56" s="103"/>
      <c r="BA56" s="103"/>
      <c r="BB56" s="103"/>
      <c r="BC56" s="101"/>
      <c r="BD56" s="101"/>
      <c r="BE56" s="101"/>
      <c r="BF56" s="101"/>
      <c r="BG56" s="101"/>
      <c r="BK56" s="101"/>
      <c r="BL56" s="101"/>
      <c r="BM56" s="101"/>
      <c r="BN56" s="101"/>
      <c r="BO56" s="101"/>
      <c r="BP56" s="101"/>
      <c r="BQ56" s="101"/>
      <c r="BR56" s="104"/>
      <c r="BS56" s="104"/>
      <c r="BT56" s="104"/>
      <c r="BU56" s="104"/>
      <c r="BV56" s="104"/>
      <c r="BW56" s="104"/>
      <c r="BX56" s="104"/>
      <c r="BY56" s="104"/>
      <c r="BZ56" s="104"/>
      <c r="CA56" s="104"/>
      <c r="CB56" s="104"/>
      <c r="CC56" s="104"/>
      <c r="CD56" s="104"/>
      <c r="CE56" s="104"/>
      <c r="CF56" s="104"/>
      <c r="CG56" s="104"/>
      <c r="CH56" s="104"/>
      <c r="CI56" s="104"/>
      <c r="CJ56" s="104"/>
      <c r="CK56" s="104"/>
      <c r="CL56" s="104"/>
      <c r="CM56" s="104"/>
      <c r="CN56" s="98"/>
      <c r="CP56" s="101"/>
      <c r="CQ56" s="101"/>
      <c r="CR56" s="101"/>
      <c r="CS56" s="101"/>
      <c r="CT56" s="101"/>
      <c r="FJ56" s="103"/>
      <c r="FL56" s="103"/>
      <c r="FN56" s="103"/>
      <c r="FP56" s="103"/>
    </row>
    <row r="57" spans="2:172" x14ac:dyDescent="0.35">
      <c r="B57" s="97"/>
      <c r="G57" s="100"/>
      <c r="K57" s="98"/>
      <c r="L57" s="101"/>
      <c r="M57" s="101"/>
      <c r="N57" s="101"/>
      <c r="O57" s="101"/>
      <c r="P57" s="102"/>
      <c r="Q57" s="101"/>
      <c r="R57" s="98"/>
      <c r="S57" s="98"/>
      <c r="T57" s="98"/>
      <c r="U57" s="98"/>
      <c r="V57" s="98"/>
      <c r="W57" s="98"/>
      <c r="X57" s="103"/>
      <c r="Y57" s="103"/>
      <c r="Z57" s="103"/>
      <c r="AA57" s="103"/>
      <c r="AB57" s="103"/>
      <c r="AC57" s="103"/>
      <c r="AD57" s="103"/>
      <c r="AE57" s="101"/>
      <c r="AF57" s="101"/>
      <c r="AG57" s="101"/>
      <c r="AH57" s="101"/>
      <c r="AI57" s="101"/>
      <c r="AJ57" s="101"/>
      <c r="AK57" s="101"/>
      <c r="AL57" s="103"/>
      <c r="AM57" s="103"/>
      <c r="AN57" s="103"/>
      <c r="AO57" s="103"/>
      <c r="AP57" s="103"/>
      <c r="AQ57" s="103"/>
      <c r="AR57" s="103"/>
      <c r="AS57" s="101"/>
      <c r="AT57" s="101"/>
      <c r="AU57" s="101"/>
      <c r="AV57" s="101"/>
      <c r="AW57" s="101"/>
      <c r="AX57" s="101"/>
      <c r="AY57" s="101"/>
      <c r="AZ57" s="103"/>
      <c r="BA57" s="103"/>
      <c r="BB57" s="103"/>
      <c r="BC57" s="101"/>
      <c r="BD57" s="101"/>
      <c r="BE57" s="101"/>
      <c r="BF57" s="101"/>
      <c r="BG57" s="101"/>
      <c r="BK57" s="101"/>
      <c r="BL57" s="101"/>
      <c r="BM57" s="101"/>
      <c r="BN57" s="101"/>
      <c r="BO57" s="101"/>
      <c r="BP57" s="101"/>
      <c r="BQ57" s="101"/>
      <c r="BR57" s="104"/>
      <c r="BS57" s="104"/>
      <c r="BT57" s="104"/>
      <c r="BU57" s="104"/>
      <c r="BV57" s="104"/>
      <c r="BW57" s="104"/>
      <c r="BX57" s="104"/>
      <c r="BY57" s="104"/>
      <c r="BZ57" s="104"/>
      <c r="CA57" s="104"/>
      <c r="CB57" s="104"/>
      <c r="CC57" s="104"/>
      <c r="CD57" s="104"/>
      <c r="CE57" s="104"/>
      <c r="CF57" s="104"/>
      <c r="CG57" s="104"/>
      <c r="CH57" s="104"/>
      <c r="CI57" s="104"/>
      <c r="CJ57" s="104"/>
      <c r="CK57" s="104"/>
      <c r="CL57" s="104"/>
      <c r="CM57" s="104"/>
      <c r="CN57" s="98"/>
      <c r="CP57" s="101"/>
      <c r="CQ57" s="101"/>
      <c r="CR57" s="101"/>
      <c r="CS57" s="101"/>
      <c r="CT57" s="101"/>
      <c r="FJ57" s="103"/>
      <c r="FL57" s="103"/>
      <c r="FN57" s="103"/>
      <c r="FP57" s="103"/>
    </row>
    <row r="58" spans="2:172" x14ac:dyDescent="0.35">
      <c r="B58" s="97"/>
      <c r="G58" s="100"/>
      <c r="K58" s="98"/>
      <c r="L58" s="101"/>
      <c r="M58" s="101"/>
      <c r="N58" s="101"/>
      <c r="O58" s="101"/>
      <c r="P58" s="102"/>
      <c r="Q58" s="101"/>
      <c r="R58" s="98"/>
      <c r="S58" s="98"/>
      <c r="T58" s="98"/>
      <c r="U58" s="98"/>
      <c r="V58" s="98"/>
      <c r="W58" s="98"/>
      <c r="X58" s="103"/>
      <c r="Y58" s="103"/>
      <c r="Z58" s="103"/>
      <c r="AA58" s="103"/>
      <c r="AB58" s="103"/>
      <c r="AC58" s="103"/>
      <c r="AD58" s="103"/>
      <c r="AE58" s="101"/>
      <c r="AF58" s="101"/>
      <c r="AG58" s="101"/>
      <c r="AH58" s="101"/>
      <c r="AI58" s="101"/>
      <c r="AJ58" s="101"/>
      <c r="AK58" s="101"/>
      <c r="AL58" s="103"/>
      <c r="AM58" s="103"/>
      <c r="AN58" s="103"/>
      <c r="AO58" s="103"/>
      <c r="AP58" s="103"/>
      <c r="AQ58" s="103"/>
      <c r="AR58" s="103"/>
      <c r="AS58" s="101"/>
      <c r="AT58" s="101"/>
      <c r="AU58" s="101"/>
      <c r="AV58" s="101"/>
      <c r="AW58" s="101"/>
      <c r="AX58" s="101"/>
      <c r="AY58" s="101"/>
      <c r="AZ58" s="103"/>
      <c r="BA58" s="103"/>
      <c r="BB58" s="103"/>
      <c r="BC58" s="101"/>
      <c r="BD58" s="101"/>
      <c r="BE58" s="101"/>
      <c r="BF58" s="101"/>
      <c r="BG58" s="101"/>
      <c r="BK58" s="101"/>
      <c r="BL58" s="101"/>
      <c r="BM58" s="101"/>
      <c r="BN58" s="101"/>
      <c r="BO58" s="101"/>
      <c r="BP58" s="101"/>
      <c r="BQ58" s="101"/>
      <c r="BR58" s="104"/>
      <c r="BS58" s="104"/>
      <c r="BT58" s="104"/>
      <c r="BU58" s="104"/>
      <c r="BV58" s="104"/>
      <c r="BW58" s="104"/>
      <c r="BX58" s="104"/>
      <c r="BY58" s="104"/>
      <c r="BZ58" s="104"/>
      <c r="CA58" s="104"/>
      <c r="CB58" s="104"/>
      <c r="CC58" s="104"/>
      <c r="CD58" s="104"/>
      <c r="CE58" s="104"/>
      <c r="CF58" s="104"/>
      <c r="CG58" s="104"/>
      <c r="CH58" s="104"/>
      <c r="CI58" s="104"/>
      <c r="CJ58" s="104"/>
      <c r="CK58" s="104"/>
      <c r="CL58" s="104"/>
      <c r="CM58" s="104"/>
      <c r="CN58" s="98"/>
      <c r="CP58" s="101"/>
      <c r="CQ58" s="101"/>
      <c r="CR58" s="101"/>
      <c r="CS58" s="101"/>
      <c r="CT58" s="101"/>
      <c r="FJ58" s="103"/>
      <c r="FL58" s="103"/>
      <c r="FN58" s="103"/>
      <c r="FP58" s="103"/>
    </row>
    <row r="59" spans="2:172" x14ac:dyDescent="0.35">
      <c r="B59" s="97"/>
      <c r="G59" s="100"/>
      <c r="K59" s="98"/>
      <c r="L59" s="101"/>
      <c r="M59" s="101"/>
      <c r="N59" s="101"/>
      <c r="O59" s="101"/>
      <c r="P59" s="102"/>
      <c r="Q59" s="101"/>
      <c r="R59" s="98"/>
      <c r="S59" s="98"/>
      <c r="T59" s="98"/>
      <c r="U59" s="98"/>
      <c r="V59" s="98"/>
      <c r="W59" s="98"/>
      <c r="X59" s="103"/>
      <c r="Y59" s="103"/>
      <c r="Z59" s="103"/>
      <c r="AA59" s="103"/>
      <c r="AB59" s="103"/>
      <c r="AC59" s="103"/>
      <c r="AD59" s="103"/>
      <c r="AE59" s="101"/>
      <c r="AF59" s="101"/>
      <c r="AG59" s="101"/>
      <c r="AH59" s="101"/>
      <c r="AI59" s="101"/>
      <c r="AJ59" s="101"/>
      <c r="AK59" s="101"/>
      <c r="AL59" s="103"/>
      <c r="AM59" s="103"/>
      <c r="AN59" s="103"/>
      <c r="AO59" s="103"/>
      <c r="AP59" s="103"/>
      <c r="AQ59" s="103"/>
      <c r="AR59" s="103"/>
      <c r="AS59" s="101"/>
      <c r="AT59" s="101"/>
      <c r="AU59" s="101"/>
      <c r="AV59" s="101"/>
      <c r="AW59" s="101"/>
      <c r="AX59" s="101"/>
      <c r="AY59" s="101"/>
      <c r="AZ59" s="103"/>
      <c r="BA59" s="103"/>
      <c r="BB59" s="103"/>
      <c r="BC59" s="101"/>
      <c r="BD59" s="101"/>
      <c r="BE59" s="101"/>
      <c r="BF59" s="101"/>
      <c r="BG59" s="101"/>
      <c r="BK59" s="101"/>
      <c r="BL59" s="101"/>
      <c r="BM59" s="101"/>
      <c r="BN59" s="101"/>
      <c r="BO59" s="101"/>
      <c r="BP59" s="101"/>
      <c r="BQ59" s="101"/>
      <c r="BR59" s="104"/>
      <c r="BS59" s="104"/>
      <c r="BT59" s="104"/>
      <c r="BU59" s="104"/>
      <c r="BV59" s="104"/>
      <c r="BW59" s="104"/>
      <c r="BX59" s="104"/>
      <c r="BY59" s="104"/>
      <c r="BZ59" s="104"/>
      <c r="CA59" s="104"/>
      <c r="CB59" s="104"/>
      <c r="CC59" s="104"/>
      <c r="CD59" s="104"/>
      <c r="CE59" s="104"/>
      <c r="CF59" s="104"/>
      <c r="CG59" s="104"/>
      <c r="CH59" s="104"/>
      <c r="CI59" s="104"/>
      <c r="CJ59" s="104"/>
      <c r="CK59" s="104"/>
      <c r="CL59" s="104"/>
      <c r="CM59" s="104"/>
      <c r="CN59" s="98"/>
      <c r="CP59" s="101"/>
      <c r="CQ59" s="101"/>
      <c r="CR59" s="101"/>
      <c r="CS59" s="101"/>
      <c r="CT59" s="101"/>
      <c r="FJ59" s="103"/>
      <c r="FL59" s="103"/>
      <c r="FN59" s="103"/>
      <c r="FP59" s="103"/>
    </row>
    <row r="60" spans="2:172" x14ac:dyDescent="0.35">
      <c r="B60" s="97"/>
      <c r="G60" s="100"/>
      <c r="K60" s="98"/>
      <c r="L60" s="101"/>
      <c r="M60" s="101"/>
      <c r="N60" s="101"/>
      <c r="O60" s="101"/>
      <c r="P60" s="102"/>
      <c r="Q60" s="101"/>
      <c r="R60" s="98"/>
      <c r="S60" s="98"/>
      <c r="T60" s="98"/>
      <c r="U60" s="98"/>
      <c r="V60" s="98"/>
      <c r="W60" s="98"/>
      <c r="X60" s="103"/>
      <c r="Y60" s="103"/>
      <c r="Z60" s="103"/>
      <c r="AA60" s="103"/>
      <c r="AB60" s="103"/>
      <c r="AC60" s="103"/>
      <c r="AD60" s="103"/>
      <c r="AE60" s="101"/>
      <c r="AF60" s="101"/>
      <c r="AG60" s="101"/>
      <c r="AH60" s="101"/>
      <c r="AI60" s="101"/>
      <c r="AJ60" s="101"/>
      <c r="AK60" s="101"/>
      <c r="AL60" s="103"/>
      <c r="AM60" s="103"/>
      <c r="AN60" s="103"/>
      <c r="AO60" s="103"/>
      <c r="AP60" s="103"/>
      <c r="AQ60" s="103"/>
      <c r="AR60" s="103"/>
      <c r="AS60" s="101"/>
      <c r="AT60" s="101"/>
      <c r="AU60" s="101"/>
      <c r="AV60" s="101"/>
      <c r="AW60" s="101"/>
      <c r="AX60" s="101"/>
      <c r="AY60" s="101"/>
      <c r="AZ60" s="103"/>
      <c r="BA60" s="103"/>
      <c r="BB60" s="103"/>
      <c r="BC60" s="101"/>
      <c r="BD60" s="101"/>
      <c r="BE60" s="101"/>
      <c r="BF60" s="101"/>
      <c r="BG60" s="101"/>
      <c r="BK60" s="101"/>
      <c r="BL60" s="101"/>
      <c r="BM60" s="101"/>
      <c r="BN60" s="101"/>
      <c r="BO60" s="101"/>
      <c r="BP60" s="101"/>
      <c r="BQ60" s="101"/>
      <c r="BR60" s="104"/>
      <c r="BS60" s="104"/>
      <c r="BT60" s="104"/>
      <c r="BU60" s="104"/>
      <c r="BV60" s="104"/>
      <c r="BW60" s="104"/>
      <c r="BX60" s="104"/>
      <c r="BY60" s="104"/>
      <c r="BZ60" s="104"/>
      <c r="CA60" s="104"/>
      <c r="CB60" s="104"/>
      <c r="CC60" s="104"/>
      <c r="CD60" s="104"/>
      <c r="CE60" s="104"/>
      <c r="CF60" s="104"/>
      <c r="CG60" s="104"/>
      <c r="CH60" s="104"/>
      <c r="CI60" s="104"/>
      <c r="CJ60" s="104"/>
      <c r="CK60" s="104"/>
      <c r="CL60" s="104"/>
      <c r="CM60" s="104"/>
      <c r="CN60" s="98"/>
      <c r="CP60" s="101"/>
      <c r="CQ60" s="101"/>
      <c r="CR60" s="101"/>
      <c r="CS60" s="101"/>
      <c r="CT60" s="101"/>
      <c r="FJ60" s="103"/>
      <c r="FL60" s="103"/>
      <c r="FN60" s="103"/>
      <c r="FP60" s="103"/>
    </row>
    <row r="61" spans="2:172" x14ac:dyDescent="0.35">
      <c r="B61" s="97"/>
      <c r="G61" s="100"/>
      <c r="K61" s="98"/>
      <c r="L61" s="101"/>
      <c r="M61" s="101"/>
      <c r="N61" s="101"/>
      <c r="O61" s="101"/>
      <c r="P61" s="102"/>
      <c r="Q61" s="101"/>
      <c r="R61" s="98"/>
      <c r="S61" s="98"/>
      <c r="T61" s="98"/>
      <c r="U61" s="98"/>
      <c r="V61" s="98"/>
      <c r="W61" s="98"/>
      <c r="X61" s="103"/>
      <c r="Y61" s="103"/>
      <c r="Z61" s="103"/>
      <c r="AA61" s="103"/>
      <c r="AB61" s="103"/>
      <c r="AC61" s="103"/>
      <c r="AD61" s="103"/>
      <c r="AE61" s="101"/>
      <c r="AF61" s="101"/>
      <c r="AG61" s="101"/>
      <c r="AH61" s="101"/>
      <c r="AI61" s="101"/>
      <c r="AJ61" s="101"/>
      <c r="AK61" s="101"/>
      <c r="AL61" s="103"/>
      <c r="AM61" s="103"/>
      <c r="AN61" s="103"/>
      <c r="AO61" s="103"/>
      <c r="AP61" s="103"/>
      <c r="AQ61" s="103"/>
      <c r="AR61" s="103"/>
      <c r="AS61" s="101"/>
      <c r="AT61" s="101"/>
      <c r="AU61" s="101"/>
      <c r="AV61" s="101"/>
      <c r="AW61" s="101"/>
      <c r="AX61" s="101"/>
      <c r="AY61" s="101"/>
      <c r="AZ61" s="103"/>
      <c r="BA61" s="103"/>
      <c r="BB61" s="103"/>
      <c r="BC61" s="101"/>
      <c r="BD61" s="101"/>
      <c r="BE61" s="101"/>
      <c r="BF61" s="101"/>
      <c r="BG61" s="101"/>
      <c r="BK61" s="101"/>
      <c r="BL61" s="101"/>
      <c r="BM61" s="101"/>
      <c r="BN61" s="101"/>
      <c r="BO61" s="101"/>
      <c r="BP61" s="101"/>
      <c r="BQ61" s="101"/>
      <c r="BR61" s="104"/>
      <c r="BS61" s="104"/>
      <c r="BT61" s="104"/>
      <c r="BU61" s="104"/>
      <c r="BV61" s="104"/>
      <c r="BW61" s="104"/>
      <c r="BX61" s="104"/>
      <c r="BY61" s="104"/>
      <c r="BZ61" s="104"/>
      <c r="CA61" s="104"/>
      <c r="CB61" s="104"/>
      <c r="CC61" s="104"/>
      <c r="CD61" s="104"/>
      <c r="CE61" s="104"/>
      <c r="CF61" s="104"/>
      <c r="CG61" s="104"/>
      <c r="CH61" s="104"/>
      <c r="CI61" s="104"/>
      <c r="CJ61" s="104"/>
      <c r="CK61" s="104"/>
      <c r="CL61" s="104"/>
      <c r="CM61" s="104"/>
      <c r="CN61" s="98"/>
      <c r="CP61" s="101"/>
      <c r="CQ61" s="101"/>
      <c r="CR61" s="101"/>
      <c r="CS61" s="101"/>
      <c r="CT61" s="101"/>
      <c r="FJ61" s="103"/>
      <c r="FL61" s="103"/>
      <c r="FN61" s="103"/>
      <c r="FP61" s="103"/>
    </row>
    <row r="62" spans="2:172" x14ac:dyDescent="0.35">
      <c r="B62" s="97"/>
      <c r="G62" s="100"/>
      <c r="K62" s="98"/>
      <c r="L62" s="101"/>
      <c r="M62" s="101"/>
      <c r="N62" s="101"/>
      <c r="O62" s="101"/>
      <c r="P62" s="102"/>
      <c r="Q62" s="101"/>
      <c r="R62" s="98"/>
      <c r="S62" s="98"/>
      <c r="T62" s="98"/>
      <c r="U62" s="98"/>
      <c r="V62" s="98"/>
      <c r="W62" s="98"/>
      <c r="X62" s="103"/>
      <c r="Y62" s="103"/>
      <c r="Z62" s="103"/>
      <c r="AA62" s="103"/>
      <c r="AB62" s="103"/>
      <c r="AC62" s="103"/>
      <c r="AD62" s="103"/>
      <c r="AE62" s="101"/>
      <c r="AF62" s="101"/>
      <c r="AG62" s="101"/>
      <c r="AH62" s="101"/>
      <c r="AI62" s="101"/>
      <c r="AJ62" s="101"/>
      <c r="AK62" s="101"/>
      <c r="AL62" s="103"/>
      <c r="AM62" s="103"/>
      <c r="AN62" s="103"/>
      <c r="AO62" s="103"/>
      <c r="AP62" s="103"/>
      <c r="AQ62" s="103"/>
      <c r="AR62" s="103"/>
      <c r="AS62" s="101"/>
      <c r="AT62" s="101"/>
      <c r="AU62" s="101"/>
      <c r="AV62" s="101"/>
      <c r="AW62" s="101"/>
      <c r="AX62" s="101"/>
      <c r="AY62" s="101"/>
      <c r="AZ62" s="103"/>
      <c r="BA62" s="103"/>
      <c r="BB62" s="103"/>
      <c r="BC62" s="101"/>
      <c r="BD62" s="101"/>
      <c r="BE62" s="101"/>
      <c r="BF62" s="101"/>
      <c r="BG62" s="101"/>
      <c r="BK62" s="101"/>
      <c r="BL62" s="101"/>
      <c r="BM62" s="101"/>
      <c r="BN62" s="101"/>
      <c r="BO62" s="101"/>
      <c r="BP62" s="101"/>
      <c r="BQ62" s="101"/>
      <c r="BR62" s="104"/>
      <c r="BS62" s="104"/>
      <c r="BT62" s="104"/>
      <c r="BU62" s="104"/>
      <c r="BV62" s="104"/>
      <c r="BW62" s="104"/>
      <c r="BX62" s="104"/>
      <c r="BY62" s="104"/>
      <c r="BZ62" s="104"/>
      <c r="CA62" s="104"/>
      <c r="CB62" s="104"/>
      <c r="CC62" s="104"/>
      <c r="CD62" s="104"/>
      <c r="CE62" s="104"/>
      <c r="CF62" s="104"/>
      <c r="CG62" s="104"/>
      <c r="CH62" s="104"/>
      <c r="CI62" s="104"/>
      <c r="CJ62" s="104"/>
      <c r="CK62" s="104"/>
      <c r="CL62" s="104"/>
      <c r="CM62" s="104"/>
      <c r="CN62" s="98"/>
      <c r="CP62" s="101"/>
      <c r="CQ62" s="101"/>
      <c r="CR62" s="101"/>
      <c r="CS62" s="101"/>
      <c r="CT62" s="101"/>
      <c r="FJ62" s="103"/>
      <c r="FL62" s="103"/>
      <c r="FN62" s="103"/>
      <c r="FP62" s="103"/>
    </row>
    <row r="63" spans="2:172" x14ac:dyDescent="0.35">
      <c r="B63" s="97"/>
      <c r="G63" s="100"/>
      <c r="K63" s="98"/>
      <c r="L63" s="101"/>
      <c r="M63" s="101"/>
      <c r="N63" s="101"/>
      <c r="O63" s="101"/>
      <c r="P63" s="102"/>
      <c r="Q63" s="101"/>
      <c r="R63" s="98"/>
      <c r="S63" s="98"/>
      <c r="T63" s="98"/>
      <c r="U63" s="98"/>
      <c r="V63" s="98"/>
      <c r="W63" s="98"/>
      <c r="X63" s="103"/>
      <c r="Y63" s="103"/>
      <c r="Z63" s="103"/>
      <c r="AA63" s="103"/>
      <c r="AB63" s="103"/>
      <c r="AC63" s="103"/>
      <c r="AD63" s="103"/>
      <c r="AE63" s="101"/>
      <c r="AF63" s="101"/>
      <c r="AG63" s="101"/>
      <c r="AH63" s="101"/>
      <c r="AI63" s="101"/>
      <c r="AJ63" s="101"/>
      <c r="AK63" s="101"/>
      <c r="AL63" s="103"/>
      <c r="AM63" s="103"/>
      <c r="AN63" s="103"/>
      <c r="AO63" s="103"/>
      <c r="AP63" s="103"/>
      <c r="AQ63" s="103"/>
      <c r="AR63" s="103"/>
      <c r="AS63" s="101"/>
      <c r="AT63" s="101"/>
      <c r="AU63" s="101"/>
      <c r="AV63" s="101"/>
      <c r="AW63" s="101"/>
      <c r="AX63" s="101"/>
      <c r="AY63" s="101"/>
      <c r="AZ63" s="103"/>
      <c r="BA63" s="103"/>
      <c r="BB63" s="103"/>
      <c r="BC63" s="101"/>
      <c r="BD63" s="101"/>
      <c r="BE63" s="101"/>
      <c r="BF63" s="101"/>
      <c r="BG63" s="101"/>
      <c r="BK63" s="101"/>
      <c r="BL63" s="101"/>
      <c r="BM63" s="101"/>
      <c r="BN63" s="101"/>
      <c r="BO63" s="101"/>
      <c r="BP63" s="101"/>
      <c r="BQ63" s="101"/>
      <c r="BR63" s="104"/>
      <c r="BS63" s="104"/>
      <c r="BT63" s="104"/>
      <c r="BU63" s="104"/>
      <c r="BV63" s="104"/>
      <c r="BW63" s="104"/>
      <c r="BX63" s="104"/>
      <c r="BY63" s="104"/>
      <c r="BZ63" s="104"/>
      <c r="CA63" s="104"/>
      <c r="CB63" s="104"/>
      <c r="CC63" s="104"/>
      <c r="CD63" s="104"/>
      <c r="CE63" s="104"/>
      <c r="CF63" s="104"/>
      <c r="CG63" s="104"/>
      <c r="CH63" s="104"/>
      <c r="CI63" s="104"/>
      <c r="CJ63" s="104"/>
      <c r="CK63" s="104"/>
      <c r="CL63" s="104"/>
      <c r="CM63" s="104"/>
      <c r="CN63" s="98"/>
      <c r="CP63" s="101"/>
      <c r="CQ63" s="101"/>
      <c r="CR63" s="101"/>
      <c r="CS63" s="101"/>
      <c r="CT63" s="101"/>
      <c r="FJ63" s="103"/>
      <c r="FL63" s="103"/>
      <c r="FN63" s="103"/>
      <c r="FP63" s="103"/>
    </row>
    <row r="64" spans="2:172" x14ac:dyDescent="0.35">
      <c r="B64" s="97"/>
      <c r="G64" s="100"/>
      <c r="K64" s="98"/>
      <c r="L64" s="101"/>
      <c r="M64" s="101"/>
      <c r="N64" s="101"/>
      <c r="O64" s="101"/>
      <c r="P64" s="102"/>
      <c r="Q64" s="101"/>
      <c r="R64" s="98"/>
      <c r="S64" s="98"/>
      <c r="T64" s="98"/>
      <c r="U64" s="98"/>
      <c r="V64" s="98"/>
      <c r="W64" s="98"/>
      <c r="X64" s="103"/>
      <c r="Y64" s="103"/>
      <c r="Z64" s="103"/>
      <c r="AA64" s="103"/>
      <c r="AB64" s="103"/>
      <c r="AC64" s="103"/>
      <c r="AD64" s="103"/>
      <c r="AE64" s="101"/>
      <c r="AF64" s="101"/>
      <c r="AG64" s="101"/>
      <c r="AH64" s="101"/>
      <c r="AI64" s="101"/>
      <c r="AJ64" s="101"/>
      <c r="AK64" s="101"/>
      <c r="AL64" s="103"/>
      <c r="AM64" s="103"/>
      <c r="AN64" s="103"/>
      <c r="AO64" s="103"/>
      <c r="AP64" s="103"/>
      <c r="AQ64" s="103"/>
      <c r="AR64" s="103"/>
      <c r="AS64" s="101"/>
      <c r="AT64" s="101"/>
      <c r="AU64" s="101"/>
      <c r="AV64" s="101"/>
      <c r="AW64" s="101"/>
      <c r="AX64" s="101"/>
      <c r="AY64" s="101"/>
      <c r="AZ64" s="103"/>
      <c r="BA64" s="103"/>
      <c r="BB64" s="103"/>
      <c r="BC64" s="101"/>
      <c r="BD64" s="101"/>
      <c r="BE64" s="101"/>
      <c r="BF64" s="101"/>
      <c r="BG64" s="101"/>
      <c r="BK64" s="101"/>
      <c r="BL64" s="101"/>
      <c r="BM64" s="101"/>
      <c r="BN64" s="101"/>
      <c r="BO64" s="101"/>
      <c r="BP64" s="101"/>
      <c r="BQ64" s="101"/>
      <c r="BR64" s="104"/>
      <c r="BS64" s="104"/>
      <c r="BT64" s="104"/>
      <c r="BU64" s="104"/>
      <c r="BV64" s="104"/>
      <c r="BW64" s="104"/>
      <c r="BX64" s="104"/>
      <c r="BY64" s="104"/>
      <c r="BZ64" s="104"/>
      <c r="CA64" s="104"/>
      <c r="CB64" s="104"/>
      <c r="CC64" s="104"/>
      <c r="CD64" s="104"/>
      <c r="CE64" s="104"/>
      <c r="CF64" s="104"/>
      <c r="CG64" s="104"/>
      <c r="CH64" s="104"/>
      <c r="CI64" s="104"/>
      <c r="CJ64" s="104"/>
      <c r="CK64" s="104"/>
      <c r="CL64" s="104"/>
      <c r="CM64" s="104"/>
      <c r="CN64" s="98"/>
      <c r="CP64" s="101"/>
      <c r="CQ64" s="101"/>
      <c r="CR64" s="101"/>
      <c r="CS64" s="101"/>
      <c r="CT64" s="101"/>
      <c r="FJ64" s="103"/>
      <c r="FL64" s="103"/>
      <c r="FN64" s="103"/>
      <c r="FP64" s="103"/>
    </row>
    <row r="65" spans="2:172" x14ac:dyDescent="0.35">
      <c r="B65" s="97"/>
      <c r="G65" s="100"/>
      <c r="K65" s="98"/>
      <c r="L65" s="101"/>
      <c r="M65" s="101"/>
      <c r="N65" s="101"/>
      <c r="O65" s="101"/>
      <c r="P65" s="102"/>
      <c r="Q65" s="101"/>
      <c r="R65" s="98"/>
      <c r="S65" s="98"/>
      <c r="T65" s="98"/>
      <c r="U65" s="98"/>
      <c r="V65" s="98"/>
      <c r="W65" s="98"/>
      <c r="X65" s="103"/>
      <c r="Y65" s="103"/>
      <c r="Z65" s="103"/>
      <c r="AA65" s="103"/>
      <c r="AB65" s="103"/>
      <c r="AC65" s="103"/>
      <c r="AD65" s="103"/>
      <c r="AE65" s="101"/>
      <c r="AF65" s="101"/>
      <c r="AG65" s="101"/>
      <c r="AH65" s="101"/>
      <c r="AI65" s="101"/>
      <c r="AJ65" s="101"/>
      <c r="AK65" s="101"/>
      <c r="AL65" s="103"/>
      <c r="AM65" s="103"/>
      <c r="AN65" s="103"/>
      <c r="AO65" s="103"/>
      <c r="AP65" s="103"/>
      <c r="AQ65" s="103"/>
      <c r="AR65" s="103"/>
      <c r="AS65" s="101"/>
      <c r="AT65" s="101"/>
      <c r="AU65" s="101"/>
      <c r="AV65" s="101"/>
      <c r="AW65" s="101"/>
      <c r="AX65" s="101"/>
      <c r="AY65" s="101"/>
      <c r="AZ65" s="103"/>
      <c r="BA65" s="103"/>
      <c r="BB65" s="103"/>
      <c r="BC65" s="101"/>
      <c r="BD65" s="101"/>
      <c r="BE65" s="101"/>
      <c r="BF65" s="101"/>
      <c r="BG65" s="101"/>
      <c r="BK65" s="101"/>
      <c r="BL65" s="101"/>
      <c r="BM65" s="101"/>
      <c r="BN65" s="101"/>
      <c r="BO65" s="101"/>
      <c r="BP65" s="101"/>
      <c r="BQ65" s="101"/>
      <c r="BR65" s="104"/>
      <c r="BS65" s="104"/>
      <c r="BT65" s="104"/>
      <c r="BU65" s="104"/>
      <c r="BV65" s="104"/>
      <c r="BW65" s="104"/>
      <c r="BX65" s="104"/>
      <c r="BY65" s="104"/>
      <c r="BZ65" s="104"/>
      <c r="CA65" s="104"/>
      <c r="CB65" s="104"/>
      <c r="CC65" s="104"/>
      <c r="CD65" s="104"/>
      <c r="CE65" s="104"/>
      <c r="CF65" s="104"/>
      <c r="CG65" s="104"/>
      <c r="CH65" s="104"/>
      <c r="CI65" s="104"/>
      <c r="CJ65" s="104"/>
      <c r="CK65" s="104"/>
      <c r="CL65" s="104"/>
      <c r="CM65" s="104"/>
      <c r="CN65" s="98"/>
      <c r="CP65" s="101"/>
      <c r="CQ65" s="101"/>
      <c r="CR65" s="101"/>
      <c r="CS65" s="101"/>
      <c r="CT65" s="101"/>
      <c r="FJ65" s="103"/>
      <c r="FL65" s="103"/>
      <c r="FN65" s="103"/>
      <c r="FP65" s="103"/>
    </row>
    <row r="66" spans="2:172" x14ac:dyDescent="0.35">
      <c r="B66" s="97"/>
      <c r="G66" s="100"/>
      <c r="K66" s="98"/>
      <c r="L66" s="101"/>
      <c r="M66" s="101"/>
      <c r="N66" s="101"/>
      <c r="O66" s="101"/>
      <c r="P66" s="102"/>
      <c r="Q66" s="101"/>
      <c r="R66" s="98"/>
      <c r="S66" s="98"/>
      <c r="T66" s="98"/>
      <c r="U66" s="98"/>
      <c r="V66" s="98"/>
      <c r="W66" s="98"/>
      <c r="X66" s="103"/>
      <c r="Y66" s="103"/>
      <c r="Z66" s="103"/>
      <c r="AA66" s="103"/>
      <c r="AB66" s="103"/>
      <c r="AC66" s="103"/>
      <c r="AD66" s="103"/>
      <c r="AE66" s="101"/>
      <c r="AF66" s="101"/>
      <c r="AG66" s="101"/>
      <c r="AH66" s="101"/>
      <c r="AI66" s="101"/>
      <c r="AJ66" s="101"/>
      <c r="AK66" s="101"/>
      <c r="AL66" s="103"/>
      <c r="AM66" s="103"/>
      <c r="AN66" s="103"/>
      <c r="AO66" s="103"/>
      <c r="AP66" s="103"/>
      <c r="AQ66" s="103"/>
      <c r="AR66" s="103"/>
      <c r="AS66" s="101"/>
      <c r="AT66" s="101"/>
      <c r="AU66" s="101"/>
      <c r="AV66" s="101"/>
      <c r="AW66" s="101"/>
      <c r="AX66" s="101"/>
      <c r="AY66" s="101"/>
      <c r="AZ66" s="103"/>
      <c r="BA66" s="103"/>
      <c r="BB66" s="103"/>
      <c r="BC66" s="101"/>
      <c r="BD66" s="101"/>
      <c r="BE66" s="101"/>
      <c r="BF66" s="101"/>
      <c r="BG66" s="101"/>
      <c r="BK66" s="101"/>
      <c r="BL66" s="101"/>
      <c r="BM66" s="101"/>
      <c r="BN66" s="101"/>
      <c r="BO66" s="101"/>
      <c r="BP66" s="101"/>
      <c r="BQ66" s="101"/>
      <c r="BR66" s="104"/>
      <c r="BS66" s="104"/>
      <c r="BT66" s="104"/>
      <c r="BU66" s="104"/>
      <c r="BV66" s="104"/>
      <c r="BW66" s="104"/>
      <c r="BX66" s="104"/>
      <c r="BY66" s="104"/>
      <c r="BZ66" s="104"/>
      <c r="CA66" s="104"/>
      <c r="CB66" s="104"/>
      <c r="CC66" s="104"/>
      <c r="CD66" s="104"/>
      <c r="CE66" s="104"/>
      <c r="CF66" s="104"/>
      <c r="CG66" s="104"/>
      <c r="CH66" s="104"/>
      <c r="CI66" s="104"/>
      <c r="CJ66" s="104"/>
      <c r="CK66" s="104"/>
      <c r="CL66" s="104"/>
      <c r="CM66" s="104"/>
      <c r="CN66" s="98"/>
      <c r="CP66" s="101"/>
      <c r="CQ66" s="101"/>
      <c r="CR66" s="101"/>
      <c r="CS66" s="101"/>
      <c r="CT66" s="101"/>
      <c r="FJ66" s="103"/>
      <c r="FL66" s="103"/>
      <c r="FN66" s="103"/>
      <c r="FP66" s="103"/>
    </row>
    <row r="67" spans="2:172" x14ac:dyDescent="0.35">
      <c r="B67" s="97"/>
      <c r="G67" s="100"/>
      <c r="K67" s="98"/>
      <c r="L67" s="101"/>
      <c r="M67" s="101"/>
      <c r="N67" s="101"/>
      <c r="O67" s="101"/>
      <c r="P67" s="102"/>
      <c r="Q67" s="101"/>
      <c r="R67" s="98"/>
      <c r="S67" s="98"/>
      <c r="T67" s="98"/>
      <c r="U67" s="98"/>
      <c r="V67" s="98"/>
      <c r="W67" s="98"/>
      <c r="X67" s="103"/>
      <c r="Y67" s="103"/>
      <c r="Z67" s="103"/>
      <c r="AA67" s="103"/>
      <c r="AB67" s="103"/>
      <c r="AC67" s="103"/>
      <c r="AD67" s="103"/>
      <c r="AE67" s="101"/>
      <c r="AF67" s="101"/>
      <c r="AG67" s="101"/>
      <c r="AH67" s="101"/>
      <c r="AI67" s="101"/>
      <c r="AJ67" s="101"/>
      <c r="AK67" s="101"/>
      <c r="AL67" s="103"/>
      <c r="AM67" s="103"/>
      <c r="AN67" s="103"/>
      <c r="AO67" s="103"/>
      <c r="AP67" s="103"/>
      <c r="AQ67" s="103"/>
      <c r="AR67" s="103"/>
      <c r="AS67" s="101"/>
      <c r="AT67" s="101"/>
      <c r="AU67" s="101"/>
      <c r="AV67" s="101"/>
      <c r="AW67" s="101"/>
      <c r="AX67" s="101"/>
      <c r="AY67" s="101"/>
      <c r="AZ67" s="103"/>
      <c r="BA67" s="103"/>
      <c r="BB67" s="103"/>
      <c r="BC67" s="101"/>
      <c r="BD67" s="101"/>
      <c r="BE67" s="101"/>
      <c r="BF67" s="101"/>
      <c r="BG67" s="101"/>
      <c r="BK67" s="101"/>
      <c r="BL67" s="101"/>
      <c r="BM67" s="101"/>
      <c r="BN67" s="101"/>
      <c r="BO67" s="101"/>
      <c r="BP67" s="101"/>
      <c r="BQ67" s="101"/>
      <c r="BR67" s="104"/>
      <c r="BS67" s="104"/>
      <c r="BT67" s="104"/>
      <c r="BU67" s="104"/>
      <c r="BV67" s="104"/>
      <c r="BW67" s="104"/>
      <c r="BX67" s="104"/>
      <c r="BY67" s="104"/>
      <c r="BZ67" s="104"/>
      <c r="CA67" s="104"/>
      <c r="CB67" s="104"/>
      <c r="CC67" s="104"/>
      <c r="CD67" s="104"/>
      <c r="CE67" s="104"/>
      <c r="CF67" s="104"/>
      <c r="CG67" s="104"/>
      <c r="CH67" s="104"/>
      <c r="CI67" s="104"/>
      <c r="CJ67" s="104"/>
      <c r="CK67" s="104"/>
      <c r="CL67" s="104"/>
      <c r="CM67" s="104"/>
      <c r="CN67" s="98"/>
      <c r="CP67" s="101"/>
      <c r="CQ67" s="101"/>
      <c r="CR67" s="101"/>
      <c r="CS67" s="101"/>
      <c r="CT67" s="101"/>
      <c r="FJ67" s="103"/>
      <c r="FL67" s="103"/>
      <c r="FN67" s="103"/>
      <c r="FP67" s="103"/>
    </row>
    <row r="68" spans="2:172" x14ac:dyDescent="0.35">
      <c r="B68" s="97"/>
      <c r="G68" s="100"/>
      <c r="K68" s="98"/>
      <c r="L68" s="101"/>
      <c r="M68" s="101"/>
      <c r="N68" s="101"/>
      <c r="O68" s="101"/>
      <c r="P68" s="102"/>
      <c r="Q68" s="101"/>
      <c r="R68" s="98"/>
      <c r="S68" s="98"/>
      <c r="T68" s="98"/>
      <c r="U68" s="98"/>
      <c r="V68" s="98"/>
      <c r="W68" s="98"/>
      <c r="X68" s="103"/>
      <c r="Y68" s="103"/>
      <c r="Z68" s="103"/>
      <c r="AA68" s="103"/>
      <c r="AB68" s="103"/>
      <c r="AC68" s="103"/>
      <c r="AD68" s="103"/>
      <c r="AE68" s="101"/>
      <c r="AF68" s="101"/>
      <c r="AG68" s="101"/>
      <c r="AH68" s="101"/>
      <c r="AI68" s="101"/>
      <c r="AJ68" s="101"/>
      <c r="AK68" s="101"/>
      <c r="AL68" s="103"/>
      <c r="AM68" s="103"/>
      <c r="AN68" s="103"/>
      <c r="AO68" s="103"/>
      <c r="AP68" s="103"/>
      <c r="AQ68" s="103"/>
      <c r="AR68" s="103"/>
      <c r="AS68" s="101"/>
      <c r="AT68" s="101"/>
      <c r="AU68" s="101"/>
      <c r="AV68" s="101"/>
      <c r="AW68" s="101"/>
      <c r="AX68" s="101"/>
      <c r="AY68" s="101"/>
      <c r="AZ68" s="103"/>
      <c r="BA68" s="103"/>
      <c r="BB68" s="103"/>
      <c r="BC68" s="101"/>
      <c r="BD68" s="101"/>
      <c r="BE68" s="101"/>
      <c r="BF68" s="101"/>
      <c r="BG68" s="101"/>
      <c r="BK68" s="101"/>
      <c r="BL68" s="101"/>
      <c r="BM68" s="101"/>
      <c r="BN68" s="101"/>
      <c r="BO68" s="101"/>
      <c r="BP68" s="101"/>
      <c r="BQ68" s="101"/>
      <c r="BR68" s="104"/>
      <c r="BS68" s="104"/>
      <c r="BT68" s="104"/>
      <c r="BU68" s="104"/>
      <c r="BV68" s="104"/>
      <c r="BW68" s="104"/>
      <c r="BX68" s="104"/>
      <c r="BY68" s="104"/>
      <c r="BZ68" s="104"/>
      <c r="CA68" s="104"/>
      <c r="CB68" s="104"/>
      <c r="CC68" s="104"/>
      <c r="CD68" s="104"/>
      <c r="CE68" s="104"/>
      <c r="CF68" s="104"/>
      <c r="CG68" s="104"/>
      <c r="CH68" s="104"/>
      <c r="CI68" s="104"/>
      <c r="CJ68" s="104"/>
      <c r="CK68" s="104"/>
      <c r="CL68" s="104"/>
      <c r="CM68" s="104"/>
      <c r="CN68" s="98"/>
      <c r="CP68" s="101"/>
      <c r="CQ68" s="101"/>
      <c r="CR68" s="101"/>
      <c r="CS68" s="101"/>
      <c r="CT68" s="101"/>
      <c r="FJ68" s="103"/>
      <c r="FL68" s="103"/>
      <c r="FN68" s="103"/>
      <c r="FP68" s="103"/>
    </row>
    <row r="69" spans="2:172" x14ac:dyDescent="0.35">
      <c r="B69" s="97"/>
      <c r="G69" s="100"/>
      <c r="K69" s="98"/>
      <c r="L69" s="101"/>
      <c r="M69" s="101"/>
      <c r="N69" s="101"/>
      <c r="O69" s="101"/>
      <c r="P69" s="102"/>
      <c r="Q69" s="101"/>
      <c r="R69" s="98"/>
      <c r="S69" s="98"/>
      <c r="T69" s="98"/>
      <c r="U69" s="98"/>
      <c r="V69" s="98"/>
      <c r="W69" s="98"/>
      <c r="X69" s="103"/>
      <c r="Y69" s="103"/>
      <c r="Z69" s="103"/>
      <c r="AA69" s="103"/>
      <c r="AB69" s="103"/>
      <c r="AC69" s="103"/>
      <c r="AD69" s="103"/>
      <c r="AE69" s="101"/>
      <c r="AF69" s="101"/>
      <c r="AG69" s="101"/>
      <c r="AH69" s="101"/>
      <c r="AI69" s="101"/>
      <c r="AJ69" s="101"/>
      <c r="AK69" s="101"/>
      <c r="AL69" s="103"/>
      <c r="AM69" s="103"/>
      <c r="AN69" s="103"/>
      <c r="AO69" s="103"/>
      <c r="AP69" s="103"/>
      <c r="AQ69" s="103"/>
      <c r="AR69" s="103"/>
      <c r="AS69" s="101"/>
      <c r="AT69" s="101"/>
      <c r="AU69" s="101"/>
      <c r="AV69" s="101"/>
      <c r="AW69" s="101"/>
      <c r="AX69" s="101"/>
      <c r="AY69" s="101"/>
      <c r="AZ69" s="103"/>
      <c r="BA69" s="103"/>
      <c r="BB69" s="103"/>
      <c r="BC69" s="101"/>
      <c r="BD69" s="101"/>
      <c r="BE69" s="101"/>
      <c r="BF69" s="101"/>
      <c r="BG69" s="101"/>
      <c r="BK69" s="101"/>
      <c r="BL69" s="101"/>
      <c r="BM69" s="101"/>
      <c r="BN69" s="101"/>
      <c r="BO69" s="101"/>
      <c r="BP69" s="101"/>
      <c r="BQ69" s="101"/>
      <c r="BR69" s="104"/>
      <c r="BS69" s="104"/>
      <c r="BT69" s="104"/>
      <c r="BU69" s="104"/>
      <c r="BV69" s="104"/>
      <c r="BW69" s="104"/>
      <c r="BX69" s="104"/>
      <c r="BY69" s="104"/>
      <c r="BZ69" s="104"/>
      <c r="CA69" s="104"/>
      <c r="CB69" s="104"/>
      <c r="CC69" s="104"/>
      <c r="CD69" s="104"/>
      <c r="CE69" s="104"/>
      <c r="CF69" s="104"/>
      <c r="CG69" s="104"/>
      <c r="CH69" s="104"/>
      <c r="CI69" s="104"/>
      <c r="CJ69" s="104"/>
      <c r="CK69" s="104"/>
      <c r="CL69" s="104"/>
      <c r="CM69" s="104"/>
      <c r="CN69" s="98"/>
      <c r="CP69" s="101"/>
      <c r="CQ69" s="101"/>
      <c r="CR69" s="101"/>
      <c r="CS69" s="101"/>
      <c r="CT69" s="101"/>
      <c r="FJ69" s="103"/>
      <c r="FL69" s="103"/>
      <c r="FN69" s="103"/>
      <c r="FP69" s="103"/>
    </row>
    <row r="70" spans="2:172" x14ac:dyDescent="0.35">
      <c r="B70" s="97"/>
      <c r="G70" s="100"/>
      <c r="K70" s="98"/>
      <c r="L70" s="101"/>
      <c r="M70" s="101"/>
      <c r="N70" s="101"/>
      <c r="O70" s="101"/>
      <c r="P70" s="102"/>
      <c r="Q70" s="101"/>
      <c r="R70" s="98"/>
      <c r="S70" s="98"/>
      <c r="T70" s="98"/>
      <c r="U70" s="98"/>
      <c r="V70" s="98"/>
      <c r="W70" s="98"/>
      <c r="X70" s="103"/>
      <c r="Y70" s="103"/>
      <c r="Z70" s="103"/>
      <c r="AA70" s="103"/>
      <c r="AB70" s="103"/>
      <c r="AC70" s="103"/>
      <c r="AD70" s="103"/>
      <c r="AE70" s="101"/>
      <c r="AF70" s="101"/>
      <c r="AG70" s="101"/>
      <c r="AH70" s="101"/>
      <c r="AI70" s="101"/>
      <c r="AJ70" s="101"/>
      <c r="AK70" s="101"/>
      <c r="AL70" s="103"/>
      <c r="AM70" s="103"/>
      <c r="AN70" s="103"/>
      <c r="AO70" s="103"/>
      <c r="AP70" s="103"/>
      <c r="AQ70" s="103"/>
      <c r="AR70" s="103"/>
      <c r="AS70" s="101"/>
      <c r="AT70" s="101"/>
      <c r="AU70" s="101"/>
      <c r="AV70" s="101"/>
      <c r="AW70" s="101"/>
      <c r="AX70" s="101"/>
      <c r="AY70" s="101"/>
      <c r="AZ70" s="103"/>
      <c r="BA70" s="103"/>
      <c r="BB70" s="103"/>
      <c r="BC70" s="101"/>
      <c r="BD70" s="101"/>
      <c r="BE70" s="101"/>
      <c r="BF70" s="101"/>
      <c r="BG70" s="101"/>
      <c r="BK70" s="101"/>
      <c r="BL70" s="101"/>
      <c r="BM70" s="101"/>
      <c r="BN70" s="101"/>
      <c r="BO70" s="101"/>
      <c r="BP70" s="101"/>
      <c r="BQ70" s="101"/>
      <c r="BR70" s="104"/>
      <c r="BS70" s="104"/>
      <c r="BT70" s="104"/>
      <c r="BU70" s="104"/>
      <c r="BV70" s="104"/>
      <c r="BW70" s="104"/>
      <c r="BX70" s="104"/>
      <c r="BY70" s="104"/>
      <c r="BZ70" s="104"/>
      <c r="CA70" s="104"/>
      <c r="CB70" s="104"/>
      <c r="CC70" s="104"/>
      <c r="CD70" s="104"/>
      <c r="CE70" s="104"/>
      <c r="CF70" s="104"/>
      <c r="CG70" s="104"/>
      <c r="CH70" s="104"/>
      <c r="CI70" s="104"/>
      <c r="CJ70" s="104"/>
      <c r="CK70" s="104"/>
      <c r="CL70" s="104"/>
      <c r="CM70" s="104"/>
      <c r="CN70" s="98"/>
      <c r="CP70" s="101"/>
      <c r="CQ70" s="101"/>
      <c r="CR70" s="101"/>
      <c r="CS70" s="101"/>
      <c r="CT70" s="101"/>
      <c r="FJ70" s="103"/>
      <c r="FL70" s="103"/>
      <c r="FN70" s="103"/>
      <c r="FP70" s="103"/>
    </row>
    <row r="71" spans="2:172" x14ac:dyDescent="0.35">
      <c r="B71" s="97"/>
      <c r="G71" s="100"/>
      <c r="K71" s="98"/>
      <c r="L71" s="101"/>
      <c r="M71" s="101"/>
      <c r="N71" s="101"/>
      <c r="O71" s="101"/>
      <c r="P71" s="102"/>
      <c r="Q71" s="101"/>
      <c r="R71" s="98"/>
      <c r="S71" s="98"/>
      <c r="T71" s="98"/>
      <c r="U71" s="98"/>
      <c r="V71" s="98"/>
      <c r="W71" s="98"/>
      <c r="X71" s="103"/>
      <c r="Y71" s="103"/>
      <c r="Z71" s="103"/>
      <c r="AA71" s="103"/>
      <c r="AB71" s="103"/>
      <c r="AC71" s="103"/>
      <c r="AD71" s="103"/>
      <c r="AE71" s="101"/>
      <c r="AF71" s="101"/>
      <c r="AG71" s="101"/>
      <c r="AH71" s="101"/>
      <c r="AI71" s="101"/>
      <c r="AJ71" s="101"/>
      <c r="AK71" s="101"/>
      <c r="AL71" s="103"/>
      <c r="AM71" s="103"/>
      <c r="AN71" s="103"/>
      <c r="AO71" s="103"/>
      <c r="AP71" s="103"/>
      <c r="AQ71" s="103"/>
      <c r="AR71" s="103"/>
      <c r="AS71" s="101"/>
      <c r="AT71" s="101"/>
      <c r="AU71" s="101"/>
      <c r="AV71" s="101"/>
      <c r="AW71" s="101"/>
      <c r="AX71" s="101"/>
      <c r="AY71" s="101"/>
      <c r="AZ71" s="103"/>
      <c r="BA71" s="103"/>
      <c r="BB71" s="103"/>
      <c r="BC71" s="101"/>
      <c r="BD71" s="101"/>
      <c r="BE71" s="101"/>
      <c r="BF71" s="101"/>
      <c r="BG71" s="101"/>
      <c r="BK71" s="101"/>
      <c r="BL71" s="101"/>
      <c r="BM71" s="101"/>
      <c r="BN71" s="101"/>
      <c r="BO71" s="101"/>
      <c r="BP71" s="101"/>
      <c r="BQ71" s="101"/>
      <c r="BR71" s="104"/>
      <c r="BS71" s="104"/>
      <c r="BT71" s="104"/>
      <c r="BU71" s="104"/>
      <c r="BV71" s="104"/>
      <c r="BW71" s="104"/>
      <c r="BX71" s="104"/>
      <c r="BY71" s="104"/>
      <c r="BZ71" s="104"/>
      <c r="CA71" s="104"/>
      <c r="CB71" s="104"/>
      <c r="CC71" s="104"/>
      <c r="CD71" s="104"/>
      <c r="CE71" s="104"/>
      <c r="CF71" s="104"/>
      <c r="CG71" s="104"/>
      <c r="CH71" s="104"/>
      <c r="CI71" s="104"/>
      <c r="CJ71" s="104"/>
      <c r="CK71" s="104"/>
      <c r="CL71" s="104"/>
      <c r="CM71" s="104"/>
      <c r="CN71" s="98"/>
      <c r="CP71" s="101"/>
      <c r="CQ71" s="101"/>
      <c r="CR71" s="101"/>
      <c r="CS71" s="101"/>
      <c r="CT71" s="101"/>
      <c r="FJ71" s="103"/>
      <c r="FL71" s="103"/>
      <c r="FN71" s="103"/>
      <c r="FP71" s="103"/>
    </row>
    <row r="72" spans="2:172" x14ac:dyDescent="0.35">
      <c r="B72" s="97"/>
      <c r="G72" s="100"/>
      <c r="K72" s="98"/>
      <c r="L72" s="101"/>
      <c r="M72" s="101"/>
      <c r="N72" s="101"/>
      <c r="O72" s="101"/>
      <c r="P72" s="102"/>
      <c r="Q72" s="101"/>
      <c r="R72" s="98"/>
      <c r="S72" s="98"/>
      <c r="T72" s="98"/>
      <c r="U72" s="98"/>
      <c r="V72" s="98"/>
      <c r="W72" s="98"/>
      <c r="X72" s="103"/>
      <c r="Y72" s="103"/>
      <c r="Z72" s="103"/>
      <c r="AA72" s="103"/>
      <c r="AB72" s="103"/>
      <c r="AC72" s="103"/>
      <c r="AD72" s="103"/>
      <c r="AE72" s="101"/>
      <c r="AF72" s="101"/>
      <c r="AG72" s="101"/>
      <c r="AH72" s="101"/>
      <c r="AI72" s="101"/>
      <c r="AJ72" s="101"/>
      <c r="AK72" s="101"/>
      <c r="AL72" s="103"/>
      <c r="AM72" s="103"/>
      <c r="AN72" s="103"/>
      <c r="AO72" s="103"/>
      <c r="AP72" s="103"/>
      <c r="AQ72" s="103"/>
      <c r="AR72" s="103"/>
      <c r="AS72" s="101"/>
      <c r="AT72" s="101"/>
      <c r="AU72" s="101"/>
      <c r="AV72" s="101"/>
      <c r="AW72" s="101"/>
      <c r="AX72" s="101"/>
      <c r="AY72" s="101"/>
      <c r="AZ72" s="103"/>
      <c r="BA72" s="103"/>
      <c r="BB72" s="103"/>
      <c r="BC72" s="101"/>
      <c r="BD72" s="101"/>
      <c r="BE72" s="101"/>
      <c r="BF72" s="101"/>
      <c r="BG72" s="101"/>
      <c r="BK72" s="101"/>
      <c r="BL72" s="101"/>
      <c r="BM72" s="101"/>
      <c r="BN72" s="101"/>
      <c r="BO72" s="101"/>
      <c r="BP72" s="101"/>
      <c r="BQ72" s="101"/>
      <c r="BR72" s="104"/>
      <c r="BS72" s="104"/>
      <c r="BT72" s="104"/>
      <c r="BU72" s="104"/>
      <c r="BV72" s="104"/>
      <c r="BW72" s="104"/>
      <c r="BX72" s="104"/>
      <c r="BY72" s="104"/>
      <c r="BZ72" s="104"/>
      <c r="CA72" s="104"/>
      <c r="CB72" s="104"/>
      <c r="CC72" s="104"/>
      <c r="CD72" s="104"/>
      <c r="CE72" s="104"/>
      <c r="CF72" s="104"/>
      <c r="CG72" s="104"/>
      <c r="CH72" s="104"/>
      <c r="CI72" s="104"/>
      <c r="CJ72" s="104"/>
      <c r="CK72" s="104"/>
      <c r="CL72" s="104"/>
      <c r="CM72" s="104"/>
      <c r="CN72" s="98"/>
      <c r="CP72" s="101"/>
      <c r="CQ72" s="101"/>
      <c r="CR72" s="101"/>
      <c r="CS72" s="101"/>
      <c r="CT72" s="101"/>
      <c r="FJ72" s="103"/>
      <c r="FL72" s="103"/>
      <c r="FN72" s="103"/>
      <c r="FP72" s="103"/>
    </row>
    <row r="73" spans="2:172" x14ac:dyDescent="0.35">
      <c r="B73" s="97"/>
      <c r="G73" s="100"/>
      <c r="K73" s="98"/>
      <c r="L73" s="101"/>
      <c r="M73" s="101"/>
      <c r="N73" s="101"/>
      <c r="O73" s="101"/>
      <c r="P73" s="102"/>
      <c r="Q73" s="101"/>
      <c r="R73" s="98"/>
      <c r="S73" s="98"/>
      <c r="T73" s="98"/>
      <c r="U73" s="98"/>
      <c r="V73" s="98"/>
      <c r="W73" s="98"/>
      <c r="X73" s="103"/>
      <c r="Y73" s="103"/>
      <c r="Z73" s="103"/>
      <c r="AA73" s="103"/>
      <c r="AB73" s="103"/>
      <c r="AC73" s="103"/>
      <c r="AD73" s="103"/>
      <c r="AE73" s="101"/>
      <c r="AF73" s="101"/>
      <c r="AG73" s="101"/>
      <c r="AH73" s="101"/>
      <c r="AI73" s="101"/>
      <c r="AJ73" s="101"/>
      <c r="AK73" s="101"/>
      <c r="AL73" s="103"/>
      <c r="AM73" s="103"/>
      <c r="AN73" s="103"/>
      <c r="AO73" s="103"/>
      <c r="AP73" s="103"/>
      <c r="AQ73" s="103"/>
      <c r="AR73" s="103"/>
      <c r="AS73" s="101"/>
      <c r="AT73" s="101"/>
      <c r="AU73" s="101"/>
      <c r="AV73" s="101"/>
      <c r="AW73" s="101"/>
      <c r="AX73" s="101"/>
      <c r="AY73" s="101"/>
      <c r="AZ73" s="103"/>
      <c r="BA73" s="103"/>
      <c r="BB73" s="103"/>
      <c r="BC73" s="101"/>
      <c r="BD73" s="101"/>
      <c r="BE73" s="101"/>
      <c r="BF73" s="101"/>
      <c r="BG73" s="101"/>
      <c r="BK73" s="101"/>
      <c r="BL73" s="101"/>
      <c r="BM73" s="101"/>
      <c r="BN73" s="101"/>
      <c r="BO73" s="101"/>
      <c r="BP73" s="101"/>
      <c r="BQ73" s="101"/>
      <c r="BR73" s="104"/>
      <c r="BS73" s="104"/>
      <c r="BT73" s="104"/>
      <c r="BU73" s="104"/>
      <c r="BV73" s="104"/>
      <c r="BW73" s="104"/>
      <c r="BX73" s="104"/>
      <c r="BY73" s="104"/>
      <c r="BZ73" s="104"/>
      <c r="CA73" s="104"/>
      <c r="CB73" s="104"/>
      <c r="CC73" s="104"/>
      <c r="CD73" s="104"/>
      <c r="CE73" s="104"/>
      <c r="CF73" s="104"/>
      <c r="CG73" s="104"/>
      <c r="CH73" s="104"/>
      <c r="CI73" s="104"/>
      <c r="CJ73" s="104"/>
      <c r="CK73" s="104"/>
      <c r="CL73" s="104"/>
      <c r="CM73" s="104"/>
      <c r="CN73" s="98"/>
      <c r="CP73" s="101"/>
      <c r="CQ73" s="101"/>
      <c r="CR73" s="101"/>
      <c r="CS73" s="101"/>
      <c r="CT73" s="101"/>
      <c r="FJ73" s="103"/>
      <c r="FL73" s="103"/>
      <c r="FN73" s="103"/>
      <c r="FP73" s="103"/>
    </row>
    <row r="74" spans="2:172" x14ac:dyDescent="0.35">
      <c r="B74" s="97"/>
      <c r="G74" s="100"/>
      <c r="K74" s="98"/>
      <c r="L74" s="101"/>
      <c r="M74" s="101"/>
      <c r="N74" s="101"/>
      <c r="O74" s="101"/>
      <c r="P74" s="102"/>
      <c r="Q74" s="101"/>
      <c r="R74" s="98"/>
      <c r="S74" s="98"/>
      <c r="T74" s="98"/>
      <c r="U74" s="98"/>
      <c r="V74" s="98"/>
      <c r="W74" s="98"/>
      <c r="X74" s="103"/>
      <c r="Y74" s="103"/>
      <c r="Z74" s="103"/>
      <c r="AA74" s="103"/>
      <c r="AB74" s="103"/>
      <c r="AC74" s="103"/>
      <c r="AD74" s="103"/>
      <c r="AE74" s="101"/>
      <c r="AF74" s="101"/>
      <c r="AG74" s="101"/>
      <c r="AH74" s="101"/>
      <c r="AI74" s="101"/>
      <c r="AJ74" s="101"/>
      <c r="AK74" s="101"/>
      <c r="AL74" s="103"/>
      <c r="AM74" s="103"/>
      <c r="AN74" s="103"/>
      <c r="AO74" s="103"/>
      <c r="AP74" s="103"/>
      <c r="AQ74" s="103"/>
      <c r="AR74" s="103"/>
      <c r="AS74" s="101"/>
      <c r="AT74" s="101"/>
      <c r="AU74" s="101"/>
      <c r="AV74" s="101"/>
      <c r="AW74" s="101"/>
      <c r="AX74" s="101"/>
      <c r="AY74" s="101"/>
      <c r="AZ74" s="103"/>
      <c r="BA74" s="103"/>
      <c r="BB74" s="103"/>
      <c r="BC74" s="101"/>
      <c r="BD74" s="101"/>
      <c r="BE74" s="101"/>
      <c r="BF74" s="101"/>
      <c r="BG74" s="101"/>
      <c r="BK74" s="101"/>
      <c r="BL74" s="101"/>
      <c r="BM74" s="101"/>
      <c r="BN74" s="101"/>
      <c r="BO74" s="101"/>
      <c r="BP74" s="101"/>
      <c r="BQ74" s="101"/>
      <c r="BR74" s="104"/>
      <c r="BS74" s="104"/>
      <c r="BT74" s="104"/>
      <c r="BU74" s="104"/>
      <c r="BV74" s="104"/>
      <c r="BW74" s="104"/>
      <c r="BX74" s="104"/>
      <c r="BY74" s="104"/>
      <c r="BZ74" s="104"/>
      <c r="CA74" s="104"/>
      <c r="CB74" s="104"/>
      <c r="CC74" s="104"/>
      <c r="CD74" s="104"/>
      <c r="CE74" s="104"/>
      <c r="CF74" s="104"/>
      <c r="CG74" s="104"/>
      <c r="CH74" s="104"/>
      <c r="CI74" s="104"/>
      <c r="CJ74" s="104"/>
      <c r="CK74" s="104"/>
      <c r="CL74" s="104"/>
      <c r="CM74" s="104"/>
      <c r="CN74" s="98"/>
      <c r="CP74" s="101"/>
      <c r="CQ74" s="101"/>
      <c r="CR74" s="101"/>
      <c r="CS74" s="101"/>
      <c r="CT74" s="101"/>
      <c r="FJ74" s="103"/>
      <c r="FL74" s="103"/>
      <c r="FN74" s="103"/>
      <c r="FP74" s="103"/>
    </row>
    <row r="75" spans="2:172" x14ac:dyDescent="0.35">
      <c r="B75" s="97"/>
      <c r="G75" s="100"/>
      <c r="K75" s="98"/>
      <c r="L75" s="101"/>
      <c r="M75" s="101"/>
      <c r="N75" s="101"/>
      <c r="O75" s="101"/>
      <c r="P75" s="102"/>
      <c r="Q75" s="101"/>
      <c r="R75" s="98"/>
      <c r="S75" s="98"/>
      <c r="T75" s="98"/>
      <c r="U75" s="98"/>
      <c r="V75" s="98"/>
      <c r="W75" s="98"/>
      <c r="X75" s="103"/>
      <c r="Y75" s="103"/>
      <c r="Z75" s="103"/>
      <c r="AA75" s="103"/>
      <c r="AB75" s="103"/>
      <c r="AC75" s="103"/>
      <c r="AD75" s="103"/>
      <c r="AE75" s="101"/>
      <c r="AF75" s="101"/>
      <c r="AG75" s="101"/>
      <c r="AH75" s="101"/>
      <c r="AI75" s="101"/>
      <c r="AJ75" s="101"/>
      <c r="AK75" s="101"/>
      <c r="AL75" s="103"/>
      <c r="AM75" s="103"/>
      <c r="AN75" s="103"/>
      <c r="AO75" s="103"/>
      <c r="AP75" s="103"/>
      <c r="AQ75" s="103"/>
      <c r="AR75" s="103"/>
      <c r="AS75" s="101"/>
      <c r="AT75" s="101"/>
      <c r="AU75" s="101"/>
      <c r="AV75" s="101"/>
      <c r="AW75" s="101"/>
      <c r="AX75" s="101"/>
      <c r="AY75" s="101"/>
      <c r="AZ75" s="103"/>
      <c r="BA75" s="103"/>
      <c r="BB75" s="103"/>
      <c r="BC75" s="101"/>
      <c r="BD75" s="101"/>
      <c r="BE75" s="101"/>
      <c r="BF75" s="101"/>
      <c r="BG75" s="101"/>
      <c r="BK75" s="101"/>
      <c r="BL75" s="101"/>
      <c r="BM75" s="101"/>
      <c r="BN75" s="101"/>
      <c r="BO75" s="101"/>
      <c r="BP75" s="101"/>
      <c r="BQ75" s="101"/>
      <c r="BR75" s="104"/>
      <c r="BS75" s="104"/>
      <c r="BT75" s="104"/>
      <c r="BU75" s="104"/>
      <c r="BV75" s="104"/>
      <c r="BW75" s="104"/>
      <c r="BX75" s="104"/>
      <c r="BY75" s="104"/>
      <c r="BZ75" s="104"/>
      <c r="CA75" s="104"/>
      <c r="CB75" s="104"/>
      <c r="CC75" s="104"/>
      <c r="CD75" s="104"/>
      <c r="CE75" s="104"/>
      <c r="CF75" s="104"/>
      <c r="CG75" s="104"/>
      <c r="CH75" s="104"/>
      <c r="CI75" s="104"/>
      <c r="CJ75" s="104"/>
      <c r="CK75" s="104"/>
      <c r="CL75" s="104"/>
      <c r="CM75" s="104"/>
      <c r="CN75" s="98"/>
      <c r="CP75" s="101"/>
      <c r="CQ75" s="101"/>
      <c r="CR75" s="101"/>
      <c r="CS75" s="101"/>
      <c r="CT75" s="101"/>
      <c r="FJ75" s="103"/>
      <c r="FL75" s="103"/>
      <c r="FN75" s="103"/>
      <c r="FP75" s="103"/>
    </row>
    <row r="76" spans="2:172" x14ac:dyDescent="0.35">
      <c r="B76" s="97"/>
      <c r="G76" s="100"/>
      <c r="K76" s="98"/>
      <c r="L76" s="101"/>
      <c r="M76" s="101"/>
      <c r="N76" s="101"/>
      <c r="O76" s="101"/>
      <c r="P76" s="102"/>
      <c r="Q76" s="101"/>
      <c r="R76" s="98"/>
      <c r="S76" s="98"/>
      <c r="T76" s="98"/>
      <c r="U76" s="98"/>
      <c r="V76" s="98"/>
      <c r="W76" s="98"/>
      <c r="X76" s="103"/>
      <c r="Y76" s="103"/>
      <c r="Z76" s="103"/>
      <c r="AA76" s="103"/>
      <c r="AB76" s="103"/>
      <c r="AC76" s="103"/>
      <c r="AD76" s="103"/>
      <c r="AE76" s="101"/>
      <c r="AF76" s="101"/>
      <c r="AG76" s="101"/>
      <c r="AH76" s="101"/>
      <c r="AI76" s="101"/>
      <c r="AJ76" s="101"/>
      <c r="AK76" s="101"/>
      <c r="AL76" s="103"/>
      <c r="AM76" s="103"/>
      <c r="AN76" s="103"/>
      <c r="AO76" s="103"/>
      <c r="AP76" s="103"/>
      <c r="AQ76" s="103"/>
      <c r="AR76" s="103"/>
      <c r="AS76" s="101"/>
      <c r="AT76" s="101"/>
      <c r="AU76" s="101"/>
      <c r="AV76" s="101"/>
      <c r="AW76" s="101"/>
      <c r="AX76" s="101"/>
      <c r="AY76" s="101"/>
      <c r="AZ76" s="103"/>
      <c r="BA76" s="103"/>
      <c r="BB76" s="103"/>
      <c r="BC76" s="101"/>
      <c r="BD76" s="101"/>
      <c r="BE76" s="101"/>
      <c r="BF76" s="101"/>
      <c r="BG76" s="101"/>
      <c r="BK76" s="101"/>
      <c r="BL76" s="101"/>
      <c r="BM76" s="101"/>
      <c r="BN76" s="101"/>
      <c r="BO76" s="101"/>
      <c r="BP76" s="101"/>
      <c r="BQ76" s="101"/>
      <c r="BR76" s="104"/>
      <c r="BS76" s="104"/>
      <c r="BT76" s="104"/>
      <c r="BU76" s="104"/>
      <c r="BV76" s="104"/>
      <c r="BW76" s="104"/>
      <c r="BX76" s="104"/>
      <c r="BY76" s="104"/>
      <c r="BZ76" s="104"/>
      <c r="CA76" s="104"/>
      <c r="CB76" s="104"/>
      <c r="CC76" s="104"/>
      <c r="CD76" s="104"/>
      <c r="CE76" s="104"/>
      <c r="CF76" s="104"/>
      <c r="CG76" s="104"/>
      <c r="CH76" s="104"/>
      <c r="CI76" s="104"/>
      <c r="CJ76" s="104"/>
      <c r="CK76" s="104"/>
      <c r="CL76" s="104"/>
      <c r="CM76" s="104"/>
      <c r="CN76" s="98"/>
      <c r="CP76" s="101"/>
      <c r="CQ76" s="101"/>
      <c r="CR76" s="101"/>
      <c r="CS76" s="101"/>
      <c r="CT76" s="101"/>
      <c r="FJ76" s="103"/>
      <c r="FL76" s="103"/>
      <c r="FN76" s="103"/>
      <c r="FP76" s="103"/>
    </row>
    <row r="77" spans="2:172" x14ac:dyDescent="0.35">
      <c r="B77" s="97"/>
      <c r="G77" s="100"/>
      <c r="K77" s="98"/>
      <c r="L77" s="101"/>
      <c r="M77" s="101"/>
      <c r="N77" s="101"/>
      <c r="O77" s="101"/>
      <c r="P77" s="102"/>
      <c r="Q77" s="101"/>
      <c r="R77" s="98"/>
      <c r="S77" s="98"/>
      <c r="T77" s="98"/>
      <c r="U77" s="98"/>
      <c r="V77" s="98"/>
      <c r="W77" s="98"/>
      <c r="X77" s="103"/>
      <c r="Y77" s="103"/>
      <c r="Z77" s="103"/>
      <c r="AA77" s="103"/>
      <c r="AB77" s="103"/>
      <c r="AC77" s="103"/>
      <c r="AD77" s="103"/>
      <c r="AE77" s="101"/>
      <c r="AF77" s="101"/>
      <c r="AG77" s="101"/>
      <c r="AH77" s="101"/>
      <c r="AI77" s="101"/>
      <c r="AJ77" s="101"/>
      <c r="AK77" s="101"/>
      <c r="AL77" s="103"/>
      <c r="AM77" s="103"/>
      <c r="AN77" s="103"/>
      <c r="AO77" s="103"/>
      <c r="AP77" s="103"/>
      <c r="AQ77" s="103"/>
      <c r="AR77" s="103"/>
      <c r="AS77" s="101"/>
      <c r="AT77" s="101"/>
      <c r="AU77" s="101"/>
      <c r="AV77" s="101"/>
      <c r="AW77" s="101"/>
      <c r="AX77" s="101"/>
      <c r="AY77" s="101"/>
      <c r="AZ77" s="103"/>
      <c r="BA77" s="103"/>
      <c r="BB77" s="103"/>
      <c r="BC77" s="101"/>
      <c r="BD77" s="101"/>
      <c r="BE77" s="101"/>
      <c r="BF77" s="101"/>
      <c r="BG77" s="101"/>
      <c r="BK77" s="101"/>
      <c r="BL77" s="101"/>
      <c r="BM77" s="101"/>
      <c r="BN77" s="101"/>
      <c r="BO77" s="101"/>
      <c r="BP77" s="101"/>
      <c r="BQ77" s="101"/>
      <c r="BR77" s="104"/>
      <c r="BS77" s="104"/>
      <c r="BT77" s="104"/>
      <c r="BU77" s="104"/>
      <c r="BV77" s="104"/>
      <c r="BW77" s="104"/>
      <c r="BX77" s="104"/>
      <c r="BY77" s="104"/>
      <c r="BZ77" s="104"/>
      <c r="CA77" s="104"/>
      <c r="CB77" s="104"/>
      <c r="CC77" s="104"/>
      <c r="CD77" s="104"/>
      <c r="CE77" s="104"/>
      <c r="CF77" s="104"/>
      <c r="CG77" s="104"/>
      <c r="CH77" s="104"/>
      <c r="CI77" s="104"/>
      <c r="CJ77" s="104"/>
      <c r="CK77" s="104"/>
      <c r="CL77" s="104"/>
      <c r="CM77" s="104"/>
      <c r="CN77" s="98"/>
      <c r="CP77" s="101"/>
      <c r="CQ77" s="101"/>
      <c r="CR77" s="101"/>
      <c r="CS77" s="101"/>
      <c r="CT77" s="101"/>
      <c r="FJ77" s="103"/>
      <c r="FL77" s="103"/>
      <c r="FN77" s="103"/>
      <c r="FP77" s="103"/>
    </row>
    <row r="78" spans="2:172" x14ac:dyDescent="0.35">
      <c r="B78" s="97"/>
      <c r="G78" s="100"/>
      <c r="K78" s="98"/>
      <c r="L78" s="101"/>
      <c r="M78" s="101"/>
      <c r="N78" s="101"/>
      <c r="O78" s="101"/>
      <c r="P78" s="102"/>
      <c r="Q78" s="101"/>
      <c r="R78" s="98"/>
      <c r="S78" s="98"/>
      <c r="T78" s="98"/>
      <c r="U78" s="98"/>
      <c r="V78" s="98"/>
      <c r="W78" s="98"/>
      <c r="X78" s="103"/>
      <c r="Y78" s="103"/>
      <c r="Z78" s="103"/>
      <c r="AA78" s="103"/>
      <c r="AB78" s="103"/>
      <c r="AC78" s="103"/>
      <c r="AD78" s="103"/>
      <c r="AE78" s="101"/>
      <c r="AF78" s="101"/>
      <c r="AG78" s="101"/>
      <c r="AH78" s="101"/>
      <c r="AI78" s="101"/>
      <c r="AJ78" s="101"/>
      <c r="AK78" s="101"/>
      <c r="AL78" s="103"/>
      <c r="AM78" s="103"/>
      <c r="AN78" s="103"/>
      <c r="AO78" s="103"/>
      <c r="AP78" s="103"/>
      <c r="AQ78" s="103"/>
      <c r="AR78" s="103"/>
      <c r="AS78" s="101"/>
      <c r="AT78" s="101"/>
      <c r="AU78" s="101"/>
      <c r="AV78" s="101"/>
      <c r="AW78" s="101"/>
      <c r="AX78" s="101"/>
      <c r="AY78" s="101"/>
      <c r="AZ78" s="103"/>
      <c r="BA78" s="103"/>
      <c r="BB78" s="103"/>
      <c r="BC78" s="101"/>
      <c r="BD78" s="101"/>
      <c r="BE78" s="101"/>
      <c r="BF78" s="101"/>
      <c r="BG78" s="101"/>
      <c r="BK78" s="101"/>
      <c r="BL78" s="101"/>
      <c r="BM78" s="101"/>
      <c r="BN78" s="101"/>
      <c r="BO78" s="101"/>
      <c r="BP78" s="101"/>
      <c r="BQ78" s="101"/>
      <c r="BR78" s="104"/>
      <c r="BS78" s="104"/>
      <c r="BT78" s="104"/>
      <c r="BU78" s="104"/>
      <c r="BV78" s="104"/>
      <c r="BW78" s="104"/>
      <c r="BX78" s="104"/>
      <c r="BY78" s="104"/>
      <c r="BZ78" s="104"/>
      <c r="CA78" s="104"/>
      <c r="CB78" s="104"/>
      <c r="CC78" s="104"/>
      <c r="CD78" s="104"/>
      <c r="CE78" s="104"/>
      <c r="CF78" s="104"/>
      <c r="CG78" s="104"/>
      <c r="CH78" s="104"/>
      <c r="CI78" s="104"/>
      <c r="CJ78" s="104"/>
      <c r="CK78" s="104"/>
      <c r="CL78" s="104"/>
      <c r="CM78" s="104"/>
      <c r="CN78" s="98"/>
      <c r="CP78" s="101"/>
      <c r="CQ78" s="101"/>
      <c r="CR78" s="101"/>
      <c r="CS78" s="101"/>
      <c r="CT78" s="101"/>
      <c r="FJ78" s="103"/>
      <c r="FL78" s="103"/>
      <c r="FN78" s="103"/>
      <c r="FP78" s="103"/>
    </row>
    <row r="79" spans="2:172" x14ac:dyDescent="0.35">
      <c r="B79" s="97"/>
      <c r="G79" s="100"/>
      <c r="K79" s="98"/>
      <c r="L79" s="101"/>
      <c r="M79" s="101"/>
      <c r="N79" s="101"/>
      <c r="O79" s="101"/>
      <c r="P79" s="102"/>
      <c r="Q79" s="101"/>
      <c r="R79" s="98"/>
      <c r="S79" s="98"/>
      <c r="T79" s="98"/>
      <c r="U79" s="98"/>
      <c r="V79" s="98"/>
      <c r="W79" s="98"/>
      <c r="X79" s="103"/>
      <c r="Y79" s="103"/>
      <c r="Z79" s="103"/>
      <c r="AA79" s="103"/>
      <c r="AB79" s="103"/>
      <c r="AC79" s="103"/>
      <c r="AD79" s="103"/>
      <c r="AE79" s="101"/>
      <c r="AF79" s="101"/>
      <c r="AG79" s="101"/>
      <c r="AH79" s="101"/>
      <c r="AI79" s="101"/>
      <c r="AJ79" s="101"/>
      <c r="AK79" s="101"/>
      <c r="AL79" s="103"/>
      <c r="AM79" s="103"/>
      <c r="AN79" s="103"/>
      <c r="AO79" s="103"/>
      <c r="AP79" s="103"/>
      <c r="AQ79" s="103"/>
      <c r="AR79" s="103"/>
      <c r="AS79" s="101"/>
      <c r="AT79" s="101"/>
      <c r="AU79" s="101"/>
      <c r="AV79" s="101"/>
      <c r="AW79" s="101"/>
      <c r="AX79" s="101"/>
      <c r="AY79" s="101"/>
      <c r="AZ79" s="103"/>
      <c r="BA79" s="103"/>
      <c r="BB79" s="103"/>
      <c r="BC79" s="101"/>
      <c r="BD79" s="101"/>
      <c r="BE79" s="101"/>
      <c r="BF79" s="101"/>
      <c r="BG79" s="101"/>
      <c r="BK79" s="101"/>
      <c r="BL79" s="101"/>
      <c r="BM79" s="101"/>
      <c r="BN79" s="101"/>
      <c r="BO79" s="101"/>
      <c r="BP79" s="101"/>
      <c r="BQ79" s="101"/>
      <c r="BR79" s="104"/>
      <c r="BS79" s="104"/>
      <c r="BT79" s="104"/>
      <c r="BU79" s="104"/>
      <c r="BV79" s="104"/>
      <c r="BW79" s="104"/>
      <c r="BX79" s="104"/>
      <c r="BY79" s="104"/>
      <c r="BZ79" s="104"/>
      <c r="CA79" s="104"/>
      <c r="CB79" s="104"/>
      <c r="CC79" s="104"/>
      <c r="CD79" s="104"/>
      <c r="CE79" s="104"/>
      <c r="CF79" s="104"/>
      <c r="CG79" s="104"/>
      <c r="CH79" s="104"/>
      <c r="CI79" s="104"/>
      <c r="CJ79" s="104"/>
      <c r="CK79" s="104"/>
      <c r="CL79" s="104"/>
      <c r="CM79" s="104"/>
      <c r="CN79" s="98"/>
      <c r="CP79" s="101"/>
      <c r="CQ79" s="101"/>
      <c r="CR79" s="101"/>
      <c r="CS79" s="101"/>
      <c r="CT79" s="101"/>
      <c r="FJ79" s="103"/>
      <c r="FL79" s="103"/>
      <c r="FN79" s="103"/>
      <c r="FP79" s="103"/>
    </row>
    <row r="80" spans="2:172" x14ac:dyDescent="0.35">
      <c r="B80" s="97"/>
      <c r="G80" s="100"/>
      <c r="K80" s="98"/>
      <c r="L80" s="101"/>
      <c r="M80" s="101"/>
      <c r="N80" s="101"/>
      <c r="O80" s="101"/>
      <c r="P80" s="102"/>
      <c r="Q80" s="101"/>
      <c r="R80" s="98"/>
      <c r="S80" s="98"/>
      <c r="T80" s="98"/>
      <c r="U80" s="98"/>
      <c r="V80" s="98"/>
      <c r="W80" s="98"/>
      <c r="X80" s="103"/>
      <c r="Y80" s="103"/>
      <c r="Z80" s="103"/>
      <c r="AA80" s="103"/>
      <c r="AB80" s="103"/>
      <c r="AC80" s="103"/>
      <c r="AD80" s="103"/>
      <c r="AE80" s="101"/>
      <c r="AF80" s="101"/>
      <c r="AG80" s="101"/>
      <c r="AH80" s="101"/>
      <c r="AI80" s="101"/>
      <c r="AJ80" s="101"/>
      <c r="AK80" s="101"/>
      <c r="AL80" s="103"/>
      <c r="AM80" s="103"/>
      <c r="AN80" s="103"/>
      <c r="AO80" s="103"/>
      <c r="AP80" s="103"/>
      <c r="AQ80" s="103"/>
      <c r="AR80" s="103"/>
      <c r="AS80" s="101"/>
      <c r="AT80" s="101"/>
      <c r="AU80" s="101"/>
      <c r="AV80" s="101"/>
      <c r="AW80" s="101"/>
      <c r="AX80" s="101"/>
      <c r="AY80" s="101"/>
      <c r="AZ80" s="103"/>
      <c r="BA80" s="103"/>
      <c r="BB80" s="103"/>
      <c r="BC80" s="101"/>
      <c r="BD80" s="101"/>
      <c r="BE80" s="101"/>
      <c r="BF80" s="101"/>
      <c r="BG80" s="101"/>
      <c r="BK80" s="101"/>
      <c r="BL80" s="101"/>
      <c r="BM80" s="101"/>
      <c r="BN80" s="101"/>
      <c r="BO80" s="101"/>
      <c r="BP80" s="101"/>
      <c r="BQ80" s="101"/>
      <c r="BR80" s="104"/>
      <c r="BS80" s="104"/>
      <c r="BT80" s="104"/>
      <c r="BU80" s="104"/>
      <c r="BV80" s="104"/>
      <c r="BW80" s="104"/>
      <c r="BX80" s="104"/>
      <c r="BY80" s="104"/>
      <c r="BZ80" s="104"/>
      <c r="CA80" s="104"/>
      <c r="CB80" s="104"/>
      <c r="CC80" s="104"/>
      <c r="CD80" s="104"/>
      <c r="CE80" s="104"/>
      <c r="CF80" s="104"/>
      <c r="CG80" s="104"/>
      <c r="CH80" s="104"/>
      <c r="CI80" s="104"/>
      <c r="CJ80" s="104"/>
      <c r="CK80" s="104"/>
      <c r="CL80" s="104"/>
      <c r="CM80" s="104"/>
      <c r="CN80" s="98"/>
      <c r="CP80" s="101"/>
      <c r="CQ80" s="101"/>
      <c r="CR80" s="101"/>
      <c r="CS80" s="101"/>
      <c r="CT80" s="101"/>
      <c r="FJ80" s="103"/>
      <c r="FL80" s="103"/>
      <c r="FN80" s="103"/>
      <c r="FP80" s="103"/>
    </row>
    <row r="81" spans="2:172" x14ac:dyDescent="0.35">
      <c r="B81" s="97"/>
      <c r="G81" s="100"/>
      <c r="K81" s="98"/>
      <c r="L81" s="101"/>
      <c r="M81" s="101"/>
      <c r="N81" s="101"/>
      <c r="O81" s="101"/>
      <c r="P81" s="102"/>
      <c r="Q81" s="101"/>
      <c r="R81" s="98"/>
      <c r="S81" s="98"/>
      <c r="T81" s="98"/>
      <c r="U81" s="98"/>
      <c r="V81" s="98"/>
      <c r="W81" s="98"/>
      <c r="X81" s="103"/>
      <c r="Y81" s="103"/>
      <c r="Z81" s="103"/>
      <c r="AA81" s="103"/>
      <c r="AB81" s="103"/>
      <c r="AC81" s="103"/>
      <c r="AD81" s="103"/>
      <c r="AE81" s="101"/>
      <c r="AF81" s="101"/>
      <c r="AG81" s="101"/>
      <c r="AH81" s="101"/>
      <c r="AI81" s="101"/>
      <c r="AJ81" s="101"/>
      <c r="AK81" s="101"/>
      <c r="AL81" s="103"/>
      <c r="AM81" s="103"/>
      <c r="AN81" s="103"/>
      <c r="AO81" s="103"/>
      <c r="AP81" s="103"/>
      <c r="AQ81" s="103"/>
      <c r="AR81" s="103"/>
      <c r="AS81" s="101"/>
      <c r="AT81" s="101"/>
      <c r="AU81" s="101"/>
      <c r="AV81" s="101"/>
      <c r="AW81" s="101"/>
      <c r="AX81" s="101"/>
      <c r="AY81" s="101"/>
      <c r="AZ81" s="103"/>
      <c r="BA81" s="103"/>
      <c r="BB81" s="103"/>
      <c r="BC81" s="101"/>
      <c r="BD81" s="101"/>
      <c r="BE81" s="101"/>
      <c r="BF81" s="101"/>
      <c r="BG81" s="101"/>
      <c r="BK81" s="101"/>
      <c r="BL81" s="101"/>
      <c r="BM81" s="101"/>
      <c r="BN81" s="101"/>
      <c r="BO81" s="101"/>
      <c r="BP81" s="101"/>
      <c r="BQ81" s="101"/>
      <c r="BR81" s="104"/>
      <c r="BS81" s="104"/>
      <c r="BT81" s="104"/>
      <c r="BU81" s="104"/>
      <c r="BV81" s="104"/>
      <c r="BW81" s="104"/>
      <c r="BX81" s="104"/>
      <c r="BY81" s="104"/>
      <c r="BZ81" s="104"/>
      <c r="CA81" s="104"/>
      <c r="CB81" s="104"/>
      <c r="CC81" s="104"/>
      <c r="CD81" s="104"/>
      <c r="CE81" s="104"/>
      <c r="CF81" s="104"/>
      <c r="CG81" s="104"/>
      <c r="CH81" s="104"/>
      <c r="CI81" s="104"/>
      <c r="CJ81" s="104"/>
      <c r="CK81" s="104"/>
      <c r="CL81" s="104"/>
      <c r="CM81" s="104"/>
      <c r="CN81" s="98"/>
      <c r="CP81" s="101"/>
      <c r="CQ81" s="101"/>
      <c r="CR81" s="101"/>
      <c r="CS81" s="101"/>
      <c r="CT81" s="101"/>
      <c r="FJ81" s="103"/>
      <c r="FL81" s="103"/>
      <c r="FN81" s="103"/>
      <c r="FP81" s="103"/>
    </row>
    <row r="82" spans="2:172" x14ac:dyDescent="0.35">
      <c r="B82" s="97"/>
      <c r="G82" s="100"/>
      <c r="K82" s="98"/>
      <c r="L82" s="101"/>
      <c r="M82" s="101"/>
      <c r="N82" s="101"/>
      <c r="O82" s="101"/>
      <c r="P82" s="102"/>
      <c r="Q82" s="101"/>
      <c r="R82" s="98"/>
      <c r="S82" s="98"/>
      <c r="T82" s="98"/>
      <c r="U82" s="98"/>
      <c r="V82" s="98"/>
      <c r="W82" s="98"/>
      <c r="X82" s="103"/>
      <c r="Y82" s="103"/>
      <c r="Z82" s="103"/>
      <c r="AA82" s="103"/>
      <c r="AB82" s="103"/>
      <c r="AC82" s="103"/>
      <c r="AD82" s="103"/>
      <c r="AE82" s="101"/>
      <c r="AF82" s="101"/>
      <c r="AG82" s="101"/>
      <c r="AH82" s="101"/>
      <c r="AI82" s="101"/>
      <c r="AJ82" s="101"/>
      <c r="AK82" s="101"/>
      <c r="AL82" s="103"/>
      <c r="AM82" s="103"/>
      <c r="AN82" s="103"/>
      <c r="AO82" s="103"/>
      <c r="AP82" s="103"/>
      <c r="AQ82" s="103"/>
      <c r="AR82" s="103"/>
      <c r="AS82" s="101"/>
      <c r="AT82" s="101"/>
      <c r="AU82" s="101"/>
      <c r="AV82" s="101"/>
      <c r="AW82" s="101"/>
      <c r="AX82" s="101"/>
      <c r="AY82" s="101"/>
      <c r="AZ82" s="103"/>
      <c r="BA82" s="103"/>
      <c r="BB82" s="103"/>
      <c r="BC82" s="101"/>
      <c r="BD82" s="101"/>
      <c r="BE82" s="101"/>
      <c r="BF82" s="101"/>
      <c r="BG82" s="101"/>
      <c r="BK82" s="101"/>
      <c r="BL82" s="101"/>
      <c r="BM82" s="101"/>
      <c r="BN82" s="101"/>
      <c r="BO82" s="101"/>
      <c r="BP82" s="101"/>
      <c r="BQ82" s="101"/>
      <c r="BR82" s="104"/>
      <c r="BS82" s="104"/>
      <c r="BT82" s="104"/>
      <c r="BU82" s="104"/>
      <c r="BV82" s="104"/>
      <c r="BW82" s="104"/>
      <c r="BX82" s="104"/>
      <c r="BY82" s="104"/>
      <c r="BZ82" s="104"/>
      <c r="CA82" s="104"/>
      <c r="CB82" s="104"/>
      <c r="CC82" s="104"/>
      <c r="CD82" s="104"/>
      <c r="CE82" s="104"/>
      <c r="CF82" s="104"/>
      <c r="CG82" s="104"/>
      <c r="CH82" s="104"/>
      <c r="CI82" s="104"/>
      <c r="CJ82" s="104"/>
      <c r="CK82" s="104"/>
      <c r="CL82" s="104"/>
      <c r="CM82" s="104"/>
      <c r="CN82" s="98"/>
      <c r="CP82" s="101"/>
      <c r="CQ82" s="101"/>
      <c r="CR82" s="101"/>
      <c r="CS82" s="101"/>
      <c r="CT82" s="101"/>
      <c r="FJ82" s="103"/>
      <c r="FL82" s="103"/>
      <c r="FN82" s="103"/>
      <c r="FP82" s="103"/>
    </row>
    <row r="83" spans="2:172" x14ac:dyDescent="0.35">
      <c r="B83" s="97"/>
      <c r="G83" s="100"/>
      <c r="K83" s="98"/>
      <c r="L83" s="101"/>
      <c r="M83" s="101"/>
      <c r="N83" s="101"/>
      <c r="O83" s="101"/>
      <c r="P83" s="102"/>
      <c r="Q83" s="101"/>
      <c r="R83" s="98"/>
      <c r="S83" s="98"/>
      <c r="T83" s="98"/>
      <c r="U83" s="98"/>
      <c r="V83" s="98"/>
      <c r="W83" s="98"/>
      <c r="X83" s="103"/>
      <c r="Y83" s="103"/>
      <c r="Z83" s="103"/>
      <c r="AA83" s="103"/>
      <c r="AB83" s="103"/>
      <c r="AC83" s="103"/>
      <c r="AD83" s="103"/>
      <c r="AE83" s="101"/>
      <c r="AF83" s="101"/>
      <c r="AG83" s="101"/>
      <c r="AH83" s="101"/>
      <c r="AI83" s="101"/>
      <c r="AJ83" s="101"/>
      <c r="AK83" s="101"/>
      <c r="AL83" s="103"/>
      <c r="AM83" s="103"/>
      <c r="AN83" s="103"/>
      <c r="AO83" s="103"/>
      <c r="AP83" s="103"/>
      <c r="AQ83" s="103"/>
      <c r="AR83" s="103"/>
      <c r="AS83" s="101"/>
      <c r="AT83" s="101"/>
      <c r="AU83" s="101"/>
      <c r="AV83" s="101"/>
      <c r="AW83" s="101"/>
      <c r="AX83" s="101"/>
      <c r="AY83" s="101"/>
      <c r="AZ83" s="103"/>
      <c r="BA83" s="103"/>
      <c r="BB83" s="103"/>
      <c r="BC83" s="101"/>
      <c r="BD83" s="101"/>
      <c r="BE83" s="101"/>
      <c r="BF83" s="101"/>
      <c r="BG83" s="101"/>
      <c r="BK83" s="101"/>
      <c r="BL83" s="101"/>
      <c r="BM83" s="101"/>
      <c r="BN83" s="101"/>
      <c r="BO83" s="101"/>
      <c r="BP83" s="101"/>
      <c r="BQ83" s="101"/>
      <c r="BR83" s="104"/>
      <c r="BS83" s="104"/>
      <c r="BT83" s="104"/>
      <c r="BU83" s="104"/>
      <c r="BV83" s="104"/>
      <c r="BW83" s="104"/>
      <c r="BX83" s="104"/>
      <c r="BY83" s="104"/>
      <c r="BZ83" s="104"/>
      <c r="CA83" s="104"/>
      <c r="CB83" s="104"/>
      <c r="CC83" s="104"/>
      <c r="CD83" s="104"/>
      <c r="CE83" s="104"/>
      <c r="CF83" s="104"/>
      <c r="CG83" s="104"/>
      <c r="CH83" s="104"/>
      <c r="CI83" s="104"/>
      <c r="CJ83" s="104"/>
      <c r="CK83" s="104"/>
      <c r="CL83" s="104"/>
      <c r="CM83" s="104"/>
      <c r="CN83" s="98"/>
      <c r="CP83" s="101"/>
      <c r="CQ83" s="101"/>
      <c r="CR83" s="101"/>
      <c r="CS83" s="101"/>
      <c r="CT83" s="101"/>
      <c r="FJ83" s="103"/>
      <c r="FL83" s="103"/>
      <c r="FN83" s="103"/>
      <c r="FP83" s="103"/>
    </row>
    <row r="84" spans="2:172" x14ac:dyDescent="0.35">
      <c r="B84" s="97"/>
      <c r="G84" s="100"/>
      <c r="K84" s="98"/>
      <c r="L84" s="101"/>
      <c r="M84" s="101"/>
      <c r="N84" s="101"/>
      <c r="O84" s="101"/>
      <c r="P84" s="102"/>
      <c r="Q84" s="101"/>
      <c r="R84" s="98"/>
      <c r="S84" s="98"/>
      <c r="T84" s="98"/>
      <c r="U84" s="98"/>
      <c r="V84" s="98"/>
      <c r="W84" s="98"/>
      <c r="X84" s="103"/>
      <c r="Y84" s="103"/>
      <c r="Z84" s="103"/>
      <c r="AA84" s="103"/>
      <c r="AB84" s="103"/>
      <c r="AC84" s="103"/>
      <c r="AD84" s="103"/>
      <c r="AE84" s="101"/>
      <c r="AF84" s="101"/>
      <c r="AG84" s="101"/>
      <c r="AH84" s="101"/>
      <c r="AI84" s="101"/>
      <c r="AJ84" s="101"/>
      <c r="AK84" s="101"/>
      <c r="AL84" s="103"/>
      <c r="AM84" s="103"/>
      <c r="AN84" s="103"/>
      <c r="AO84" s="103"/>
      <c r="AP84" s="103"/>
      <c r="AQ84" s="103"/>
      <c r="AR84" s="103"/>
      <c r="AS84" s="101"/>
      <c r="AT84" s="101"/>
      <c r="AU84" s="101"/>
      <c r="AV84" s="101"/>
      <c r="AW84" s="101"/>
      <c r="AX84" s="101"/>
      <c r="AY84" s="101"/>
      <c r="AZ84" s="103"/>
      <c r="BA84" s="103"/>
      <c r="BB84" s="103"/>
      <c r="BC84" s="101"/>
      <c r="BD84" s="101"/>
      <c r="BE84" s="101"/>
      <c r="BF84" s="101"/>
      <c r="BG84" s="101"/>
      <c r="BK84" s="101"/>
      <c r="BL84" s="101"/>
      <c r="BM84" s="101"/>
      <c r="BN84" s="101"/>
      <c r="BO84" s="101"/>
      <c r="BP84" s="101"/>
      <c r="BQ84" s="101"/>
      <c r="BR84" s="104"/>
      <c r="BS84" s="104"/>
      <c r="BT84" s="104"/>
      <c r="BU84" s="104"/>
      <c r="BV84" s="104"/>
      <c r="BW84" s="104"/>
      <c r="BX84" s="104"/>
      <c r="BY84" s="104"/>
      <c r="BZ84" s="104"/>
      <c r="CA84" s="104"/>
      <c r="CB84" s="104"/>
      <c r="CC84" s="104"/>
      <c r="CD84" s="104"/>
      <c r="CE84" s="104"/>
      <c r="CF84" s="104"/>
      <c r="CG84" s="104"/>
      <c r="CH84" s="104"/>
      <c r="CI84" s="104"/>
      <c r="CJ84" s="104"/>
      <c r="CK84" s="104"/>
      <c r="CL84" s="104"/>
      <c r="CM84" s="104"/>
      <c r="CN84" s="98"/>
      <c r="CP84" s="101"/>
      <c r="CQ84" s="101"/>
      <c r="CR84" s="101"/>
      <c r="CS84" s="101"/>
      <c r="CT84" s="101"/>
      <c r="FJ84" s="103"/>
      <c r="FL84" s="103"/>
      <c r="FN84" s="103"/>
      <c r="FP84" s="103"/>
    </row>
    <row r="85" spans="2:172" x14ac:dyDescent="0.35">
      <c r="B85" s="97"/>
      <c r="G85" s="100"/>
      <c r="K85" s="98"/>
      <c r="L85" s="101"/>
      <c r="M85" s="101"/>
      <c r="N85" s="101"/>
      <c r="O85" s="101"/>
      <c r="P85" s="102"/>
      <c r="Q85" s="101"/>
      <c r="R85" s="98"/>
      <c r="S85" s="98"/>
      <c r="T85" s="98"/>
      <c r="U85" s="98"/>
      <c r="V85" s="98"/>
      <c r="W85" s="98"/>
      <c r="X85" s="103"/>
      <c r="Y85" s="103"/>
      <c r="Z85" s="103"/>
      <c r="AA85" s="103"/>
      <c r="AB85" s="103"/>
      <c r="AC85" s="103"/>
      <c r="AD85" s="103"/>
      <c r="AE85" s="101"/>
      <c r="AF85" s="101"/>
      <c r="AG85" s="101"/>
      <c r="AH85" s="101"/>
      <c r="AI85" s="101"/>
      <c r="AJ85" s="101"/>
      <c r="AK85" s="101"/>
      <c r="AL85" s="103"/>
      <c r="AM85" s="103"/>
      <c r="AN85" s="103"/>
      <c r="AO85" s="103"/>
      <c r="AP85" s="103"/>
      <c r="AQ85" s="103"/>
      <c r="AR85" s="103"/>
      <c r="AS85" s="101"/>
      <c r="AT85" s="101"/>
      <c r="AU85" s="101"/>
      <c r="AV85" s="101"/>
      <c r="AW85" s="101"/>
      <c r="AX85" s="101"/>
      <c r="AY85" s="101"/>
      <c r="AZ85" s="103"/>
      <c r="BA85" s="103"/>
      <c r="BB85" s="103"/>
      <c r="BC85" s="101"/>
      <c r="BD85" s="101"/>
      <c r="BE85" s="101"/>
      <c r="BF85" s="101"/>
      <c r="BG85" s="101"/>
      <c r="BK85" s="101"/>
      <c r="BL85" s="101"/>
      <c r="BM85" s="101"/>
      <c r="BN85" s="101"/>
      <c r="BO85" s="101"/>
      <c r="BP85" s="101"/>
      <c r="BQ85" s="101"/>
      <c r="BR85" s="104"/>
      <c r="BS85" s="104"/>
      <c r="BT85" s="104"/>
      <c r="BU85" s="104"/>
      <c r="BV85" s="104"/>
      <c r="BW85" s="104"/>
      <c r="BX85" s="104"/>
      <c r="BY85" s="104"/>
      <c r="BZ85" s="104"/>
      <c r="CA85" s="104"/>
      <c r="CB85" s="104"/>
      <c r="CC85" s="104"/>
      <c r="CD85" s="104"/>
      <c r="CE85" s="104"/>
      <c r="CF85" s="104"/>
      <c r="CG85" s="104"/>
      <c r="CH85" s="104"/>
      <c r="CI85" s="104"/>
      <c r="CJ85" s="104"/>
      <c r="CK85" s="104"/>
      <c r="CL85" s="104"/>
      <c r="CM85" s="104"/>
      <c r="CN85" s="98"/>
      <c r="CP85" s="101"/>
      <c r="CQ85" s="101"/>
      <c r="CR85" s="101"/>
      <c r="CS85" s="101"/>
      <c r="CT85" s="101"/>
      <c r="FJ85" s="103"/>
      <c r="FL85" s="103"/>
      <c r="FN85" s="103"/>
      <c r="FP85" s="103"/>
    </row>
    <row r="86" spans="2:172" x14ac:dyDescent="0.35">
      <c r="B86" s="97"/>
      <c r="G86" s="100"/>
      <c r="K86" s="98"/>
      <c r="L86" s="101"/>
      <c r="M86" s="101"/>
      <c r="N86" s="101"/>
      <c r="O86" s="101"/>
      <c r="P86" s="102"/>
      <c r="Q86" s="101"/>
      <c r="R86" s="98"/>
      <c r="S86" s="98"/>
      <c r="T86" s="98"/>
      <c r="U86" s="98"/>
      <c r="V86" s="98"/>
      <c r="W86" s="98"/>
      <c r="X86" s="103"/>
      <c r="Y86" s="103"/>
      <c r="Z86" s="103"/>
      <c r="AA86" s="103"/>
      <c r="AB86" s="103"/>
      <c r="AC86" s="103"/>
      <c r="AD86" s="103"/>
      <c r="AE86" s="101"/>
      <c r="AF86" s="101"/>
      <c r="AG86" s="101"/>
      <c r="AH86" s="101"/>
      <c r="AI86" s="101"/>
      <c r="AJ86" s="101"/>
      <c r="AK86" s="101"/>
      <c r="AL86" s="103"/>
      <c r="AM86" s="103"/>
      <c r="AN86" s="103"/>
      <c r="AO86" s="103"/>
      <c r="AP86" s="103"/>
      <c r="AQ86" s="103"/>
      <c r="AR86" s="103"/>
      <c r="AS86" s="101"/>
      <c r="AT86" s="101"/>
      <c r="AU86" s="101"/>
      <c r="AV86" s="101"/>
      <c r="AW86" s="101"/>
      <c r="AX86" s="101"/>
      <c r="AY86" s="101"/>
      <c r="AZ86" s="103"/>
      <c r="BA86" s="103"/>
      <c r="BB86" s="103"/>
      <c r="BC86" s="101"/>
      <c r="BD86" s="101"/>
      <c r="BE86" s="101"/>
      <c r="BF86" s="101"/>
      <c r="BG86" s="101"/>
      <c r="BK86" s="101"/>
      <c r="BL86" s="101"/>
      <c r="BM86" s="101"/>
      <c r="BN86" s="101"/>
      <c r="BO86" s="101"/>
      <c r="BP86" s="101"/>
      <c r="BQ86" s="101"/>
      <c r="BR86" s="104"/>
      <c r="BS86" s="104"/>
      <c r="BT86" s="104"/>
      <c r="BU86" s="104"/>
      <c r="BV86" s="104"/>
      <c r="BW86" s="104"/>
      <c r="BX86" s="104"/>
      <c r="BY86" s="104"/>
      <c r="BZ86" s="104"/>
      <c r="CA86" s="104"/>
      <c r="CB86" s="104"/>
      <c r="CC86" s="104"/>
      <c r="CD86" s="104"/>
      <c r="CE86" s="104"/>
      <c r="CF86" s="104"/>
      <c r="CG86" s="104"/>
      <c r="CH86" s="104"/>
      <c r="CI86" s="104"/>
      <c r="CJ86" s="104"/>
      <c r="CK86" s="104"/>
      <c r="CL86" s="104"/>
      <c r="CM86" s="104"/>
      <c r="CN86" s="98"/>
      <c r="CP86" s="101"/>
      <c r="CQ86" s="101"/>
      <c r="CR86" s="101"/>
      <c r="CS86" s="101"/>
      <c r="CT86" s="101"/>
      <c r="FJ86" s="103"/>
      <c r="FL86" s="103"/>
      <c r="FN86" s="103"/>
      <c r="FP86" s="103"/>
    </row>
    <row r="87" spans="2:172" x14ac:dyDescent="0.35">
      <c r="B87" s="97"/>
      <c r="G87" s="100"/>
      <c r="K87" s="98"/>
      <c r="L87" s="101"/>
      <c r="M87" s="101"/>
      <c r="N87" s="101"/>
      <c r="O87" s="101"/>
      <c r="P87" s="102"/>
      <c r="Q87" s="101"/>
      <c r="R87" s="98"/>
      <c r="S87" s="98"/>
      <c r="T87" s="98"/>
      <c r="U87" s="98"/>
      <c r="V87" s="98"/>
      <c r="W87" s="98"/>
      <c r="X87" s="103"/>
      <c r="Y87" s="103"/>
      <c r="Z87" s="103"/>
      <c r="AA87" s="103"/>
      <c r="AB87" s="103"/>
      <c r="AC87" s="103"/>
      <c r="AD87" s="103"/>
      <c r="AE87" s="101"/>
      <c r="AF87" s="101"/>
      <c r="AG87" s="101"/>
      <c r="AH87" s="101"/>
      <c r="AI87" s="101"/>
      <c r="AJ87" s="101"/>
      <c r="AK87" s="101"/>
      <c r="AL87" s="103"/>
      <c r="AM87" s="103"/>
      <c r="AN87" s="103"/>
      <c r="AO87" s="103"/>
      <c r="AP87" s="103"/>
      <c r="AQ87" s="103"/>
      <c r="AR87" s="103"/>
      <c r="AS87" s="101"/>
      <c r="AT87" s="101"/>
      <c r="AU87" s="101"/>
      <c r="AV87" s="101"/>
      <c r="AW87" s="101"/>
      <c r="AX87" s="101"/>
      <c r="AY87" s="101"/>
      <c r="AZ87" s="103"/>
      <c r="BA87" s="103"/>
      <c r="BB87" s="103"/>
      <c r="BC87" s="101"/>
      <c r="BD87" s="101"/>
      <c r="BE87" s="101"/>
      <c r="BF87" s="101"/>
      <c r="BG87" s="101"/>
      <c r="BK87" s="101"/>
      <c r="BL87" s="101"/>
      <c r="BM87" s="101"/>
      <c r="BN87" s="101"/>
      <c r="BO87" s="101"/>
      <c r="BP87" s="101"/>
      <c r="BQ87" s="101"/>
      <c r="BR87" s="104"/>
      <c r="BS87" s="104"/>
      <c r="BT87" s="104"/>
      <c r="BU87" s="104"/>
      <c r="BV87" s="104"/>
      <c r="BW87" s="104"/>
      <c r="BX87" s="104"/>
      <c r="BY87" s="104"/>
      <c r="BZ87" s="104"/>
      <c r="CA87" s="104"/>
      <c r="CB87" s="104"/>
      <c r="CC87" s="104"/>
      <c r="CD87" s="104"/>
      <c r="CE87" s="104"/>
      <c r="CF87" s="104"/>
      <c r="CG87" s="104"/>
      <c r="CH87" s="104"/>
      <c r="CI87" s="104"/>
      <c r="CJ87" s="104"/>
      <c r="CK87" s="104"/>
      <c r="CL87" s="104"/>
      <c r="CM87" s="104"/>
      <c r="CN87" s="98"/>
      <c r="CP87" s="101"/>
      <c r="CQ87" s="101"/>
      <c r="CR87" s="101"/>
      <c r="CS87" s="101"/>
      <c r="CT87" s="101"/>
      <c r="FJ87" s="103"/>
      <c r="FL87" s="103"/>
      <c r="FN87" s="103"/>
      <c r="FP87" s="103"/>
    </row>
    <row r="88" spans="2:172" x14ac:dyDescent="0.35">
      <c r="B88" s="97"/>
      <c r="G88" s="100"/>
      <c r="K88" s="98"/>
      <c r="L88" s="101"/>
      <c r="M88" s="101"/>
      <c r="N88" s="101"/>
      <c r="O88" s="101"/>
      <c r="P88" s="102"/>
      <c r="Q88" s="101"/>
      <c r="R88" s="98"/>
      <c r="S88" s="98"/>
      <c r="T88" s="98"/>
      <c r="U88" s="98"/>
      <c r="V88" s="98"/>
      <c r="W88" s="98"/>
      <c r="X88" s="103"/>
      <c r="Y88" s="103"/>
      <c r="Z88" s="103"/>
      <c r="AA88" s="103"/>
      <c r="AB88" s="103"/>
      <c r="AC88" s="103"/>
      <c r="AD88" s="103"/>
      <c r="AE88" s="101"/>
      <c r="AF88" s="101"/>
      <c r="AG88" s="101"/>
      <c r="AH88" s="101"/>
      <c r="AI88" s="101"/>
      <c r="AJ88" s="101"/>
      <c r="AK88" s="101"/>
      <c r="AL88" s="103"/>
      <c r="AM88" s="103"/>
      <c r="AN88" s="103"/>
      <c r="AO88" s="103"/>
      <c r="AP88" s="103"/>
      <c r="AQ88" s="103"/>
      <c r="AR88" s="103"/>
      <c r="AS88" s="101"/>
      <c r="AT88" s="101"/>
      <c r="AU88" s="101"/>
      <c r="AV88" s="101"/>
      <c r="AW88" s="101"/>
      <c r="AX88" s="101"/>
      <c r="AY88" s="101"/>
      <c r="AZ88" s="103"/>
      <c r="BA88" s="103"/>
      <c r="BB88" s="103"/>
      <c r="BC88" s="101"/>
      <c r="BD88" s="101"/>
      <c r="BE88" s="101"/>
      <c r="BF88" s="101"/>
      <c r="BG88" s="101"/>
      <c r="BK88" s="101"/>
      <c r="BL88" s="101"/>
      <c r="BM88" s="101"/>
      <c r="BN88" s="101"/>
      <c r="BO88" s="101"/>
      <c r="BP88" s="101"/>
      <c r="BQ88" s="101"/>
      <c r="BR88" s="104"/>
      <c r="BS88" s="104"/>
      <c r="BT88" s="104"/>
      <c r="BU88" s="104"/>
      <c r="BV88" s="104"/>
      <c r="BW88" s="104"/>
      <c r="BX88" s="104"/>
      <c r="BY88" s="104"/>
      <c r="BZ88" s="104"/>
      <c r="CA88" s="104"/>
      <c r="CB88" s="104"/>
      <c r="CC88" s="104"/>
      <c r="CD88" s="104"/>
      <c r="CE88" s="104"/>
      <c r="CF88" s="104"/>
      <c r="CG88" s="104"/>
      <c r="CH88" s="104"/>
      <c r="CI88" s="104"/>
      <c r="CJ88" s="104"/>
      <c r="CK88" s="104"/>
      <c r="CL88" s="104"/>
      <c r="CM88" s="104"/>
      <c r="CN88" s="98"/>
      <c r="CP88" s="101"/>
      <c r="CQ88" s="101"/>
      <c r="CR88" s="101"/>
      <c r="CS88" s="101"/>
      <c r="CT88" s="101"/>
      <c r="FJ88" s="103"/>
      <c r="FL88" s="103"/>
      <c r="FN88" s="103"/>
      <c r="FP88" s="103"/>
    </row>
    <row r="89" spans="2:172" x14ac:dyDescent="0.35">
      <c r="B89" s="97"/>
      <c r="G89" s="100"/>
      <c r="K89" s="98"/>
      <c r="L89" s="101"/>
      <c r="M89" s="101"/>
      <c r="N89" s="101"/>
      <c r="O89" s="101"/>
      <c r="P89" s="102"/>
      <c r="Q89" s="101"/>
      <c r="R89" s="98"/>
      <c r="S89" s="98"/>
      <c r="T89" s="98"/>
      <c r="U89" s="98"/>
      <c r="V89" s="98"/>
      <c r="W89" s="98"/>
      <c r="X89" s="103"/>
      <c r="Y89" s="103"/>
      <c r="Z89" s="103"/>
      <c r="AA89" s="103"/>
      <c r="AB89" s="103"/>
      <c r="AC89" s="103"/>
      <c r="AD89" s="103"/>
      <c r="AE89" s="101"/>
      <c r="AF89" s="101"/>
      <c r="AG89" s="101"/>
      <c r="AH89" s="101"/>
      <c r="AI89" s="101"/>
      <c r="AJ89" s="101"/>
      <c r="AK89" s="101"/>
      <c r="AL89" s="103"/>
      <c r="AM89" s="103"/>
      <c r="AN89" s="103"/>
      <c r="AO89" s="103"/>
      <c r="AP89" s="103"/>
      <c r="AQ89" s="103"/>
      <c r="AR89" s="103"/>
      <c r="AS89" s="101"/>
      <c r="AT89" s="101"/>
      <c r="AU89" s="101"/>
      <c r="AV89" s="101"/>
      <c r="AW89" s="101"/>
      <c r="AX89" s="101"/>
      <c r="AY89" s="101"/>
      <c r="AZ89" s="103"/>
      <c r="BA89" s="103"/>
      <c r="BB89" s="103"/>
      <c r="BC89" s="101"/>
      <c r="BD89" s="101"/>
      <c r="BE89" s="101"/>
      <c r="BF89" s="101"/>
      <c r="BG89" s="101"/>
      <c r="BK89" s="101"/>
      <c r="BL89" s="101"/>
      <c r="BM89" s="101"/>
      <c r="BN89" s="101"/>
      <c r="BO89" s="101"/>
      <c r="BP89" s="101"/>
      <c r="BQ89" s="101"/>
      <c r="BR89" s="104"/>
      <c r="BS89" s="104"/>
      <c r="BT89" s="104"/>
      <c r="BU89" s="104"/>
      <c r="BV89" s="104"/>
      <c r="BW89" s="104"/>
      <c r="BX89" s="104"/>
      <c r="BY89" s="104"/>
      <c r="BZ89" s="104"/>
      <c r="CA89" s="104"/>
      <c r="CB89" s="104"/>
      <c r="CC89" s="104"/>
      <c r="CD89" s="104"/>
      <c r="CE89" s="104"/>
      <c r="CF89" s="104"/>
      <c r="CG89" s="104"/>
      <c r="CH89" s="104"/>
      <c r="CI89" s="104"/>
      <c r="CJ89" s="104"/>
      <c r="CK89" s="104"/>
      <c r="CL89" s="104"/>
      <c r="CM89" s="104"/>
      <c r="CN89" s="98"/>
      <c r="CP89" s="101"/>
      <c r="CQ89" s="101"/>
      <c r="CR89" s="101"/>
      <c r="CS89" s="101"/>
      <c r="CT89" s="101"/>
      <c r="FJ89" s="103"/>
      <c r="FL89" s="103"/>
      <c r="FN89" s="103"/>
      <c r="FP89" s="103"/>
    </row>
    <row r="90" spans="2:172" x14ac:dyDescent="0.35">
      <c r="B90" s="97"/>
      <c r="G90" s="100"/>
      <c r="K90" s="98"/>
      <c r="L90" s="101"/>
      <c r="M90" s="101"/>
      <c r="N90" s="101"/>
      <c r="O90" s="101"/>
      <c r="P90" s="102"/>
      <c r="Q90" s="101"/>
      <c r="R90" s="98"/>
      <c r="S90" s="98"/>
      <c r="T90" s="98"/>
      <c r="U90" s="98"/>
      <c r="V90" s="98"/>
      <c r="W90" s="98"/>
      <c r="X90" s="103"/>
      <c r="Y90" s="103"/>
      <c r="Z90" s="103"/>
      <c r="AA90" s="103"/>
      <c r="AB90" s="103"/>
      <c r="AC90" s="103"/>
      <c r="AD90" s="103"/>
      <c r="AE90" s="101"/>
      <c r="AF90" s="101"/>
      <c r="AG90" s="101"/>
      <c r="AH90" s="101"/>
      <c r="AI90" s="101"/>
      <c r="AJ90" s="101"/>
      <c r="AK90" s="101"/>
      <c r="AL90" s="103"/>
      <c r="AM90" s="103"/>
      <c r="AN90" s="103"/>
      <c r="AO90" s="103"/>
      <c r="AP90" s="103"/>
      <c r="AQ90" s="103"/>
      <c r="AR90" s="103"/>
      <c r="AS90" s="101"/>
      <c r="AT90" s="101"/>
      <c r="AU90" s="101"/>
      <c r="AV90" s="101"/>
      <c r="AW90" s="101"/>
      <c r="AX90" s="101"/>
      <c r="AY90" s="101"/>
      <c r="AZ90" s="103"/>
      <c r="BA90" s="103"/>
      <c r="BB90" s="103"/>
      <c r="BC90" s="101"/>
      <c r="BD90" s="101"/>
      <c r="BE90" s="101"/>
      <c r="BF90" s="101"/>
      <c r="BG90" s="101"/>
      <c r="BK90" s="101"/>
      <c r="BL90" s="101"/>
      <c r="BM90" s="101"/>
      <c r="BN90" s="101"/>
      <c r="BO90" s="101"/>
      <c r="BP90" s="101"/>
      <c r="BQ90" s="101"/>
      <c r="BR90" s="104"/>
      <c r="BS90" s="104"/>
      <c r="BT90" s="104"/>
      <c r="BU90" s="104"/>
      <c r="BV90" s="104"/>
      <c r="BW90" s="104"/>
      <c r="BX90" s="104"/>
      <c r="BY90" s="104"/>
      <c r="BZ90" s="104"/>
      <c r="CA90" s="104"/>
      <c r="CB90" s="104"/>
      <c r="CC90" s="104"/>
      <c r="CD90" s="104"/>
      <c r="CE90" s="104"/>
      <c r="CF90" s="104"/>
      <c r="CG90" s="104"/>
      <c r="CH90" s="104"/>
      <c r="CI90" s="104"/>
      <c r="CJ90" s="104"/>
      <c r="CK90" s="104"/>
      <c r="CL90" s="104"/>
      <c r="CM90" s="104"/>
      <c r="CN90" s="98"/>
      <c r="CP90" s="101"/>
      <c r="CQ90" s="101"/>
      <c r="CR90" s="101"/>
      <c r="CS90" s="101"/>
      <c r="CT90" s="101"/>
      <c r="FJ90" s="103"/>
      <c r="FL90" s="103"/>
      <c r="FN90" s="103"/>
      <c r="FP90" s="103"/>
    </row>
    <row r="91" spans="2:172" x14ac:dyDescent="0.35">
      <c r="B91" s="97"/>
      <c r="G91" s="100"/>
      <c r="K91" s="98"/>
      <c r="L91" s="101"/>
      <c r="M91" s="101"/>
      <c r="N91" s="101"/>
      <c r="O91" s="101"/>
      <c r="P91" s="102"/>
      <c r="Q91" s="101"/>
      <c r="R91" s="98"/>
      <c r="S91" s="98"/>
      <c r="T91" s="98"/>
      <c r="U91" s="98"/>
      <c r="V91" s="98"/>
      <c r="W91" s="98"/>
      <c r="X91" s="103"/>
      <c r="Y91" s="103"/>
      <c r="Z91" s="103"/>
      <c r="AA91" s="103"/>
      <c r="AB91" s="103"/>
      <c r="AC91" s="103"/>
      <c r="AD91" s="103"/>
      <c r="AE91" s="101"/>
      <c r="AF91" s="101"/>
      <c r="AG91" s="101"/>
      <c r="AH91" s="101"/>
      <c r="AI91" s="101"/>
      <c r="AJ91" s="101"/>
      <c r="AK91" s="101"/>
      <c r="AL91" s="103"/>
      <c r="AM91" s="103"/>
      <c r="AN91" s="103"/>
      <c r="AO91" s="103"/>
      <c r="AP91" s="103"/>
      <c r="AQ91" s="103"/>
      <c r="AR91" s="103"/>
      <c r="AS91" s="101"/>
      <c r="AT91" s="101"/>
      <c r="AU91" s="101"/>
      <c r="AV91" s="101"/>
      <c r="AW91" s="101"/>
      <c r="AX91" s="101"/>
      <c r="AY91" s="101"/>
      <c r="AZ91" s="103"/>
      <c r="BA91" s="103"/>
      <c r="BB91" s="103"/>
      <c r="BC91" s="101"/>
      <c r="BD91" s="101"/>
      <c r="BE91" s="101"/>
      <c r="BF91" s="101"/>
      <c r="BG91" s="101"/>
      <c r="BK91" s="101"/>
      <c r="BL91" s="101"/>
      <c r="BM91" s="101"/>
      <c r="BN91" s="101"/>
      <c r="BO91" s="101"/>
      <c r="BP91" s="101"/>
      <c r="BQ91" s="101"/>
      <c r="BR91" s="104"/>
      <c r="BS91" s="104"/>
      <c r="BT91" s="104"/>
      <c r="BU91" s="104"/>
      <c r="BV91" s="104"/>
      <c r="BW91" s="104"/>
      <c r="BX91" s="104"/>
      <c r="BY91" s="104"/>
      <c r="BZ91" s="104"/>
      <c r="CA91" s="104"/>
      <c r="CB91" s="104"/>
      <c r="CC91" s="104"/>
      <c r="CD91" s="104"/>
      <c r="CE91" s="104"/>
      <c r="CF91" s="104"/>
      <c r="CG91" s="104"/>
      <c r="CH91" s="104"/>
      <c r="CI91" s="104"/>
      <c r="CJ91" s="104"/>
      <c r="CK91" s="104"/>
      <c r="CL91" s="104"/>
      <c r="CM91" s="104"/>
      <c r="CN91" s="98"/>
      <c r="CP91" s="101"/>
      <c r="CQ91" s="101"/>
      <c r="CR91" s="101"/>
      <c r="CS91" s="101"/>
      <c r="CT91" s="101"/>
      <c r="FJ91" s="103"/>
      <c r="FL91" s="103"/>
      <c r="FN91" s="103"/>
      <c r="FP91" s="103"/>
    </row>
    <row r="92" spans="2:172" x14ac:dyDescent="0.35">
      <c r="B92" s="97"/>
      <c r="G92" s="100"/>
      <c r="K92" s="98"/>
      <c r="L92" s="101"/>
      <c r="M92" s="101"/>
      <c r="N92" s="101"/>
      <c r="O92" s="101"/>
      <c r="P92" s="102"/>
      <c r="Q92" s="101"/>
      <c r="R92" s="98"/>
      <c r="S92" s="98"/>
      <c r="T92" s="98"/>
      <c r="U92" s="98"/>
      <c r="V92" s="98"/>
      <c r="W92" s="98"/>
      <c r="X92" s="103"/>
      <c r="Y92" s="103"/>
      <c r="Z92" s="103"/>
      <c r="AA92" s="103"/>
      <c r="AB92" s="103"/>
      <c r="AC92" s="103"/>
      <c r="AD92" s="103"/>
      <c r="AE92" s="101"/>
      <c r="AF92" s="101"/>
      <c r="AG92" s="101"/>
      <c r="AH92" s="101"/>
      <c r="AI92" s="101"/>
      <c r="AJ92" s="101"/>
      <c r="AK92" s="101"/>
      <c r="AL92" s="103"/>
      <c r="AM92" s="103"/>
      <c r="AN92" s="103"/>
      <c r="AO92" s="103"/>
      <c r="AP92" s="103"/>
      <c r="AQ92" s="103"/>
      <c r="AR92" s="103"/>
      <c r="AS92" s="101"/>
      <c r="AT92" s="101"/>
      <c r="AU92" s="101"/>
      <c r="AV92" s="101"/>
      <c r="AW92" s="101"/>
      <c r="AX92" s="101"/>
      <c r="AY92" s="101"/>
      <c r="AZ92" s="103"/>
      <c r="BA92" s="103"/>
      <c r="BB92" s="103"/>
      <c r="BC92" s="101"/>
      <c r="BD92" s="101"/>
      <c r="BE92" s="101"/>
      <c r="BF92" s="101"/>
      <c r="BG92" s="101"/>
      <c r="BK92" s="101"/>
      <c r="BL92" s="101"/>
      <c r="BM92" s="101"/>
      <c r="BN92" s="101"/>
      <c r="BO92" s="101"/>
      <c r="BP92" s="101"/>
      <c r="BQ92" s="101"/>
      <c r="BR92" s="104"/>
      <c r="BS92" s="104"/>
      <c r="BT92" s="104"/>
      <c r="BU92" s="104"/>
      <c r="BV92" s="104"/>
      <c r="BW92" s="104"/>
      <c r="BX92" s="104"/>
      <c r="BY92" s="104"/>
      <c r="BZ92" s="104"/>
      <c r="CA92" s="104"/>
      <c r="CB92" s="104"/>
      <c r="CC92" s="104"/>
      <c r="CD92" s="104"/>
      <c r="CE92" s="104"/>
      <c r="CF92" s="104"/>
      <c r="CG92" s="104"/>
      <c r="CH92" s="104"/>
      <c r="CI92" s="104"/>
      <c r="CJ92" s="104"/>
      <c r="CK92" s="104"/>
      <c r="CL92" s="104"/>
      <c r="CM92" s="104"/>
      <c r="CN92" s="98"/>
      <c r="CP92" s="101"/>
      <c r="CQ92" s="101"/>
      <c r="CR92" s="101"/>
      <c r="CS92" s="101"/>
      <c r="CT92" s="101"/>
      <c r="FJ92" s="103"/>
      <c r="FL92" s="103"/>
      <c r="FN92" s="103"/>
      <c r="FP92" s="103"/>
    </row>
    <row r="93" spans="2:172" x14ac:dyDescent="0.35">
      <c r="B93" s="97"/>
      <c r="G93" s="100"/>
      <c r="K93" s="98"/>
      <c r="L93" s="101"/>
      <c r="M93" s="101"/>
      <c r="N93" s="101"/>
      <c r="O93" s="101"/>
      <c r="P93" s="102"/>
      <c r="Q93" s="101"/>
      <c r="R93" s="98"/>
      <c r="S93" s="98"/>
      <c r="T93" s="98"/>
      <c r="U93" s="98"/>
      <c r="V93" s="98"/>
      <c r="W93" s="98"/>
      <c r="X93" s="103"/>
      <c r="Y93" s="103"/>
      <c r="Z93" s="103"/>
      <c r="AA93" s="103"/>
      <c r="AB93" s="103"/>
      <c r="AC93" s="103"/>
      <c r="AD93" s="103"/>
      <c r="AE93" s="101"/>
      <c r="AF93" s="101"/>
      <c r="AG93" s="101"/>
      <c r="AH93" s="101"/>
      <c r="AI93" s="101"/>
      <c r="AJ93" s="101"/>
      <c r="AK93" s="101"/>
      <c r="AL93" s="103"/>
      <c r="AM93" s="103"/>
      <c r="AN93" s="103"/>
      <c r="AO93" s="103"/>
      <c r="AP93" s="103"/>
      <c r="AQ93" s="103"/>
      <c r="AR93" s="103"/>
      <c r="AS93" s="101"/>
      <c r="AT93" s="101"/>
      <c r="AU93" s="101"/>
      <c r="AV93" s="101"/>
      <c r="AW93" s="101"/>
      <c r="AX93" s="101"/>
      <c r="AY93" s="101"/>
      <c r="AZ93" s="103"/>
      <c r="BA93" s="103"/>
      <c r="BB93" s="103"/>
      <c r="BC93" s="101"/>
      <c r="BD93" s="101"/>
      <c r="BE93" s="101"/>
      <c r="BF93" s="101"/>
      <c r="BG93" s="101"/>
      <c r="BK93" s="101"/>
      <c r="BL93" s="101"/>
      <c r="BM93" s="101"/>
      <c r="BN93" s="101"/>
      <c r="BO93" s="101"/>
      <c r="BP93" s="101"/>
      <c r="BQ93" s="101"/>
      <c r="BR93" s="104"/>
      <c r="BS93" s="104"/>
      <c r="BT93" s="104"/>
      <c r="BU93" s="104"/>
      <c r="BV93" s="104"/>
      <c r="BW93" s="104"/>
      <c r="BX93" s="104"/>
      <c r="BY93" s="104"/>
      <c r="BZ93" s="104"/>
      <c r="CA93" s="104"/>
      <c r="CB93" s="104"/>
      <c r="CC93" s="104"/>
      <c r="CD93" s="104"/>
      <c r="CE93" s="104"/>
      <c r="CF93" s="104"/>
      <c r="CG93" s="104"/>
      <c r="CH93" s="104"/>
      <c r="CI93" s="104"/>
      <c r="CJ93" s="104"/>
      <c r="CK93" s="104"/>
      <c r="CL93" s="104"/>
      <c r="CM93" s="104"/>
      <c r="CN93" s="98"/>
      <c r="CP93" s="101"/>
      <c r="CQ93" s="101"/>
      <c r="CR93" s="101"/>
      <c r="CS93" s="101"/>
      <c r="CT93" s="101"/>
      <c r="FJ93" s="103"/>
      <c r="FL93" s="103"/>
      <c r="FN93" s="103"/>
      <c r="FP93" s="103"/>
    </row>
    <row r="94" spans="2:172" x14ac:dyDescent="0.35">
      <c r="B94" s="97"/>
      <c r="G94" s="100"/>
      <c r="K94" s="98"/>
      <c r="L94" s="101"/>
      <c r="M94" s="101"/>
      <c r="N94" s="101"/>
      <c r="O94" s="101"/>
      <c r="P94" s="102"/>
      <c r="Q94" s="101"/>
      <c r="R94" s="98"/>
      <c r="S94" s="98"/>
      <c r="T94" s="98"/>
      <c r="U94" s="98"/>
      <c r="V94" s="98"/>
      <c r="W94" s="98"/>
      <c r="X94" s="103"/>
      <c r="Y94" s="103"/>
      <c r="Z94" s="103"/>
      <c r="AA94" s="103"/>
      <c r="AB94" s="103"/>
      <c r="AC94" s="103"/>
      <c r="AD94" s="103"/>
      <c r="AE94" s="101"/>
      <c r="AF94" s="101"/>
      <c r="AG94" s="101"/>
      <c r="AH94" s="101"/>
      <c r="AI94" s="101"/>
      <c r="AJ94" s="101"/>
      <c r="AK94" s="101"/>
      <c r="AL94" s="103"/>
      <c r="AM94" s="103"/>
      <c r="AN94" s="103"/>
      <c r="AO94" s="103"/>
      <c r="AP94" s="103"/>
      <c r="AQ94" s="103"/>
      <c r="AR94" s="103"/>
      <c r="AS94" s="101"/>
      <c r="AT94" s="101"/>
      <c r="AU94" s="101"/>
      <c r="AV94" s="101"/>
      <c r="AW94" s="101"/>
      <c r="AX94" s="101"/>
      <c r="AY94" s="101"/>
      <c r="AZ94" s="103"/>
      <c r="BA94" s="103"/>
      <c r="BB94" s="103"/>
      <c r="BC94" s="101"/>
      <c r="BD94" s="101"/>
      <c r="BE94" s="101"/>
      <c r="BF94" s="101"/>
      <c r="BG94" s="101"/>
      <c r="BK94" s="101"/>
      <c r="BL94" s="101"/>
      <c r="BM94" s="101"/>
      <c r="BN94" s="101"/>
      <c r="BO94" s="101"/>
      <c r="BP94" s="101"/>
      <c r="BQ94" s="101"/>
      <c r="BR94" s="104"/>
      <c r="BS94" s="104"/>
      <c r="BT94" s="104"/>
      <c r="BU94" s="104"/>
      <c r="BV94" s="104"/>
      <c r="BW94" s="104"/>
      <c r="BX94" s="104"/>
      <c r="BY94" s="104"/>
      <c r="BZ94" s="104"/>
      <c r="CA94" s="104"/>
      <c r="CB94" s="104"/>
      <c r="CC94" s="104"/>
      <c r="CD94" s="104"/>
      <c r="CE94" s="104"/>
      <c r="CF94" s="104"/>
      <c r="CG94" s="104"/>
      <c r="CH94" s="104"/>
      <c r="CI94" s="104"/>
      <c r="CJ94" s="104"/>
      <c r="CK94" s="104"/>
      <c r="CL94" s="104"/>
      <c r="CM94" s="104"/>
      <c r="CN94" s="98"/>
      <c r="CP94" s="101"/>
      <c r="CQ94" s="101"/>
      <c r="CR94" s="101"/>
      <c r="CS94" s="101"/>
      <c r="CT94" s="101"/>
      <c r="FJ94" s="103"/>
      <c r="FL94" s="103"/>
      <c r="FN94" s="103"/>
      <c r="FP94" s="103"/>
    </row>
    <row r="95" spans="2:172" x14ac:dyDescent="0.35">
      <c r="B95" s="97"/>
      <c r="G95" s="100"/>
      <c r="K95" s="98"/>
      <c r="L95" s="101"/>
      <c r="M95" s="101"/>
      <c r="N95" s="101"/>
      <c r="O95" s="101"/>
      <c r="P95" s="102"/>
      <c r="Q95" s="101"/>
      <c r="R95" s="98"/>
      <c r="S95" s="98"/>
      <c r="T95" s="98"/>
      <c r="U95" s="98"/>
      <c r="V95" s="98"/>
      <c r="W95" s="98"/>
      <c r="X95" s="103"/>
      <c r="Y95" s="103"/>
      <c r="Z95" s="103"/>
      <c r="AA95" s="103"/>
      <c r="AB95" s="103"/>
      <c r="AC95" s="103"/>
      <c r="AD95" s="103"/>
      <c r="AE95" s="101"/>
      <c r="AF95" s="101"/>
      <c r="AG95" s="101"/>
      <c r="AH95" s="101"/>
      <c r="AI95" s="101"/>
      <c r="AJ95" s="101"/>
      <c r="AK95" s="101"/>
      <c r="AL95" s="103"/>
      <c r="AM95" s="103"/>
      <c r="AN95" s="103"/>
      <c r="AO95" s="103"/>
      <c r="AP95" s="103"/>
      <c r="AQ95" s="103"/>
      <c r="AR95" s="103"/>
      <c r="AS95" s="101"/>
      <c r="AT95" s="101"/>
      <c r="AU95" s="101"/>
      <c r="AV95" s="101"/>
      <c r="AW95" s="101"/>
      <c r="AX95" s="101"/>
      <c r="AY95" s="101"/>
      <c r="AZ95" s="103"/>
      <c r="BA95" s="103"/>
      <c r="BB95" s="103"/>
      <c r="BC95" s="101"/>
      <c r="BD95" s="101"/>
      <c r="BE95" s="101"/>
      <c r="BF95" s="101"/>
      <c r="BG95" s="101"/>
      <c r="BK95" s="101"/>
      <c r="BL95" s="101"/>
      <c r="BM95" s="101"/>
      <c r="BN95" s="101"/>
      <c r="BO95" s="101"/>
      <c r="BP95" s="101"/>
      <c r="BQ95" s="101"/>
      <c r="BR95" s="104"/>
      <c r="BS95" s="104"/>
      <c r="BT95" s="104"/>
      <c r="BU95" s="104"/>
      <c r="BV95" s="104"/>
      <c r="BW95" s="104"/>
      <c r="BX95" s="104"/>
      <c r="BY95" s="104"/>
      <c r="BZ95" s="104"/>
      <c r="CA95" s="104"/>
      <c r="CB95" s="104"/>
      <c r="CC95" s="104"/>
      <c r="CD95" s="104"/>
      <c r="CE95" s="104"/>
      <c r="CF95" s="104"/>
      <c r="CG95" s="104"/>
      <c r="CH95" s="104"/>
      <c r="CI95" s="104"/>
      <c r="CJ95" s="104"/>
      <c r="CK95" s="104"/>
      <c r="CL95" s="104"/>
      <c r="CM95" s="104"/>
      <c r="CN95" s="98"/>
      <c r="CP95" s="101"/>
      <c r="CQ95" s="101"/>
      <c r="CR95" s="101"/>
      <c r="CS95" s="101"/>
      <c r="CT95" s="101"/>
      <c r="FJ95" s="103"/>
      <c r="FL95" s="103"/>
      <c r="FN95" s="103"/>
      <c r="FP95" s="103"/>
    </row>
    <row r="96" spans="2:172" x14ac:dyDescent="0.35">
      <c r="B96" s="97"/>
      <c r="G96" s="100"/>
      <c r="K96" s="98"/>
      <c r="L96" s="101"/>
      <c r="M96" s="101"/>
      <c r="N96" s="101"/>
      <c r="O96" s="101"/>
      <c r="P96" s="102"/>
      <c r="Q96" s="101"/>
      <c r="R96" s="98"/>
      <c r="S96" s="98"/>
      <c r="T96" s="98"/>
      <c r="U96" s="98"/>
      <c r="V96" s="98"/>
      <c r="W96" s="98"/>
      <c r="X96" s="103"/>
      <c r="Y96" s="103"/>
      <c r="Z96" s="103"/>
      <c r="AA96" s="103"/>
      <c r="AB96" s="103"/>
      <c r="AC96" s="103"/>
      <c r="AD96" s="103"/>
      <c r="AE96" s="101"/>
      <c r="AF96" s="101"/>
      <c r="AG96" s="101"/>
      <c r="AH96" s="101"/>
      <c r="AI96" s="101"/>
      <c r="AJ96" s="101"/>
      <c r="AK96" s="101"/>
      <c r="AL96" s="103"/>
      <c r="AM96" s="103"/>
      <c r="AN96" s="103"/>
      <c r="AO96" s="103"/>
      <c r="AP96" s="103"/>
      <c r="AQ96" s="103"/>
      <c r="AR96" s="103"/>
      <c r="AS96" s="101"/>
      <c r="AT96" s="101"/>
      <c r="AU96" s="101"/>
      <c r="AV96" s="101"/>
      <c r="AW96" s="101"/>
      <c r="AX96" s="101"/>
      <c r="AY96" s="101"/>
      <c r="AZ96" s="103"/>
      <c r="BA96" s="103"/>
      <c r="BB96" s="103"/>
      <c r="BC96" s="101"/>
      <c r="BD96" s="101"/>
      <c r="BE96" s="101"/>
      <c r="BF96" s="101"/>
      <c r="BG96" s="101"/>
      <c r="BK96" s="101"/>
      <c r="BL96" s="101"/>
      <c r="BM96" s="101"/>
      <c r="BN96" s="101"/>
      <c r="BO96" s="101"/>
      <c r="BP96" s="101"/>
      <c r="BQ96" s="101"/>
      <c r="BR96" s="104"/>
      <c r="BS96" s="104"/>
      <c r="BT96" s="104"/>
      <c r="BU96" s="104"/>
      <c r="BV96" s="104"/>
      <c r="BW96" s="104"/>
      <c r="BX96" s="104"/>
      <c r="BY96" s="104"/>
      <c r="BZ96" s="104"/>
      <c r="CA96" s="104"/>
      <c r="CB96" s="104"/>
      <c r="CC96" s="104"/>
      <c r="CD96" s="104"/>
      <c r="CE96" s="104"/>
      <c r="CF96" s="104"/>
      <c r="CG96" s="104"/>
      <c r="CH96" s="104"/>
      <c r="CI96" s="104"/>
      <c r="CJ96" s="104"/>
      <c r="CK96" s="104"/>
      <c r="CL96" s="104"/>
      <c r="CM96" s="104"/>
      <c r="CN96" s="98"/>
      <c r="CP96" s="101"/>
      <c r="CQ96" s="101"/>
      <c r="CR96" s="101"/>
      <c r="CS96" s="101"/>
      <c r="CT96" s="101"/>
      <c r="FJ96" s="103"/>
      <c r="FL96" s="103"/>
      <c r="FN96" s="103"/>
      <c r="FP96" s="103"/>
    </row>
    <row r="97" spans="2:172" x14ac:dyDescent="0.35">
      <c r="B97" s="97"/>
      <c r="G97" s="100"/>
      <c r="K97" s="98"/>
      <c r="L97" s="101"/>
      <c r="M97" s="101"/>
      <c r="N97" s="101"/>
      <c r="O97" s="101"/>
      <c r="P97" s="102"/>
      <c r="Q97" s="101"/>
      <c r="R97" s="98"/>
      <c r="S97" s="98"/>
      <c r="T97" s="98"/>
      <c r="U97" s="98"/>
      <c r="V97" s="98"/>
      <c r="W97" s="98"/>
      <c r="X97" s="103"/>
      <c r="Y97" s="103"/>
      <c r="Z97" s="103"/>
      <c r="AA97" s="103"/>
      <c r="AB97" s="103"/>
      <c r="AC97" s="103"/>
      <c r="AD97" s="103"/>
      <c r="AE97" s="101"/>
      <c r="AF97" s="101"/>
      <c r="AG97" s="101"/>
      <c r="AH97" s="101"/>
      <c r="AI97" s="101"/>
      <c r="AJ97" s="101"/>
      <c r="AK97" s="101"/>
      <c r="AL97" s="103"/>
      <c r="AM97" s="103"/>
      <c r="AN97" s="103"/>
      <c r="AO97" s="103"/>
      <c r="AP97" s="103"/>
      <c r="AQ97" s="103"/>
      <c r="AR97" s="103"/>
      <c r="AS97" s="101"/>
      <c r="AT97" s="101"/>
      <c r="AU97" s="101"/>
      <c r="AV97" s="101"/>
      <c r="AW97" s="101"/>
      <c r="AX97" s="101"/>
      <c r="AY97" s="101"/>
      <c r="AZ97" s="103"/>
      <c r="BA97" s="103"/>
      <c r="BB97" s="103"/>
      <c r="BC97" s="101"/>
      <c r="BD97" s="101"/>
      <c r="BE97" s="101"/>
      <c r="BF97" s="101"/>
      <c r="BG97" s="101"/>
      <c r="BK97" s="101"/>
      <c r="BL97" s="101"/>
      <c r="BM97" s="101"/>
      <c r="BN97" s="101"/>
      <c r="BO97" s="101"/>
      <c r="BP97" s="101"/>
      <c r="BQ97" s="101"/>
      <c r="BR97" s="104"/>
      <c r="BS97" s="104"/>
      <c r="BT97" s="104"/>
      <c r="BU97" s="104"/>
      <c r="BV97" s="104"/>
      <c r="BW97" s="104"/>
      <c r="BX97" s="104"/>
      <c r="BY97" s="104"/>
      <c r="BZ97" s="104"/>
      <c r="CA97" s="104"/>
      <c r="CB97" s="104"/>
      <c r="CC97" s="104"/>
      <c r="CD97" s="104"/>
      <c r="CE97" s="104"/>
      <c r="CF97" s="104"/>
      <c r="CG97" s="104"/>
      <c r="CH97" s="104"/>
      <c r="CI97" s="104"/>
      <c r="CJ97" s="104"/>
      <c r="CK97" s="104"/>
      <c r="CL97" s="104"/>
      <c r="CM97" s="104"/>
      <c r="CN97" s="98"/>
      <c r="CP97" s="101"/>
      <c r="CQ97" s="101"/>
      <c r="CR97" s="101"/>
      <c r="CS97" s="101"/>
      <c r="CT97" s="101"/>
      <c r="FJ97" s="103"/>
      <c r="FL97" s="103"/>
      <c r="FN97" s="103"/>
      <c r="FP97" s="103"/>
    </row>
    <row r="98" spans="2:172" x14ac:dyDescent="0.35">
      <c r="B98" s="97"/>
      <c r="G98" s="100"/>
      <c r="K98" s="98"/>
      <c r="L98" s="101"/>
      <c r="M98" s="101"/>
      <c r="N98" s="101"/>
      <c r="O98" s="101"/>
      <c r="P98" s="102"/>
      <c r="Q98" s="101"/>
      <c r="R98" s="98"/>
      <c r="S98" s="98"/>
      <c r="T98" s="98"/>
      <c r="U98" s="98"/>
      <c r="V98" s="98"/>
      <c r="W98" s="98"/>
      <c r="X98" s="103"/>
      <c r="Y98" s="103"/>
      <c r="Z98" s="103"/>
      <c r="AA98" s="103"/>
      <c r="AB98" s="103"/>
      <c r="AC98" s="103"/>
      <c r="AD98" s="103"/>
      <c r="AE98" s="101"/>
      <c r="AF98" s="101"/>
      <c r="AG98" s="101"/>
      <c r="AH98" s="101"/>
      <c r="AI98" s="101"/>
      <c r="AJ98" s="101"/>
      <c r="AK98" s="101"/>
      <c r="AL98" s="103"/>
      <c r="AM98" s="103"/>
      <c r="AN98" s="103"/>
      <c r="AO98" s="103"/>
      <c r="AP98" s="103"/>
      <c r="AQ98" s="103"/>
      <c r="AR98" s="103"/>
      <c r="AS98" s="101"/>
      <c r="AT98" s="101"/>
      <c r="AU98" s="101"/>
      <c r="AV98" s="101"/>
      <c r="AW98" s="101"/>
      <c r="AX98" s="101"/>
      <c r="AY98" s="101"/>
      <c r="AZ98" s="103"/>
      <c r="BA98" s="103"/>
      <c r="BB98" s="103"/>
      <c r="BC98" s="101"/>
      <c r="BD98" s="101"/>
      <c r="BE98" s="101"/>
      <c r="BF98" s="101"/>
      <c r="BG98" s="101"/>
      <c r="BK98" s="101"/>
      <c r="BL98" s="101"/>
      <c r="BM98" s="101"/>
      <c r="BN98" s="101"/>
      <c r="BO98" s="101"/>
      <c r="BP98" s="101"/>
      <c r="BQ98" s="101"/>
      <c r="BR98" s="104"/>
      <c r="BS98" s="104"/>
      <c r="BT98" s="104"/>
      <c r="BU98" s="104"/>
      <c r="BV98" s="104"/>
      <c r="BW98" s="104"/>
      <c r="BX98" s="104"/>
      <c r="BY98" s="104"/>
      <c r="BZ98" s="104"/>
      <c r="CA98" s="104"/>
      <c r="CB98" s="104"/>
      <c r="CC98" s="104"/>
      <c r="CD98" s="104"/>
      <c r="CE98" s="104"/>
      <c r="CF98" s="104"/>
      <c r="CG98" s="104"/>
      <c r="CH98" s="104"/>
      <c r="CI98" s="104"/>
      <c r="CJ98" s="104"/>
      <c r="CK98" s="104"/>
      <c r="CL98" s="104"/>
      <c r="CM98" s="104"/>
      <c r="CN98" s="98"/>
      <c r="CP98" s="101"/>
      <c r="CQ98" s="101"/>
      <c r="CR98" s="101"/>
      <c r="CS98" s="101"/>
      <c r="CT98" s="101"/>
      <c r="FJ98" s="103"/>
      <c r="FL98" s="103"/>
      <c r="FN98" s="103"/>
      <c r="FP98" s="103"/>
    </row>
    <row r="99" spans="2:172" x14ac:dyDescent="0.35">
      <c r="B99" s="97"/>
      <c r="G99" s="100"/>
      <c r="K99" s="98"/>
      <c r="L99" s="101"/>
      <c r="M99" s="101"/>
      <c r="N99" s="101"/>
      <c r="O99" s="101"/>
      <c r="P99" s="102"/>
      <c r="Q99" s="101"/>
      <c r="R99" s="98"/>
      <c r="S99" s="98"/>
      <c r="T99" s="98"/>
      <c r="U99" s="98"/>
      <c r="V99" s="98"/>
      <c r="W99" s="98"/>
      <c r="X99" s="103"/>
      <c r="Y99" s="103"/>
      <c r="Z99" s="103"/>
      <c r="AA99" s="103"/>
      <c r="AB99" s="103"/>
      <c r="AC99" s="103"/>
      <c r="AD99" s="103"/>
      <c r="AE99" s="101"/>
      <c r="AF99" s="101"/>
      <c r="AG99" s="101"/>
      <c r="AH99" s="101"/>
      <c r="AI99" s="101"/>
      <c r="AJ99" s="101"/>
      <c r="AK99" s="101"/>
      <c r="AL99" s="103"/>
      <c r="AM99" s="103"/>
      <c r="AN99" s="103"/>
      <c r="AO99" s="103"/>
      <c r="AP99" s="103"/>
      <c r="AQ99" s="103"/>
      <c r="AR99" s="103"/>
      <c r="AS99" s="101"/>
      <c r="AT99" s="101"/>
      <c r="AU99" s="101"/>
      <c r="AV99" s="101"/>
      <c r="AW99" s="101"/>
      <c r="AX99" s="101"/>
      <c r="AY99" s="101"/>
      <c r="AZ99" s="103"/>
      <c r="BA99" s="103"/>
      <c r="BB99" s="103"/>
      <c r="BC99" s="101"/>
      <c r="BD99" s="101"/>
      <c r="BE99" s="101"/>
      <c r="BF99" s="101"/>
      <c r="BG99" s="101"/>
      <c r="BK99" s="101"/>
      <c r="BL99" s="101"/>
      <c r="BM99" s="101"/>
      <c r="BN99" s="101"/>
      <c r="BO99" s="101"/>
      <c r="BP99" s="101"/>
      <c r="BQ99" s="101"/>
      <c r="BR99" s="104"/>
      <c r="BS99" s="104"/>
      <c r="BT99" s="104"/>
      <c r="BU99" s="104"/>
      <c r="BV99" s="104"/>
      <c r="BW99" s="104"/>
      <c r="BX99" s="104"/>
      <c r="BY99" s="104"/>
      <c r="BZ99" s="104"/>
      <c r="CA99" s="104"/>
      <c r="CB99" s="104"/>
      <c r="CC99" s="104"/>
      <c r="CD99" s="104"/>
      <c r="CE99" s="104"/>
      <c r="CF99" s="104"/>
      <c r="CG99" s="104"/>
      <c r="CH99" s="104"/>
      <c r="CI99" s="104"/>
      <c r="CJ99" s="104"/>
      <c r="CK99" s="104"/>
      <c r="CL99" s="104"/>
      <c r="CM99" s="104"/>
      <c r="CN99" s="98"/>
      <c r="CP99" s="101"/>
      <c r="CQ99" s="101"/>
      <c r="CR99" s="101"/>
      <c r="CS99" s="101"/>
      <c r="CT99" s="101"/>
      <c r="FJ99" s="103"/>
      <c r="FL99" s="103"/>
      <c r="FN99" s="103"/>
      <c r="FP99" s="103"/>
    </row>
    <row r="100" spans="2:172" x14ac:dyDescent="0.35">
      <c r="B100" s="97"/>
      <c r="G100" s="100"/>
      <c r="K100" s="98"/>
      <c r="L100" s="101"/>
      <c r="M100" s="101"/>
      <c r="N100" s="101"/>
      <c r="O100" s="101"/>
      <c r="P100" s="102"/>
      <c r="Q100" s="101"/>
      <c r="R100" s="98"/>
      <c r="S100" s="98"/>
      <c r="T100" s="98"/>
      <c r="U100" s="98"/>
      <c r="V100" s="98"/>
      <c r="W100" s="98"/>
      <c r="X100" s="103"/>
      <c r="Y100" s="103"/>
      <c r="Z100" s="103"/>
      <c r="AA100" s="103"/>
      <c r="AB100" s="103"/>
      <c r="AC100" s="103"/>
      <c r="AD100" s="103"/>
      <c r="AE100" s="101"/>
      <c r="AF100" s="101"/>
      <c r="AG100" s="101"/>
      <c r="AH100" s="101"/>
      <c r="AI100" s="101"/>
      <c r="AJ100" s="101"/>
      <c r="AK100" s="101"/>
      <c r="AL100" s="103"/>
      <c r="AM100" s="103"/>
      <c r="AN100" s="103"/>
      <c r="AO100" s="103"/>
      <c r="AP100" s="103"/>
      <c r="AQ100" s="103"/>
      <c r="AR100" s="103"/>
      <c r="AS100" s="101"/>
      <c r="AT100" s="101"/>
      <c r="AU100" s="101"/>
      <c r="AV100" s="101"/>
      <c r="AW100" s="101"/>
      <c r="AX100" s="101"/>
      <c r="AY100" s="101"/>
      <c r="AZ100" s="103"/>
      <c r="BA100" s="103"/>
      <c r="BB100" s="103"/>
      <c r="BC100" s="101"/>
      <c r="BD100" s="101"/>
      <c r="BE100" s="101"/>
      <c r="BF100" s="101"/>
      <c r="BG100" s="101"/>
      <c r="BK100" s="101"/>
      <c r="BL100" s="101"/>
      <c r="BM100" s="101"/>
      <c r="BN100" s="101"/>
      <c r="BO100" s="101"/>
      <c r="BP100" s="101"/>
      <c r="BQ100" s="101"/>
      <c r="BR100" s="104"/>
      <c r="BS100" s="104"/>
      <c r="BT100" s="104"/>
      <c r="BU100" s="104"/>
      <c r="BV100" s="104"/>
      <c r="BW100" s="104"/>
      <c r="BX100" s="104"/>
      <c r="BY100" s="104"/>
      <c r="BZ100" s="104"/>
      <c r="CA100" s="104"/>
      <c r="CB100" s="104"/>
      <c r="CC100" s="104"/>
      <c r="CD100" s="104"/>
      <c r="CE100" s="104"/>
      <c r="CF100" s="104"/>
      <c r="CG100" s="104"/>
      <c r="CH100" s="104"/>
      <c r="CI100" s="104"/>
      <c r="CJ100" s="104"/>
      <c r="CK100" s="104"/>
      <c r="CL100" s="104"/>
      <c r="CM100" s="104"/>
      <c r="CN100" s="98"/>
      <c r="CP100" s="101"/>
      <c r="CQ100" s="101"/>
      <c r="CR100" s="101"/>
      <c r="CS100" s="101"/>
      <c r="CT100" s="101"/>
      <c r="FJ100" s="103"/>
      <c r="FL100" s="103"/>
      <c r="FN100" s="103"/>
      <c r="FP100" s="103"/>
    </row>
    <row r="101" spans="2:172" x14ac:dyDescent="0.35">
      <c r="B101" s="97"/>
      <c r="G101" s="100"/>
      <c r="K101" s="98"/>
      <c r="L101" s="101"/>
      <c r="M101" s="101"/>
      <c r="N101" s="101"/>
      <c r="O101" s="101"/>
      <c r="P101" s="102"/>
      <c r="Q101" s="101"/>
      <c r="R101" s="98"/>
      <c r="S101" s="98"/>
      <c r="T101" s="98"/>
      <c r="U101" s="98"/>
      <c r="V101" s="98"/>
      <c r="W101" s="98"/>
      <c r="X101" s="103"/>
      <c r="Y101" s="103"/>
      <c r="Z101" s="103"/>
      <c r="AA101" s="103"/>
      <c r="AB101" s="103"/>
      <c r="AC101" s="103"/>
      <c r="AD101" s="103"/>
      <c r="AE101" s="101"/>
      <c r="AF101" s="101"/>
      <c r="AG101" s="101"/>
      <c r="AH101" s="101"/>
      <c r="AI101" s="101"/>
      <c r="AJ101" s="101"/>
      <c r="AK101" s="101"/>
      <c r="AL101" s="103"/>
      <c r="AM101" s="103"/>
      <c r="AN101" s="103"/>
      <c r="AO101" s="103"/>
      <c r="AP101" s="103"/>
      <c r="AQ101" s="103"/>
      <c r="AR101" s="103"/>
      <c r="AS101" s="101"/>
      <c r="AT101" s="101"/>
      <c r="AU101" s="101"/>
      <c r="AV101" s="101"/>
      <c r="AW101" s="101"/>
      <c r="AX101" s="101"/>
      <c r="AY101" s="101"/>
      <c r="AZ101" s="103"/>
      <c r="BA101" s="103"/>
      <c r="BB101" s="103"/>
      <c r="BC101" s="101"/>
      <c r="BD101" s="101"/>
      <c r="BE101" s="101"/>
      <c r="BF101" s="101"/>
      <c r="BG101" s="101"/>
      <c r="BK101" s="101"/>
      <c r="BL101" s="101"/>
      <c r="BM101" s="101"/>
      <c r="BN101" s="101"/>
      <c r="BO101" s="101"/>
      <c r="BP101" s="101"/>
      <c r="BQ101" s="101"/>
      <c r="BR101" s="104"/>
      <c r="BS101" s="104"/>
      <c r="BT101" s="104"/>
      <c r="BU101" s="104"/>
      <c r="BV101" s="104"/>
      <c r="BW101" s="104"/>
      <c r="BX101" s="104"/>
      <c r="BY101" s="104"/>
      <c r="BZ101" s="104"/>
      <c r="CA101" s="104"/>
      <c r="CB101" s="104"/>
      <c r="CC101" s="104"/>
      <c r="CD101" s="104"/>
      <c r="CE101" s="104"/>
      <c r="CF101" s="104"/>
      <c r="CG101" s="104"/>
      <c r="CH101" s="104"/>
      <c r="CI101" s="104"/>
      <c r="CJ101" s="104"/>
      <c r="CK101" s="104"/>
      <c r="CL101" s="104"/>
      <c r="CM101" s="104"/>
      <c r="CN101" s="98"/>
      <c r="CP101" s="101"/>
      <c r="CQ101" s="101"/>
      <c r="CR101" s="101"/>
      <c r="CS101" s="101"/>
      <c r="CT101" s="101"/>
      <c r="FJ101" s="103"/>
      <c r="FL101" s="103"/>
      <c r="FN101" s="103"/>
      <c r="FP101" s="103"/>
    </row>
    <row r="102" spans="2:172" x14ac:dyDescent="0.35">
      <c r="B102" s="97"/>
      <c r="G102" s="100"/>
      <c r="K102" s="98"/>
      <c r="L102" s="101"/>
      <c r="M102" s="101"/>
      <c r="N102" s="101"/>
      <c r="O102" s="101"/>
      <c r="P102" s="102"/>
      <c r="Q102" s="101"/>
      <c r="R102" s="98"/>
      <c r="S102" s="98"/>
      <c r="T102" s="98"/>
      <c r="U102" s="98"/>
      <c r="V102" s="98"/>
      <c r="W102" s="98"/>
      <c r="X102" s="103"/>
      <c r="Y102" s="103"/>
      <c r="Z102" s="103"/>
      <c r="AA102" s="103"/>
      <c r="AB102" s="103"/>
      <c r="AC102" s="103"/>
      <c r="AD102" s="103"/>
      <c r="AE102" s="101"/>
      <c r="AF102" s="101"/>
      <c r="AG102" s="101"/>
      <c r="AH102" s="101"/>
      <c r="AI102" s="101"/>
      <c r="AJ102" s="101"/>
      <c r="AK102" s="101"/>
      <c r="AL102" s="103"/>
      <c r="AM102" s="103"/>
      <c r="AN102" s="103"/>
      <c r="AO102" s="103"/>
      <c r="AP102" s="103"/>
      <c r="AQ102" s="103"/>
      <c r="AR102" s="103"/>
      <c r="AS102" s="101"/>
      <c r="AT102" s="101"/>
      <c r="AU102" s="101"/>
      <c r="AV102" s="101"/>
      <c r="AW102" s="101"/>
      <c r="AX102" s="101"/>
      <c r="AY102" s="101"/>
      <c r="AZ102" s="103"/>
      <c r="BA102" s="103"/>
      <c r="BB102" s="103"/>
      <c r="BC102" s="101"/>
      <c r="BD102" s="101"/>
      <c r="BE102" s="101"/>
      <c r="BF102" s="101"/>
      <c r="BG102" s="101"/>
      <c r="BK102" s="101"/>
      <c r="BL102" s="101"/>
      <c r="BM102" s="101"/>
      <c r="BN102" s="101"/>
      <c r="BO102" s="101"/>
      <c r="BP102" s="101"/>
      <c r="BQ102" s="101"/>
      <c r="BR102" s="104"/>
      <c r="BS102" s="104"/>
      <c r="BT102" s="104"/>
      <c r="BU102" s="104"/>
      <c r="BV102" s="104"/>
      <c r="BW102" s="104"/>
      <c r="BX102" s="104"/>
      <c r="BY102" s="104"/>
      <c r="BZ102" s="104"/>
      <c r="CA102" s="104"/>
      <c r="CB102" s="104"/>
      <c r="CC102" s="104"/>
      <c r="CD102" s="104"/>
      <c r="CE102" s="104"/>
      <c r="CF102" s="104"/>
      <c r="CG102" s="104"/>
      <c r="CH102" s="104"/>
      <c r="CI102" s="104"/>
      <c r="CJ102" s="104"/>
      <c r="CK102" s="104"/>
      <c r="CL102" s="104"/>
      <c r="CM102" s="104"/>
      <c r="CN102" s="98"/>
      <c r="CP102" s="101"/>
      <c r="CQ102" s="101"/>
      <c r="CR102" s="101"/>
      <c r="CS102" s="101"/>
      <c r="CT102" s="101"/>
      <c r="FJ102" s="103"/>
      <c r="FL102" s="103"/>
      <c r="FN102" s="103"/>
      <c r="FP102" s="103"/>
    </row>
    <row r="103" spans="2:172" x14ac:dyDescent="0.35">
      <c r="B103" s="97"/>
      <c r="G103" s="100"/>
      <c r="K103" s="98"/>
      <c r="L103" s="101"/>
      <c r="M103" s="101"/>
      <c r="N103" s="101"/>
      <c r="O103" s="101"/>
      <c r="P103" s="102"/>
      <c r="Q103" s="101"/>
      <c r="R103" s="98"/>
      <c r="S103" s="98"/>
      <c r="T103" s="98"/>
      <c r="U103" s="98"/>
      <c r="V103" s="98"/>
      <c r="W103" s="98"/>
      <c r="X103" s="103"/>
      <c r="Y103" s="103"/>
      <c r="Z103" s="103"/>
      <c r="AA103" s="103"/>
      <c r="AB103" s="103"/>
      <c r="AC103" s="103"/>
      <c r="AD103" s="103"/>
      <c r="AE103" s="101"/>
      <c r="AF103" s="101"/>
      <c r="AG103" s="101"/>
      <c r="AH103" s="101"/>
      <c r="AI103" s="101"/>
      <c r="AJ103" s="101"/>
      <c r="AK103" s="101"/>
      <c r="AL103" s="103"/>
      <c r="AM103" s="103"/>
      <c r="AN103" s="103"/>
      <c r="AO103" s="103"/>
      <c r="AP103" s="103"/>
      <c r="AQ103" s="103"/>
      <c r="AR103" s="103"/>
      <c r="AS103" s="101"/>
      <c r="AT103" s="101"/>
      <c r="AU103" s="101"/>
      <c r="AV103" s="101"/>
      <c r="AW103" s="101"/>
      <c r="AX103" s="101"/>
      <c r="AY103" s="101"/>
      <c r="AZ103" s="103"/>
      <c r="BA103" s="103"/>
      <c r="BB103" s="103"/>
      <c r="BC103" s="101"/>
      <c r="BD103" s="101"/>
      <c r="BE103" s="101"/>
      <c r="BF103" s="101"/>
      <c r="BG103" s="101"/>
      <c r="BK103" s="101"/>
      <c r="BL103" s="101"/>
      <c r="BM103" s="101"/>
      <c r="BN103" s="101"/>
      <c r="BO103" s="101"/>
      <c r="BP103" s="101"/>
      <c r="BQ103" s="101"/>
      <c r="BR103" s="104"/>
      <c r="BS103" s="104"/>
      <c r="BT103" s="104"/>
      <c r="BU103" s="104"/>
      <c r="BV103" s="104"/>
      <c r="BW103" s="104"/>
      <c r="BX103" s="104"/>
      <c r="BY103" s="104"/>
      <c r="BZ103" s="104"/>
      <c r="CA103" s="104"/>
      <c r="CB103" s="104"/>
      <c r="CC103" s="104"/>
      <c r="CD103" s="104"/>
      <c r="CE103" s="104"/>
      <c r="CF103" s="104"/>
      <c r="CG103" s="104"/>
      <c r="CH103" s="104"/>
      <c r="CI103" s="104"/>
      <c r="CJ103" s="104"/>
      <c r="CK103" s="104"/>
      <c r="CL103" s="104"/>
      <c r="CM103" s="104"/>
      <c r="CN103" s="98"/>
      <c r="CP103" s="101"/>
      <c r="CQ103" s="101"/>
      <c r="CR103" s="101"/>
      <c r="CS103" s="101"/>
      <c r="CT103" s="101"/>
      <c r="FJ103" s="103"/>
      <c r="FL103" s="103"/>
      <c r="FN103" s="103"/>
      <c r="FP103" s="103"/>
    </row>
    <row r="104" spans="2:172" x14ac:dyDescent="0.35">
      <c r="B104" s="97"/>
      <c r="G104" s="100"/>
      <c r="K104" s="98"/>
      <c r="L104" s="101"/>
      <c r="M104" s="101"/>
      <c r="N104" s="101"/>
      <c r="O104" s="101"/>
      <c r="P104" s="102"/>
      <c r="Q104" s="101"/>
      <c r="R104" s="98"/>
      <c r="S104" s="98"/>
      <c r="T104" s="98"/>
      <c r="U104" s="98"/>
      <c r="V104" s="98"/>
      <c r="W104" s="98"/>
      <c r="X104" s="103"/>
      <c r="Y104" s="103"/>
      <c r="Z104" s="103"/>
      <c r="AA104" s="103"/>
      <c r="AB104" s="103"/>
      <c r="AC104" s="103"/>
      <c r="AD104" s="103"/>
      <c r="AE104" s="101"/>
      <c r="AF104" s="101"/>
      <c r="AG104" s="101"/>
      <c r="AH104" s="101"/>
      <c r="AI104" s="101"/>
      <c r="AJ104" s="101"/>
      <c r="AK104" s="101"/>
      <c r="AL104" s="103"/>
      <c r="AM104" s="103"/>
      <c r="AN104" s="103"/>
      <c r="AO104" s="103"/>
      <c r="AP104" s="103"/>
      <c r="AQ104" s="103"/>
      <c r="AR104" s="103"/>
      <c r="AS104" s="101"/>
      <c r="AT104" s="101"/>
      <c r="AU104" s="101"/>
      <c r="AV104" s="101"/>
      <c r="AW104" s="101"/>
      <c r="AX104" s="101"/>
      <c r="AY104" s="101"/>
      <c r="AZ104" s="103"/>
      <c r="BA104" s="103"/>
      <c r="BB104" s="103"/>
      <c r="BC104" s="101"/>
      <c r="BD104" s="101"/>
      <c r="BE104" s="101"/>
      <c r="BF104" s="101"/>
      <c r="BG104" s="101"/>
      <c r="BK104" s="101"/>
      <c r="BL104" s="101"/>
      <c r="BM104" s="101"/>
      <c r="BN104" s="101"/>
      <c r="BO104" s="101"/>
      <c r="BP104" s="101"/>
      <c r="BQ104" s="101"/>
      <c r="BR104" s="104"/>
      <c r="BS104" s="104"/>
      <c r="BT104" s="104"/>
      <c r="BU104" s="104"/>
      <c r="BV104" s="104"/>
      <c r="BW104" s="104"/>
      <c r="BX104" s="104"/>
      <c r="BY104" s="104"/>
      <c r="BZ104" s="104"/>
      <c r="CA104" s="104"/>
      <c r="CB104" s="104"/>
      <c r="CC104" s="104"/>
      <c r="CD104" s="104"/>
      <c r="CE104" s="104"/>
      <c r="CF104" s="104"/>
      <c r="CG104" s="104"/>
      <c r="CH104" s="104"/>
      <c r="CI104" s="104"/>
      <c r="CJ104" s="104"/>
      <c r="CK104" s="104"/>
      <c r="CL104" s="104"/>
      <c r="CM104" s="104"/>
      <c r="CN104" s="98"/>
      <c r="CP104" s="101"/>
      <c r="CQ104" s="101"/>
      <c r="CR104" s="101"/>
      <c r="CS104" s="101"/>
      <c r="CT104" s="101"/>
      <c r="FJ104" s="103"/>
      <c r="FL104" s="103"/>
      <c r="FN104" s="103"/>
      <c r="FP104" s="103"/>
    </row>
    <row r="105" spans="2:172" x14ac:dyDescent="0.35">
      <c r="B105" s="97"/>
      <c r="G105" s="100"/>
      <c r="K105" s="98"/>
      <c r="L105" s="101"/>
      <c r="M105" s="101"/>
      <c r="N105" s="101"/>
      <c r="O105" s="101"/>
      <c r="P105" s="102"/>
      <c r="Q105" s="101"/>
      <c r="R105" s="98"/>
      <c r="S105" s="98"/>
      <c r="T105" s="98"/>
      <c r="U105" s="98"/>
      <c r="V105" s="98"/>
      <c r="W105" s="98"/>
      <c r="X105" s="103"/>
      <c r="Y105" s="103"/>
      <c r="Z105" s="103"/>
      <c r="AA105" s="103"/>
      <c r="AB105" s="103"/>
      <c r="AC105" s="103"/>
      <c r="AD105" s="103"/>
      <c r="AE105" s="101"/>
      <c r="AF105" s="101"/>
      <c r="AG105" s="101"/>
      <c r="AH105" s="101"/>
      <c r="AI105" s="101"/>
      <c r="AJ105" s="101"/>
      <c r="AK105" s="101"/>
      <c r="AL105" s="103"/>
      <c r="AM105" s="103"/>
      <c r="AN105" s="103"/>
      <c r="AO105" s="103"/>
      <c r="AP105" s="103"/>
      <c r="AQ105" s="103"/>
      <c r="AR105" s="103"/>
      <c r="AS105" s="101"/>
      <c r="AT105" s="101"/>
      <c r="AU105" s="101"/>
      <c r="AV105" s="101"/>
      <c r="AW105" s="101"/>
      <c r="AX105" s="101"/>
      <c r="AY105" s="101"/>
      <c r="AZ105" s="103"/>
      <c r="BA105" s="103"/>
      <c r="BB105" s="103"/>
      <c r="BC105" s="101"/>
      <c r="BD105" s="101"/>
      <c r="BE105" s="101"/>
      <c r="BF105" s="101"/>
      <c r="BG105" s="101"/>
      <c r="BK105" s="101"/>
      <c r="BL105" s="101"/>
      <c r="BM105" s="101"/>
      <c r="BN105" s="101"/>
      <c r="BO105" s="101"/>
      <c r="BP105" s="101"/>
      <c r="BQ105" s="101"/>
      <c r="BR105" s="104"/>
      <c r="BS105" s="104"/>
      <c r="BT105" s="104"/>
      <c r="BU105" s="104"/>
      <c r="BV105" s="104"/>
      <c r="BW105" s="104"/>
      <c r="BX105" s="104"/>
      <c r="BY105" s="104"/>
      <c r="BZ105" s="104"/>
      <c r="CA105" s="104"/>
      <c r="CB105" s="104"/>
      <c r="CC105" s="104"/>
      <c r="CD105" s="104"/>
      <c r="CE105" s="104"/>
      <c r="CF105" s="104"/>
      <c r="CG105" s="104"/>
      <c r="CH105" s="104"/>
      <c r="CI105" s="104"/>
      <c r="CJ105" s="104"/>
      <c r="CK105" s="104"/>
      <c r="CL105" s="104"/>
      <c r="CM105" s="104"/>
      <c r="CN105" s="98"/>
      <c r="CP105" s="101"/>
      <c r="CQ105" s="101"/>
      <c r="CR105" s="101"/>
      <c r="CS105" s="101"/>
      <c r="CT105" s="101"/>
      <c r="FJ105" s="103"/>
      <c r="FL105" s="103"/>
      <c r="FN105" s="103"/>
      <c r="FP105" s="103"/>
    </row>
    <row r="106" spans="2:172" x14ac:dyDescent="0.35">
      <c r="B106" s="97"/>
      <c r="G106" s="100"/>
      <c r="K106" s="98"/>
      <c r="L106" s="101"/>
      <c r="M106" s="101"/>
      <c r="N106" s="101"/>
      <c r="O106" s="101"/>
      <c r="P106" s="102"/>
      <c r="Q106" s="101"/>
      <c r="R106" s="98"/>
      <c r="S106" s="98"/>
      <c r="T106" s="98"/>
      <c r="U106" s="98"/>
      <c r="V106" s="98"/>
      <c r="W106" s="98"/>
      <c r="X106" s="103"/>
      <c r="Y106" s="103"/>
      <c r="Z106" s="103"/>
      <c r="AA106" s="103"/>
      <c r="AB106" s="103"/>
      <c r="AC106" s="103"/>
      <c r="AD106" s="103"/>
      <c r="AE106" s="101"/>
      <c r="AF106" s="101"/>
      <c r="AG106" s="101"/>
      <c r="AH106" s="101"/>
      <c r="AI106" s="101"/>
      <c r="AJ106" s="101"/>
      <c r="AK106" s="101"/>
      <c r="AL106" s="103"/>
      <c r="AM106" s="103"/>
      <c r="AN106" s="103"/>
      <c r="AO106" s="103"/>
      <c r="AP106" s="103"/>
      <c r="AQ106" s="103"/>
      <c r="AR106" s="103"/>
      <c r="AS106" s="101"/>
      <c r="AT106" s="101"/>
      <c r="AU106" s="101"/>
      <c r="AV106" s="101"/>
      <c r="AW106" s="101"/>
      <c r="AX106" s="101"/>
      <c r="AY106" s="101"/>
      <c r="AZ106" s="103"/>
      <c r="BA106" s="103"/>
      <c r="BB106" s="103"/>
      <c r="BC106" s="101"/>
      <c r="BD106" s="101"/>
      <c r="BE106" s="101"/>
      <c r="BF106" s="101"/>
      <c r="BG106" s="101"/>
      <c r="BK106" s="101"/>
      <c r="BL106" s="101"/>
      <c r="BM106" s="101"/>
      <c r="BN106" s="101"/>
      <c r="BO106" s="101"/>
      <c r="BP106" s="101"/>
      <c r="BQ106" s="101"/>
      <c r="BR106" s="104"/>
      <c r="BS106" s="104"/>
      <c r="BT106" s="104"/>
      <c r="BU106" s="104"/>
      <c r="BV106" s="104"/>
      <c r="BW106" s="104"/>
      <c r="BX106" s="104"/>
      <c r="BY106" s="104"/>
      <c r="BZ106" s="104"/>
      <c r="CA106" s="104"/>
      <c r="CB106" s="104"/>
      <c r="CC106" s="104"/>
      <c r="CD106" s="104"/>
      <c r="CE106" s="104"/>
      <c r="CF106" s="104"/>
      <c r="CG106" s="104"/>
      <c r="CH106" s="104"/>
      <c r="CI106" s="104"/>
      <c r="CJ106" s="104"/>
      <c r="CK106" s="104"/>
      <c r="CL106" s="104"/>
      <c r="CM106" s="104"/>
      <c r="CN106" s="98"/>
      <c r="CP106" s="101"/>
      <c r="CQ106" s="101"/>
      <c r="CR106" s="101"/>
      <c r="CS106" s="101"/>
      <c r="CT106" s="101"/>
      <c r="FJ106" s="103"/>
      <c r="FL106" s="103"/>
      <c r="FN106" s="103"/>
      <c r="FP106" s="103"/>
    </row>
    <row r="107" spans="2:172" x14ac:dyDescent="0.35">
      <c r="B107" s="97"/>
      <c r="G107" s="100"/>
      <c r="K107" s="98"/>
      <c r="L107" s="101"/>
      <c r="M107" s="101"/>
      <c r="N107" s="101"/>
      <c r="O107" s="101"/>
      <c r="P107" s="102"/>
      <c r="Q107" s="101"/>
      <c r="R107" s="98"/>
      <c r="S107" s="98"/>
      <c r="T107" s="98"/>
      <c r="U107" s="98"/>
      <c r="V107" s="98"/>
      <c r="W107" s="98"/>
      <c r="X107" s="103"/>
      <c r="Y107" s="103"/>
      <c r="Z107" s="103"/>
      <c r="AA107" s="103"/>
      <c r="AB107" s="103"/>
      <c r="AC107" s="103"/>
      <c r="AD107" s="103"/>
      <c r="AE107" s="101"/>
      <c r="AF107" s="101"/>
      <c r="AG107" s="101"/>
      <c r="AH107" s="101"/>
      <c r="AI107" s="101"/>
      <c r="AJ107" s="101"/>
      <c r="AK107" s="101"/>
      <c r="AL107" s="103"/>
      <c r="AM107" s="103"/>
      <c r="AN107" s="103"/>
      <c r="AO107" s="103"/>
      <c r="AP107" s="103"/>
      <c r="AQ107" s="103"/>
      <c r="AR107" s="103"/>
      <c r="AS107" s="101"/>
      <c r="AT107" s="101"/>
      <c r="AU107" s="101"/>
      <c r="AV107" s="101"/>
      <c r="AW107" s="101"/>
      <c r="AX107" s="101"/>
      <c r="AY107" s="101"/>
      <c r="AZ107" s="103"/>
      <c r="BA107" s="103"/>
      <c r="BB107" s="103"/>
      <c r="BC107" s="101"/>
      <c r="BD107" s="101"/>
      <c r="BE107" s="101"/>
      <c r="BF107" s="101"/>
      <c r="BG107" s="101"/>
      <c r="BK107" s="101"/>
      <c r="BL107" s="101"/>
      <c r="BM107" s="101"/>
      <c r="BN107" s="101"/>
      <c r="BO107" s="101"/>
      <c r="BP107" s="101"/>
      <c r="BQ107" s="101"/>
      <c r="BR107" s="104"/>
      <c r="BS107" s="104"/>
      <c r="BT107" s="104"/>
      <c r="BU107" s="104"/>
      <c r="BV107" s="104"/>
      <c r="BW107" s="104"/>
      <c r="BX107" s="104"/>
      <c r="BY107" s="104"/>
      <c r="BZ107" s="104"/>
      <c r="CA107" s="104"/>
      <c r="CB107" s="104"/>
      <c r="CC107" s="104"/>
      <c r="CD107" s="104"/>
      <c r="CE107" s="104"/>
      <c r="CF107" s="104"/>
      <c r="CG107" s="104"/>
      <c r="CH107" s="104"/>
      <c r="CI107" s="104"/>
      <c r="CJ107" s="104"/>
      <c r="CK107" s="104"/>
      <c r="CL107" s="104"/>
      <c r="CM107" s="104"/>
      <c r="CN107" s="98"/>
      <c r="CP107" s="101"/>
      <c r="CQ107" s="101"/>
      <c r="CR107" s="101"/>
      <c r="CS107" s="101"/>
      <c r="CT107" s="101"/>
      <c r="FJ107" s="103"/>
      <c r="FL107" s="103"/>
      <c r="FN107" s="103"/>
      <c r="FP107" s="103"/>
    </row>
    <row r="108" spans="2:172" x14ac:dyDescent="0.35">
      <c r="B108" s="97"/>
      <c r="G108" s="100"/>
      <c r="K108" s="98"/>
      <c r="L108" s="101"/>
      <c r="M108" s="101"/>
      <c r="N108" s="101"/>
      <c r="O108" s="101"/>
      <c r="P108" s="102"/>
      <c r="Q108" s="101"/>
      <c r="R108" s="98"/>
      <c r="S108" s="98"/>
      <c r="T108" s="98"/>
      <c r="U108" s="98"/>
      <c r="V108" s="98"/>
      <c r="W108" s="98"/>
      <c r="X108" s="103"/>
      <c r="Y108" s="103"/>
      <c r="Z108" s="103"/>
      <c r="AA108" s="103"/>
      <c r="AB108" s="103"/>
      <c r="AC108" s="103"/>
      <c r="AD108" s="103"/>
      <c r="AE108" s="101"/>
      <c r="AF108" s="101"/>
      <c r="AG108" s="101"/>
      <c r="AH108" s="101"/>
      <c r="AI108" s="101"/>
      <c r="AJ108" s="101"/>
      <c r="AK108" s="101"/>
      <c r="AL108" s="103"/>
      <c r="AM108" s="103"/>
      <c r="AN108" s="103"/>
      <c r="AO108" s="103"/>
      <c r="AP108" s="103"/>
      <c r="AQ108" s="103"/>
      <c r="AR108" s="103"/>
      <c r="AS108" s="101"/>
      <c r="AT108" s="101"/>
      <c r="AU108" s="101"/>
      <c r="AV108" s="101"/>
      <c r="AW108" s="101"/>
      <c r="AX108" s="101"/>
      <c r="AY108" s="101"/>
      <c r="AZ108" s="103"/>
      <c r="BA108" s="103"/>
      <c r="BB108" s="103"/>
      <c r="BC108" s="101"/>
      <c r="BD108" s="101"/>
      <c r="BE108" s="101"/>
      <c r="BF108" s="101"/>
      <c r="BG108" s="101"/>
      <c r="BK108" s="101"/>
      <c r="BL108" s="101"/>
      <c r="BM108" s="101"/>
      <c r="BN108" s="101"/>
      <c r="BO108" s="101"/>
      <c r="BP108" s="101"/>
      <c r="BQ108" s="101"/>
      <c r="BR108" s="104"/>
      <c r="BS108" s="104"/>
      <c r="BT108" s="104"/>
      <c r="BU108" s="104"/>
      <c r="BV108" s="104"/>
      <c r="BW108" s="104"/>
      <c r="BX108" s="104"/>
      <c r="BY108" s="104"/>
      <c r="BZ108" s="104"/>
      <c r="CA108" s="104"/>
      <c r="CB108" s="104"/>
      <c r="CC108" s="104"/>
      <c r="CD108" s="104"/>
      <c r="CE108" s="104"/>
      <c r="CF108" s="104"/>
      <c r="CG108" s="104"/>
      <c r="CH108" s="104"/>
      <c r="CI108" s="104"/>
      <c r="CJ108" s="104"/>
      <c r="CK108" s="104"/>
      <c r="CL108" s="104"/>
      <c r="CM108" s="104"/>
      <c r="CN108" s="98"/>
      <c r="CP108" s="101"/>
      <c r="CQ108" s="101"/>
      <c r="CR108" s="101"/>
      <c r="CS108" s="101"/>
      <c r="CT108" s="101"/>
      <c r="FJ108" s="103"/>
      <c r="FL108" s="103"/>
      <c r="FN108" s="103"/>
      <c r="FP108" s="103"/>
    </row>
    <row r="109" spans="2:172" x14ac:dyDescent="0.35">
      <c r="B109" s="97"/>
      <c r="G109" s="100"/>
      <c r="K109" s="98"/>
      <c r="L109" s="101"/>
      <c r="M109" s="101"/>
      <c r="N109" s="101"/>
      <c r="O109" s="101"/>
      <c r="P109" s="102"/>
      <c r="Q109" s="101"/>
      <c r="R109" s="98"/>
      <c r="S109" s="98"/>
      <c r="T109" s="98"/>
      <c r="U109" s="98"/>
      <c r="V109" s="98"/>
      <c r="W109" s="98"/>
      <c r="X109" s="103"/>
      <c r="Y109" s="103"/>
      <c r="Z109" s="103"/>
      <c r="AA109" s="103"/>
      <c r="AB109" s="103"/>
      <c r="AC109" s="103"/>
      <c r="AD109" s="103"/>
      <c r="AE109" s="101"/>
      <c r="AF109" s="101"/>
      <c r="AG109" s="101"/>
      <c r="AH109" s="101"/>
      <c r="AI109" s="101"/>
      <c r="AJ109" s="101"/>
      <c r="AK109" s="101"/>
      <c r="AL109" s="103"/>
      <c r="AM109" s="103"/>
      <c r="AN109" s="103"/>
      <c r="AO109" s="103"/>
      <c r="AP109" s="103"/>
      <c r="AQ109" s="103"/>
      <c r="AR109" s="103"/>
      <c r="AS109" s="101"/>
      <c r="AT109" s="101"/>
      <c r="AU109" s="101"/>
      <c r="AV109" s="101"/>
      <c r="AW109" s="101"/>
      <c r="AX109" s="101"/>
      <c r="AY109" s="101"/>
      <c r="AZ109" s="103"/>
      <c r="BA109" s="103"/>
      <c r="BB109" s="103"/>
      <c r="BC109" s="101"/>
      <c r="BD109" s="101"/>
      <c r="BE109" s="101"/>
      <c r="BF109" s="101"/>
      <c r="BG109" s="101"/>
      <c r="BK109" s="101"/>
      <c r="BL109" s="101"/>
      <c r="BM109" s="101"/>
      <c r="BN109" s="101"/>
      <c r="BO109" s="101"/>
      <c r="BP109" s="101"/>
      <c r="BQ109" s="101"/>
      <c r="BR109" s="104"/>
      <c r="BS109" s="104"/>
      <c r="BT109" s="104"/>
      <c r="BU109" s="104"/>
      <c r="BV109" s="104"/>
      <c r="BW109" s="104"/>
      <c r="BX109" s="104"/>
      <c r="BY109" s="104"/>
      <c r="BZ109" s="104"/>
      <c r="CA109" s="104"/>
      <c r="CB109" s="104"/>
      <c r="CC109" s="104"/>
      <c r="CD109" s="104"/>
      <c r="CE109" s="104"/>
      <c r="CF109" s="104"/>
      <c r="CG109" s="104"/>
      <c r="CH109" s="104"/>
      <c r="CI109" s="104"/>
      <c r="CJ109" s="104"/>
      <c r="CK109" s="104"/>
      <c r="CL109" s="104"/>
      <c r="CM109" s="104"/>
      <c r="CN109" s="98"/>
      <c r="CP109" s="101"/>
      <c r="CQ109" s="101"/>
      <c r="CR109" s="101"/>
      <c r="CS109" s="101"/>
      <c r="CT109" s="101"/>
      <c r="FJ109" s="103"/>
      <c r="FL109" s="103"/>
      <c r="FN109" s="103"/>
      <c r="FP109" s="103"/>
    </row>
    <row r="110" spans="2:172" x14ac:dyDescent="0.35">
      <c r="B110" s="97"/>
      <c r="G110" s="100"/>
      <c r="K110" s="98"/>
      <c r="L110" s="101"/>
      <c r="M110" s="101"/>
      <c r="N110" s="101"/>
      <c r="O110" s="101"/>
      <c r="P110" s="102"/>
      <c r="Q110" s="101"/>
      <c r="R110" s="98"/>
      <c r="S110" s="98"/>
      <c r="T110" s="98"/>
      <c r="U110" s="98"/>
      <c r="V110" s="98"/>
      <c r="W110" s="98"/>
      <c r="X110" s="103"/>
      <c r="Y110" s="103"/>
      <c r="Z110" s="103"/>
      <c r="AA110" s="103"/>
      <c r="AB110" s="103"/>
      <c r="AC110" s="103"/>
      <c r="AD110" s="103"/>
      <c r="AE110" s="101"/>
      <c r="AF110" s="101"/>
      <c r="AG110" s="101"/>
      <c r="AH110" s="101"/>
      <c r="AI110" s="101"/>
      <c r="AJ110" s="101"/>
      <c r="AK110" s="101"/>
      <c r="AL110" s="103"/>
      <c r="AM110" s="103"/>
      <c r="AN110" s="103"/>
      <c r="AO110" s="103"/>
      <c r="AP110" s="103"/>
      <c r="AQ110" s="103"/>
      <c r="AR110" s="103"/>
      <c r="AS110" s="101"/>
      <c r="AT110" s="101"/>
      <c r="AU110" s="101"/>
      <c r="AV110" s="101"/>
      <c r="AW110" s="101"/>
      <c r="AX110" s="101"/>
      <c r="AY110" s="101"/>
      <c r="AZ110" s="103"/>
      <c r="BA110" s="103"/>
      <c r="BB110" s="103"/>
      <c r="BC110" s="101"/>
      <c r="BD110" s="101"/>
      <c r="BE110" s="101"/>
      <c r="BF110" s="101"/>
      <c r="BG110" s="101"/>
      <c r="BK110" s="101"/>
      <c r="BL110" s="101"/>
      <c r="BM110" s="101"/>
      <c r="BN110" s="101"/>
      <c r="BO110" s="101"/>
      <c r="BP110" s="101"/>
      <c r="BQ110" s="101"/>
      <c r="BR110" s="104"/>
      <c r="BS110" s="104"/>
      <c r="BT110" s="104"/>
      <c r="BU110" s="104"/>
      <c r="BV110" s="104"/>
      <c r="BW110" s="104"/>
      <c r="BX110" s="104"/>
      <c r="BY110" s="104"/>
      <c r="BZ110" s="104"/>
      <c r="CA110" s="104"/>
      <c r="CB110" s="104"/>
      <c r="CC110" s="104"/>
      <c r="CD110" s="104"/>
      <c r="CE110" s="104"/>
      <c r="CF110" s="104"/>
      <c r="CG110" s="104"/>
      <c r="CH110" s="104"/>
      <c r="CI110" s="104"/>
      <c r="CJ110" s="104"/>
      <c r="CK110" s="104"/>
      <c r="CL110" s="104"/>
      <c r="CM110" s="104"/>
      <c r="CN110" s="98"/>
      <c r="CP110" s="101"/>
      <c r="CQ110" s="101"/>
      <c r="CR110" s="101"/>
      <c r="CS110" s="101"/>
      <c r="CT110" s="101"/>
      <c r="FJ110" s="103"/>
      <c r="FL110" s="103"/>
      <c r="FN110" s="103"/>
      <c r="FP110" s="103"/>
    </row>
    <row r="111" spans="2:172" x14ac:dyDescent="0.35">
      <c r="B111" s="97"/>
      <c r="G111" s="100"/>
      <c r="K111" s="98"/>
      <c r="L111" s="101"/>
      <c r="M111" s="101"/>
      <c r="N111" s="101"/>
      <c r="O111" s="101"/>
      <c r="P111" s="102"/>
      <c r="Q111" s="101"/>
      <c r="R111" s="98"/>
      <c r="S111" s="98"/>
      <c r="T111" s="98"/>
      <c r="U111" s="98"/>
      <c r="V111" s="98"/>
      <c r="W111" s="98"/>
      <c r="X111" s="103"/>
      <c r="Y111" s="103"/>
      <c r="Z111" s="103"/>
      <c r="AA111" s="103"/>
      <c r="AB111" s="103"/>
      <c r="AC111" s="103"/>
      <c r="AD111" s="103"/>
      <c r="AE111" s="101"/>
      <c r="AF111" s="101"/>
      <c r="AG111" s="101"/>
      <c r="AH111" s="101"/>
      <c r="AI111" s="101"/>
      <c r="AJ111" s="101"/>
      <c r="AK111" s="101"/>
      <c r="AL111" s="103"/>
      <c r="AM111" s="103"/>
      <c r="AN111" s="103"/>
      <c r="AO111" s="103"/>
      <c r="AP111" s="103"/>
      <c r="AQ111" s="103"/>
      <c r="AR111" s="103"/>
      <c r="AS111" s="101"/>
      <c r="AT111" s="101"/>
      <c r="AU111" s="101"/>
      <c r="AV111" s="101"/>
      <c r="AW111" s="101"/>
      <c r="AX111" s="101"/>
      <c r="AY111" s="101"/>
      <c r="AZ111" s="103"/>
      <c r="BA111" s="103"/>
      <c r="BB111" s="103"/>
      <c r="BC111" s="101"/>
      <c r="BD111" s="101"/>
      <c r="BE111" s="101"/>
      <c r="BF111" s="101"/>
      <c r="BG111" s="101"/>
      <c r="BK111" s="101"/>
      <c r="BL111" s="101"/>
      <c r="BM111" s="101"/>
      <c r="BN111" s="101"/>
      <c r="BO111" s="101"/>
      <c r="BP111" s="101"/>
      <c r="BQ111" s="101"/>
      <c r="BR111" s="104"/>
      <c r="BS111" s="104"/>
      <c r="BT111" s="104"/>
      <c r="BU111" s="104"/>
      <c r="BV111" s="104"/>
      <c r="BW111" s="104"/>
      <c r="BX111" s="104"/>
      <c r="BY111" s="104"/>
      <c r="BZ111" s="104"/>
      <c r="CA111" s="104"/>
      <c r="CB111" s="104"/>
      <c r="CC111" s="104"/>
      <c r="CD111" s="104"/>
      <c r="CE111" s="104"/>
      <c r="CF111" s="104"/>
      <c r="CG111" s="104"/>
      <c r="CH111" s="104"/>
      <c r="CI111" s="104"/>
      <c r="CJ111" s="104"/>
      <c r="CK111" s="104"/>
      <c r="CL111" s="104"/>
      <c r="CM111" s="104"/>
      <c r="CN111" s="98"/>
      <c r="CP111" s="101"/>
      <c r="CQ111" s="101"/>
      <c r="CR111" s="101"/>
      <c r="CS111" s="101"/>
      <c r="CT111" s="101"/>
      <c r="FJ111" s="103"/>
      <c r="FL111" s="103"/>
      <c r="FN111" s="103"/>
      <c r="FP111" s="103"/>
    </row>
    <row r="112" spans="2:172" x14ac:dyDescent="0.35">
      <c r="B112" s="97"/>
      <c r="G112" s="100"/>
      <c r="K112" s="98"/>
      <c r="L112" s="101"/>
      <c r="M112" s="101"/>
      <c r="N112" s="101"/>
      <c r="O112" s="101"/>
      <c r="P112" s="102"/>
      <c r="Q112" s="101"/>
      <c r="R112" s="98"/>
      <c r="S112" s="98"/>
      <c r="T112" s="98"/>
      <c r="U112" s="98"/>
      <c r="V112" s="98"/>
      <c r="W112" s="98"/>
      <c r="X112" s="103"/>
      <c r="Y112" s="103"/>
      <c r="Z112" s="103"/>
      <c r="AA112" s="103"/>
      <c r="AB112" s="103"/>
      <c r="AC112" s="103"/>
      <c r="AD112" s="103"/>
      <c r="AE112" s="101"/>
      <c r="AF112" s="101"/>
      <c r="AG112" s="101"/>
      <c r="AH112" s="101"/>
      <c r="AI112" s="101"/>
      <c r="AJ112" s="101"/>
      <c r="AK112" s="101"/>
      <c r="AL112" s="103"/>
      <c r="AM112" s="103"/>
      <c r="AN112" s="103"/>
      <c r="AO112" s="103"/>
      <c r="AP112" s="103"/>
      <c r="AQ112" s="103"/>
      <c r="AR112" s="103"/>
      <c r="AS112" s="101"/>
      <c r="AT112" s="101"/>
      <c r="AU112" s="101"/>
      <c r="AV112" s="101"/>
      <c r="AW112" s="101"/>
      <c r="AX112" s="101"/>
      <c r="AY112" s="101"/>
      <c r="AZ112" s="103"/>
      <c r="BA112" s="103"/>
      <c r="BB112" s="103"/>
      <c r="BC112" s="101"/>
      <c r="BD112" s="101"/>
      <c r="BE112" s="101"/>
      <c r="BF112" s="101"/>
      <c r="BG112" s="101"/>
      <c r="BK112" s="101"/>
      <c r="BL112" s="101"/>
      <c r="BM112" s="101"/>
      <c r="BN112" s="101"/>
      <c r="BO112" s="101"/>
      <c r="BP112" s="101"/>
      <c r="BQ112" s="101"/>
      <c r="BR112" s="104"/>
      <c r="BS112" s="104"/>
      <c r="BT112" s="104"/>
      <c r="BU112" s="104"/>
      <c r="BV112" s="104"/>
      <c r="BW112" s="104"/>
      <c r="BX112" s="104"/>
      <c r="BY112" s="104"/>
      <c r="BZ112" s="104"/>
      <c r="CA112" s="104"/>
      <c r="CB112" s="104"/>
      <c r="CC112" s="104"/>
      <c r="CD112" s="104"/>
      <c r="CE112" s="104"/>
      <c r="CF112" s="104"/>
      <c r="CG112" s="104"/>
      <c r="CH112" s="104"/>
      <c r="CI112" s="104"/>
      <c r="CJ112" s="104"/>
      <c r="CK112" s="104"/>
      <c r="CL112" s="104"/>
      <c r="CM112" s="104"/>
      <c r="CN112" s="98"/>
      <c r="CP112" s="101"/>
      <c r="CQ112" s="101"/>
      <c r="CR112" s="101"/>
      <c r="CS112" s="101"/>
      <c r="CT112" s="101"/>
      <c r="FJ112" s="103"/>
      <c r="FL112" s="103"/>
      <c r="FN112" s="103"/>
      <c r="FP112" s="103"/>
    </row>
    <row r="113" spans="2:172" x14ac:dyDescent="0.35">
      <c r="B113" s="97"/>
      <c r="G113" s="100"/>
      <c r="K113" s="98"/>
      <c r="L113" s="101"/>
      <c r="M113" s="101"/>
      <c r="N113" s="101"/>
      <c r="O113" s="101"/>
      <c r="P113" s="102"/>
      <c r="Q113" s="101"/>
      <c r="R113" s="98"/>
      <c r="S113" s="98"/>
      <c r="T113" s="98"/>
      <c r="U113" s="98"/>
      <c r="V113" s="98"/>
      <c r="W113" s="98"/>
      <c r="X113" s="103"/>
      <c r="Y113" s="103"/>
      <c r="Z113" s="103"/>
      <c r="AA113" s="103"/>
      <c r="AB113" s="103"/>
      <c r="AC113" s="103"/>
      <c r="AD113" s="103"/>
      <c r="AE113" s="101"/>
      <c r="AF113" s="101"/>
      <c r="AG113" s="101"/>
      <c r="AH113" s="101"/>
      <c r="AI113" s="101"/>
      <c r="AJ113" s="101"/>
      <c r="AK113" s="101"/>
      <c r="AL113" s="103"/>
      <c r="AM113" s="103"/>
      <c r="AN113" s="103"/>
      <c r="AO113" s="103"/>
      <c r="AP113" s="103"/>
      <c r="AQ113" s="103"/>
      <c r="AR113" s="103"/>
      <c r="AS113" s="101"/>
      <c r="AT113" s="101"/>
      <c r="AU113" s="101"/>
      <c r="AV113" s="101"/>
      <c r="AW113" s="101"/>
      <c r="AX113" s="101"/>
      <c r="AY113" s="101"/>
      <c r="AZ113" s="103"/>
      <c r="BA113" s="103"/>
      <c r="BB113" s="103"/>
      <c r="BC113" s="101"/>
      <c r="BD113" s="101"/>
      <c r="BE113" s="101"/>
      <c r="BF113" s="101"/>
      <c r="BG113" s="101"/>
      <c r="BK113" s="101"/>
      <c r="BL113" s="101"/>
      <c r="BM113" s="101"/>
      <c r="BN113" s="101"/>
      <c r="BO113" s="101"/>
      <c r="BP113" s="101"/>
      <c r="BQ113" s="101"/>
      <c r="BR113" s="104"/>
      <c r="BS113" s="104"/>
      <c r="BT113" s="104"/>
      <c r="BU113" s="104"/>
      <c r="BV113" s="104"/>
      <c r="BW113" s="104"/>
      <c r="BX113" s="104"/>
      <c r="BY113" s="104"/>
      <c r="BZ113" s="104"/>
      <c r="CA113" s="104"/>
      <c r="CB113" s="104"/>
      <c r="CC113" s="104"/>
      <c r="CD113" s="104"/>
      <c r="CE113" s="104"/>
      <c r="CF113" s="104"/>
      <c r="CG113" s="104"/>
      <c r="CH113" s="104"/>
      <c r="CI113" s="104"/>
      <c r="CJ113" s="104"/>
      <c r="CK113" s="104"/>
      <c r="CL113" s="104"/>
      <c r="CM113" s="104"/>
      <c r="CN113" s="98"/>
      <c r="CP113" s="101"/>
      <c r="CQ113" s="101"/>
      <c r="CR113" s="101"/>
      <c r="CS113" s="101"/>
      <c r="CT113" s="101"/>
      <c r="FJ113" s="103"/>
      <c r="FL113" s="103"/>
      <c r="FN113" s="103"/>
      <c r="FP113" s="103"/>
    </row>
    <row r="114" spans="2:172" x14ac:dyDescent="0.35">
      <c r="B114" s="97"/>
      <c r="G114" s="100"/>
      <c r="K114" s="98"/>
      <c r="L114" s="101"/>
      <c r="M114" s="101"/>
      <c r="N114" s="101"/>
      <c r="O114" s="101"/>
      <c r="P114" s="102"/>
      <c r="Q114" s="101"/>
      <c r="R114" s="98"/>
      <c r="S114" s="98"/>
      <c r="T114" s="98"/>
      <c r="U114" s="98"/>
      <c r="V114" s="98"/>
      <c r="W114" s="98"/>
      <c r="X114" s="103"/>
      <c r="Y114" s="103"/>
      <c r="Z114" s="103"/>
      <c r="AA114" s="103"/>
      <c r="AB114" s="103"/>
      <c r="AC114" s="103"/>
      <c r="AD114" s="103"/>
      <c r="AE114" s="101"/>
      <c r="AF114" s="101"/>
      <c r="AG114" s="101"/>
      <c r="AH114" s="101"/>
      <c r="AI114" s="101"/>
      <c r="AJ114" s="101"/>
      <c r="AK114" s="101"/>
      <c r="AL114" s="103"/>
      <c r="AM114" s="103"/>
      <c r="AN114" s="103"/>
      <c r="AO114" s="103"/>
      <c r="AP114" s="103"/>
      <c r="AQ114" s="103"/>
      <c r="AR114" s="103"/>
      <c r="AS114" s="101"/>
      <c r="AT114" s="101"/>
      <c r="AU114" s="101"/>
      <c r="AV114" s="101"/>
      <c r="AW114" s="101"/>
      <c r="AX114" s="101"/>
      <c r="AY114" s="101"/>
      <c r="AZ114" s="103"/>
      <c r="BA114" s="103"/>
      <c r="BB114" s="103"/>
      <c r="BC114" s="101"/>
      <c r="BD114" s="101"/>
      <c r="BE114" s="101"/>
      <c r="BF114" s="101"/>
      <c r="BG114" s="101"/>
      <c r="BK114" s="101"/>
      <c r="BL114" s="101"/>
      <c r="BM114" s="101"/>
      <c r="BN114" s="101"/>
      <c r="BO114" s="101"/>
      <c r="BP114" s="101"/>
      <c r="BQ114" s="101"/>
      <c r="BR114" s="104"/>
      <c r="BS114" s="104"/>
      <c r="BT114" s="104"/>
      <c r="BU114" s="104"/>
      <c r="BV114" s="104"/>
      <c r="BW114" s="104"/>
      <c r="BX114" s="104"/>
      <c r="BY114" s="104"/>
      <c r="BZ114" s="104"/>
      <c r="CA114" s="104"/>
      <c r="CB114" s="104"/>
      <c r="CC114" s="104"/>
      <c r="CD114" s="104"/>
      <c r="CE114" s="104"/>
      <c r="CF114" s="104"/>
      <c r="CG114" s="104"/>
      <c r="CH114" s="104"/>
      <c r="CI114" s="104"/>
      <c r="CJ114" s="104"/>
      <c r="CK114" s="104"/>
      <c r="CL114" s="104"/>
      <c r="CM114" s="104"/>
      <c r="CN114" s="98"/>
      <c r="CP114" s="101"/>
      <c r="CQ114" s="101"/>
      <c r="CR114" s="101"/>
      <c r="CS114" s="101"/>
      <c r="CT114" s="101"/>
      <c r="FJ114" s="103"/>
      <c r="FL114" s="103"/>
      <c r="FN114" s="103"/>
      <c r="FP114" s="103"/>
    </row>
    <row r="115" spans="2:172" x14ac:dyDescent="0.35">
      <c r="B115" s="97"/>
      <c r="G115" s="100"/>
      <c r="K115" s="98"/>
      <c r="L115" s="101"/>
      <c r="M115" s="101"/>
      <c r="N115" s="101"/>
      <c r="O115" s="101"/>
      <c r="P115" s="102"/>
      <c r="Q115" s="101"/>
      <c r="R115" s="98"/>
      <c r="S115" s="98"/>
      <c r="T115" s="98"/>
      <c r="U115" s="98"/>
      <c r="V115" s="98"/>
      <c r="W115" s="98"/>
      <c r="X115" s="103"/>
      <c r="Y115" s="103"/>
      <c r="Z115" s="103"/>
      <c r="AA115" s="103"/>
      <c r="AB115" s="103"/>
      <c r="AC115" s="103"/>
      <c r="AD115" s="103"/>
      <c r="AE115" s="101"/>
      <c r="AF115" s="101"/>
      <c r="AG115" s="101"/>
      <c r="AH115" s="101"/>
      <c r="AI115" s="101"/>
      <c r="AJ115" s="101"/>
      <c r="AK115" s="101"/>
      <c r="AL115" s="103"/>
      <c r="AM115" s="103"/>
      <c r="AN115" s="103"/>
      <c r="AO115" s="103"/>
      <c r="AP115" s="103"/>
      <c r="AQ115" s="103"/>
      <c r="AR115" s="103"/>
      <c r="AS115" s="101"/>
      <c r="AT115" s="101"/>
      <c r="AU115" s="101"/>
      <c r="AV115" s="101"/>
      <c r="AW115" s="101"/>
      <c r="AX115" s="101"/>
      <c r="AY115" s="101"/>
      <c r="AZ115" s="103"/>
      <c r="BA115" s="103"/>
      <c r="BB115" s="103"/>
      <c r="BC115" s="101"/>
      <c r="BD115" s="101"/>
      <c r="BE115" s="101"/>
      <c r="BF115" s="101"/>
      <c r="BG115" s="101"/>
      <c r="BK115" s="101"/>
      <c r="BL115" s="101"/>
      <c r="BM115" s="101"/>
      <c r="BN115" s="101"/>
      <c r="BO115" s="101"/>
      <c r="BP115" s="101"/>
      <c r="BQ115" s="101"/>
      <c r="BR115" s="104"/>
      <c r="BS115" s="104"/>
      <c r="BT115" s="104"/>
      <c r="BU115" s="104"/>
      <c r="BV115" s="104"/>
      <c r="BW115" s="104"/>
      <c r="BX115" s="104"/>
      <c r="BY115" s="104"/>
      <c r="BZ115" s="104"/>
      <c r="CA115" s="104"/>
      <c r="CB115" s="104"/>
      <c r="CC115" s="104"/>
      <c r="CD115" s="104"/>
      <c r="CE115" s="104"/>
      <c r="CF115" s="104"/>
      <c r="CG115" s="104"/>
      <c r="CH115" s="104"/>
      <c r="CI115" s="104"/>
      <c r="CJ115" s="104"/>
      <c r="CK115" s="104"/>
      <c r="CL115" s="104"/>
      <c r="CM115" s="104"/>
      <c r="CN115" s="98"/>
      <c r="CP115" s="101"/>
      <c r="CQ115" s="101"/>
      <c r="CR115" s="101"/>
      <c r="CS115" s="101"/>
      <c r="CT115" s="101"/>
      <c r="FJ115" s="103"/>
      <c r="FL115" s="103"/>
      <c r="FN115" s="103"/>
      <c r="FP115" s="103"/>
    </row>
    <row r="116" spans="2:172" x14ac:dyDescent="0.35">
      <c r="B116" s="97"/>
      <c r="G116" s="100"/>
      <c r="K116" s="98"/>
      <c r="L116" s="101"/>
      <c r="M116" s="101"/>
      <c r="N116" s="101"/>
      <c r="O116" s="101"/>
      <c r="P116" s="102"/>
      <c r="Q116" s="101"/>
      <c r="R116" s="98"/>
      <c r="S116" s="98"/>
      <c r="T116" s="98"/>
      <c r="U116" s="98"/>
      <c r="V116" s="98"/>
      <c r="W116" s="98"/>
      <c r="X116" s="103"/>
      <c r="Y116" s="103"/>
      <c r="Z116" s="103"/>
      <c r="AA116" s="103"/>
      <c r="AB116" s="103"/>
      <c r="AC116" s="103"/>
      <c r="AD116" s="103"/>
      <c r="AE116" s="101"/>
      <c r="AF116" s="101"/>
      <c r="AG116" s="101"/>
      <c r="AH116" s="101"/>
      <c r="AI116" s="101"/>
      <c r="AJ116" s="101"/>
      <c r="AK116" s="101"/>
      <c r="AL116" s="103"/>
      <c r="AM116" s="103"/>
      <c r="AN116" s="103"/>
      <c r="AO116" s="103"/>
      <c r="AP116" s="103"/>
      <c r="AQ116" s="103"/>
      <c r="AR116" s="103"/>
      <c r="AS116" s="101"/>
      <c r="AT116" s="101"/>
      <c r="AU116" s="101"/>
      <c r="AV116" s="101"/>
      <c r="AW116" s="101"/>
      <c r="AX116" s="101"/>
      <c r="AY116" s="101"/>
      <c r="AZ116" s="103"/>
      <c r="BA116" s="103"/>
      <c r="BB116" s="103"/>
      <c r="BC116" s="101"/>
      <c r="BD116" s="101"/>
      <c r="BE116" s="101"/>
      <c r="BF116" s="101"/>
      <c r="BG116" s="101"/>
      <c r="BK116" s="101"/>
      <c r="BL116" s="101"/>
      <c r="BM116" s="101"/>
      <c r="BN116" s="101"/>
      <c r="BO116" s="101"/>
      <c r="BP116" s="101"/>
      <c r="BQ116" s="101"/>
      <c r="BR116" s="104"/>
      <c r="BS116" s="104"/>
      <c r="BT116" s="104"/>
      <c r="BU116" s="104"/>
      <c r="BV116" s="104"/>
      <c r="BW116" s="104"/>
      <c r="BX116" s="104"/>
      <c r="BY116" s="104"/>
      <c r="BZ116" s="104"/>
      <c r="CA116" s="104"/>
      <c r="CB116" s="104"/>
      <c r="CC116" s="104"/>
      <c r="CD116" s="104"/>
      <c r="CE116" s="104"/>
      <c r="CF116" s="104"/>
      <c r="CG116" s="104"/>
      <c r="CH116" s="104"/>
      <c r="CI116" s="104"/>
      <c r="CJ116" s="104"/>
      <c r="CK116" s="104"/>
      <c r="CL116" s="104"/>
      <c r="CM116" s="104"/>
      <c r="CN116" s="98"/>
      <c r="CP116" s="101"/>
      <c r="CQ116" s="101"/>
      <c r="CR116" s="101"/>
      <c r="CS116" s="101"/>
      <c r="CT116" s="101"/>
      <c r="FJ116" s="103"/>
      <c r="FL116" s="103"/>
      <c r="FN116" s="103"/>
      <c r="FP116" s="103"/>
    </row>
    <row r="117" spans="2:172" x14ac:dyDescent="0.35">
      <c r="B117" s="97"/>
      <c r="G117" s="100"/>
      <c r="K117" s="98"/>
      <c r="L117" s="101"/>
      <c r="M117" s="101"/>
      <c r="N117" s="101"/>
      <c r="O117" s="101"/>
      <c r="P117" s="102"/>
      <c r="Q117" s="101"/>
      <c r="R117" s="98"/>
      <c r="S117" s="98"/>
      <c r="T117" s="98"/>
      <c r="U117" s="98"/>
      <c r="V117" s="98"/>
      <c r="W117" s="98"/>
      <c r="X117" s="103"/>
      <c r="Y117" s="103"/>
      <c r="Z117" s="103"/>
      <c r="AA117" s="103"/>
      <c r="AB117" s="103"/>
      <c r="AC117" s="103"/>
      <c r="AD117" s="103"/>
      <c r="AE117" s="101"/>
      <c r="AF117" s="101"/>
      <c r="AG117" s="101"/>
      <c r="AH117" s="101"/>
      <c r="AI117" s="101"/>
      <c r="AJ117" s="101"/>
      <c r="AK117" s="101"/>
      <c r="AL117" s="103"/>
      <c r="AM117" s="103"/>
      <c r="AN117" s="103"/>
      <c r="AO117" s="103"/>
      <c r="AP117" s="103"/>
      <c r="AQ117" s="103"/>
      <c r="AR117" s="103"/>
      <c r="AS117" s="101"/>
      <c r="AT117" s="101"/>
      <c r="AU117" s="101"/>
      <c r="AV117" s="101"/>
      <c r="AW117" s="101"/>
      <c r="AX117" s="101"/>
      <c r="AY117" s="101"/>
      <c r="AZ117" s="103"/>
      <c r="BA117" s="103"/>
      <c r="BB117" s="103"/>
      <c r="BC117" s="101"/>
      <c r="BD117" s="101"/>
      <c r="BE117" s="101"/>
      <c r="BF117" s="101"/>
      <c r="BG117" s="101"/>
      <c r="BK117" s="101"/>
      <c r="BL117" s="101"/>
      <c r="BM117" s="101"/>
      <c r="BN117" s="101"/>
      <c r="BO117" s="101"/>
      <c r="BP117" s="101"/>
      <c r="BQ117" s="101"/>
      <c r="BR117" s="104"/>
      <c r="BS117" s="104"/>
      <c r="BT117" s="104"/>
      <c r="BU117" s="104"/>
      <c r="BV117" s="104"/>
      <c r="BW117" s="104"/>
      <c r="BX117" s="104"/>
      <c r="BY117" s="104"/>
      <c r="BZ117" s="104"/>
      <c r="CA117" s="104"/>
      <c r="CB117" s="104"/>
      <c r="CC117" s="104"/>
      <c r="CD117" s="104"/>
      <c r="CE117" s="104"/>
      <c r="CF117" s="104"/>
      <c r="CG117" s="104"/>
      <c r="CH117" s="104"/>
      <c r="CI117" s="104"/>
      <c r="CJ117" s="104"/>
      <c r="CK117" s="104"/>
      <c r="CL117" s="104"/>
      <c r="CM117" s="104"/>
      <c r="CN117" s="98"/>
      <c r="CP117" s="101"/>
      <c r="CQ117" s="101"/>
      <c r="CR117" s="101"/>
      <c r="CS117" s="101"/>
      <c r="CT117" s="101"/>
      <c r="FJ117" s="103"/>
      <c r="FL117" s="103"/>
      <c r="FN117" s="103"/>
      <c r="FP117" s="103"/>
    </row>
    <row r="118" spans="2:172" x14ac:dyDescent="0.35">
      <c r="B118" s="97"/>
      <c r="G118" s="100"/>
      <c r="K118" s="98"/>
      <c r="L118" s="101"/>
      <c r="M118" s="101"/>
      <c r="N118" s="101"/>
      <c r="O118" s="101"/>
      <c r="P118" s="102"/>
      <c r="Q118" s="101"/>
      <c r="R118" s="98"/>
      <c r="S118" s="98"/>
      <c r="T118" s="98"/>
      <c r="U118" s="98"/>
      <c r="V118" s="98"/>
      <c r="W118" s="98"/>
      <c r="X118" s="103"/>
      <c r="Y118" s="103"/>
      <c r="Z118" s="103"/>
      <c r="AA118" s="103"/>
      <c r="AB118" s="103"/>
      <c r="AC118" s="103"/>
      <c r="AD118" s="103"/>
      <c r="AE118" s="101"/>
      <c r="AF118" s="101"/>
      <c r="AG118" s="101"/>
      <c r="AH118" s="101"/>
      <c r="AI118" s="101"/>
      <c r="AJ118" s="101"/>
      <c r="AK118" s="101"/>
      <c r="AL118" s="103"/>
      <c r="AM118" s="103"/>
      <c r="AN118" s="103"/>
      <c r="AO118" s="103"/>
      <c r="AP118" s="103"/>
      <c r="AQ118" s="103"/>
      <c r="AR118" s="103"/>
      <c r="AS118" s="101"/>
      <c r="AT118" s="101"/>
      <c r="AU118" s="101"/>
      <c r="AV118" s="101"/>
      <c r="AW118" s="101"/>
      <c r="AX118" s="101"/>
      <c r="AY118" s="101"/>
      <c r="AZ118" s="103"/>
      <c r="BA118" s="103"/>
      <c r="BB118" s="103"/>
      <c r="BC118" s="101"/>
      <c r="BD118" s="101"/>
      <c r="BE118" s="101"/>
      <c r="BF118" s="101"/>
      <c r="BG118" s="101"/>
      <c r="BK118" s="101"/>
      <c r="BL118" s="101"/>
      <c r="BM118" s="101"/>
      <c r="BN118" s="101"/>
      <c r="BO118" s="101"/>
      <c r="BP118" s="101"/>
      <c r="BQ118" s="101"/>
      <c r="BR118" s="104"/>
      <c r="BS118" s="104"/>
      <c r="BT118" s="104"/>
      <c r="BU118" s="104"/>
      <c r="BV118" s="104"/>
      <c r="BW118" s="104"/>
      <c r="BX118" s="104"/>
      <c r="BY118" s="104"/>
      <c r="BZ118" s="104"/>
      <c r="CA118" s="104"/>
      <c r="CB118" s="104"/>
      <c r="CC118" s="104"/>
      <c r="CD118" s="104"/>
      <c r="CE118" s="104"/>
      <c r="CF118" s="104"/>
      <c r="CG118" s="104"/>
      <c r="CH118" s="104"/>
      <c r="CI118" s="104"/>
      <c r="CJ118" s="104"/>
      <c r="CK118" s="104"/>
      <c r="CL118" s="104"/>
      <c r="CM118" s="104"/>
      <c r="CN118" s="98"/>
      <c r="CP118" s="101"/>
      <c r="CQ118" s="101"/>
      <c r="CR118" s="101"/>
      <c r="CS118" s="101"/>
      <c r="CT118" s="101"/>
      <c r="FJ118" s="103"/>
      <c r="FL118" s="103"/>
      <c r="FN118" s="103"/>
      <c r="FP118" s="103"/>
    </row>
    <row r="119" spans="2:172" x14ac:dyDescent="0.35">
      <c r="B119" s="97"/>
      <c r="G119" s="100"/>
      <c r="K119" s="98"/>
      <c r="L119" s="101"/>
      <c r="M119" s="101"/>
      <c r="N119" s="101"/>
      <c r="O119" s="101"/>
      <c r="P119" s="102"/>
      <c r="Q119" s="101"/>
      <c r="R119" s="98"/>
      <c r="S119" s="98"/>
      <c r="T119" s="98"/>
      <c r="U119" s="98"/>
      <c r="V119" s="98"/>
      <c r="W119" s="98"/>
      <c r="X119" s="103"/>
      <c r="Y119" s="103"/>
      <c r="Z119" s="103"/>
      <c r="AA119" s="103"/>
      <c r="AB119" s="103"/>
      <c r="AC119" s="103"/>
      <c r="AD119" s="103"/>
      <c r="AE119" s="101"/>
      <c r="AF119" s="101"/>
      <c r="AG119" s="101"/>
      <c r="AH119" s="101"/>
      <c r="AI119" s="101"/>
      <c r="AJ119" s="101"/>
      <c r="AK119" s="101"/>
      <c r="AL119" s="103"/>
      <c r="AM119" s="103"/>
      <c r="AN119" s="103"/>
      <c r="AO119" s="103"/>
      <c r="AP119" s="103"/>
      <c r="AQ119" s="103"/>
      <c r="AR119" s="103"/>
      <c r="AS119" s="101"/>
      <c r="AT119" s="101"/>
      <c r="AU119" s="101"/>
      <c r="AV119" s="101"/>
      <c r="AW119" s="101"/>
      <c r="AX119" s="101"/>
      <c r="AY119" s="101"/>
      <c r="AZ119" s="103"/>
      <c r="BA119" s="103"/>
      <c r="BB119" s="103"/>
      <c r="BC119" s="101"/>
      <c r="BD119" s="101"/>
      <c r="BE119" s="101"/>
      <c r="BF119" s="101"/>
      <c r="BG119" s="101"/>
      <c r="BK119" s="101"/>
      <c r="BL119" s="101"/>
      <c r="BM119" s="101"/>
      <c r="BN119" s="101"/>
      <c r="BO119" s="101"/>
      <c r="BP119" s="101"/>
      <c r="BQ119" s="101"/>
      <c r="BR119" s="104"/>
      <c r="BS119" s="104"/>
      <c r="BT119" s="104"/>
      <c r="BU119" s="104"/>
      <c r="BV119" s="104"/>
      <c r="BW119" s="104"/>
      <c r="BX119" s="104"/>
      <c r="BY119" s="104"/>
      <c r="BZ119" s="104"/>
      <c r="CA119" s="104"/>
      <c r="CB119" s="104"/>
      <c r="CC119" s="104"/>
      <c r="CD119" s="104"/>
      <c r="CE119" s="104"/>
      <c r="CF119" s="104"/>
      <c r="CG119" s="104"/>
      <c r="CH119" s="104"/>
      <c r="CI119" s="104"/>
      <c r="CJ119" s="104"/>
      <c r="CK119" s="104"/>
      <c r="CL119" s="104"/>
      <c r="CM119" s="104"/>
      <c r="CN119" s="98"/>
      <c r="CP119" s="101"/>
      <c r="CQ119" s="101"/>
      <c r="CR119" s="101"/>
      <c r="CS119" s="101"/>
      <c r="CT119" s="101"/>
      <c r="FJ119" s="103"/>
      <c r="FL119" s="103"/>
      <c r="FN119" s="103"/>
      <c r="FP119" s="103"/>
    </row>
    <row r="120" spans="2:172" x14ac:dyDescent="0.35">
      <c r="B120" s="97"/>
      <c r="G120" s="100"/>
      <c r="K120" s="98"/>
      <c r="L120" s="101"/>
      <c r="M120" s="101"/>
      <c r="N120" s="101"/>
      <c r="O120" s="101"/>
      <c r="P120" s="102"/>
      <c r="Q120" s="101"/>
      <c r="R120" s="98"/>
      <c r="S120" s="98"/>
      <c r="T120" s="98"/>
      <c r="U120" s="98"/>
      <c r="V120" s="98"/>
      <c r="W120" s="98"/>
      <c r="X120" s="103"/>
      <c r="Y120" s="103"/>
      <c r="Z120" s="103"/>
      <c r="AA120" s="103"/>
      <c r="AB120" s="103"/>
      <c r="AC120" s="103"/>
      <c r="AD120" s="103"/>
      <c r="AE120" s="101"/>
      <c r="AF120" s="101"/>
      <c r="AG120" s="101"/>
      <c r="AH120" s="101"/>
      <c r="AI120" s="101"/>
      <c r="AJ120" s="101"/>
      <c r="AK120" s="101"/>
      <c r="AL120" s="103"/>
      <c r="AM120" s="103"/>
      <c r="AN120" s="103"/>
      <c r="AO120" s="103"/>
      <c r="AP120" s="103"/>
      <c r="AQ120" s="103"/>
      <c r="AR120" s="103"/>
      <c r="AS120" s="101"/>
      <c r="AT120" s="101"/>
      <c r="AU120" s="101"/>
      <c r="AV120" s="101"/>
      <c r="AW120" s="101"/>
      <c r="AX120" s="101"/>
      <c r="AY120" s="101"/>
      <c r="AZ120" s="103"/>
      <c r="BA120" s="103"/>
      <c r="BB120" s="103"/>
      <c r="BC120" s="101"/>
      <c r="BD120" s="101"/>
      <c r="BE120" s="101"/>
      <c r="BF120" s="101"/>
      <c r="BG120" s="101"/>
      <c r="BK120" s="101"/>
      <c r="BL120" s="101"/>
      <c r="BM120" s="101"/>
      <c r="BN120" s="101"/>
      <c r="BO120" s="101"/>
      <c r="BP120" s="101"/>
      <c r="BQ120" s="101"/>
      <c r="BR120" s="104"/>
      <c r="BS120" s="104"/>
      <c r="BT120" s="104"/>
      <c r="BU120" s="104"/>
      <c r="BV120" s="104"/>
      <c r="BW120" s="104"/>
      <c r="BX120" s="104"/>
      <c r="BY120" s="104"/>
      <c r="BZ120" s="104"/>
      <c r="CA120" s="104"/>
      <c r="CB120" s="104"/>
      <c r="CC120" s="104"/>
      <c r="CD120" s="104"/>
      <c r="CE120" s="104"/>
      <c r="CF120" s="104"/>
      <c r="CG120" s="104"/>
      <c r="CH120" s="104"/>
      <c r="CI120" s="104"/>
      <c r="CJ120" s="104"/>
      <c r="CK120" s="104"/>
      <c r="CL120" s="104"/>
      <c r="CM120" s="104"/>
      <c r="CN120" s="98"/>
      <c r="CP120" s="101"/>
      <c r="CQ120" s="101"/>
      <c r="CR120" s="101"/>
      <c r="CS120" s="101"/>
      <c r="CT120" s="101"/>
      <c r="FJ120" s="103"/>
      <c r="FL120" s="103"/>
      <c r="FN120" s="103"/>
      <c r="FP120" s="103"/>
    </row>
    <row r="121" spans="2:172" x14ac:dyDescent="0.35">
      <c r="B121" s="97"/>
      <c r="G121" s="100"/>
      <c r="K121" s="98"/>
      <c r="L121" s="101"/>
      <c r="M121" s="101"/>
      <c r="N121" s="101"/>
      <c r="O121" s="101"/>
      <c r="P121" s="102"/>
      <c r="Q121" s="101"/>
      <c r="R121" s="98"/>
      <c r="S121" s="98"/>
      <c r="T121" s="98"/>
      <c r="U121" s="98"/>
      <c r="V121" s="98"/>
      <c r="W121" s="98"/>
      <c r="X121" s="103"/>
      <c r="Y121" s="103"/>
      <c r="Z121" s="103"/>
      <c r="AA121" s="103"/>
      <c r="AB121" s="103"/>
      <c r="AC121" s="103"/>
      <c r="AD121" s="103"/>
      <c r="AE121" s="101"/>
      <c r="AF121" s="101"/>
      <c r="AG121" s="101"/>
      <c r="AH121" s="101"/>
      <c r="AI121" s="101"/>
      <c r="AJ121" s="101"/>
      <c r="AK121" s="101"/>
      <c r="AL121" s="103"/>
      <c r="AM121" s="103"/>
      <c r="AN121" s="103"/>
      <c r="AO121" s="103"/>
      <c r="AP121" s="103"/>
      <c r="AQ121" s="103"/>
      <c r="AR121" s="103"/>
      <c r="AS121" s="101"/>
      <c r="AT121" s="101"/>
      <c r="AU121" s="101"/>
      <c r="AV121" s="101"/>
      <c r="AW121" s="101"/>
      <c r="AX121" s="101"/>
      <c r="AY121" s="101"/>
      <c r="AZ121" s="103"/>
      <c r="BA121" s="103"/>
      <c r="BB121" s="103"/>
      <c r="BC121" s="101"/>
      <c r="BD121" s="101"/>
      <c r="BE121" s="101"/>
      <c r="BF121" s="101"/>
      <c r="BG121" s="101"/>
      <c r="BK121" s="101"/>
      <c r="BL121" s="101"/>
      <c r="BM121" s="101"/>
      <c r="BN121" s="101"/>
      <c r="BO121" s="101"/>
      <c r="BP121" s="101"/>
      <c r="BQ121" s="101"/>
      <c r="BR121" s="104"/>
      <c r="BS121" s="104"/>
      <c r="BT121" s="104"/>
      <c r="BU121" s="104"/>
      <c r="BV121" s="104"/>
      <c r="BW121" s="104"/>
      <c r="BX121" s="104"/>
      <c r="BY121" s="104"/>
      <c r="BZ121" s="104"/>
      <c r="CA121" s="104"/>
      <c r="CB121" s="104"/>
      <c r="CC121" s="104"/>
      <c r="CD121" s="104"/>
      <c r="CE121" s="104"/>
      <c r="CF121" s="104"/>
      <c r="CG121" s="104"/>
      <c r="CH121" s="104"/>
      <c r="CI121" s="104"/>
      <c r="CJ121" s="104"/>
      <c r="CK121" s="104"/>
      <c r="CL121" s="104"/>
      <c r="CM121" s="104"/>
      <c r="CN121" s="98"/>
      <c r="CP121" s="101"/>
      <c r="CQ121" s="101"/>
      <c r="CR121" s="101"/>
      <c r="CS121" s="101"/>
      <c r="CT121" s="101"/>
      <c r="FJ121" s="103"/>
      <c r="FL121" s="103"/>
      <c r="FN121" s="103"/>
      <c r="FP121" s="103"/>
    </row>
    <row r="122" spans="2:172" x14ac:dyDescent="0.35">
      <c r="B122" s="97"/>
      <c r="G122" s="100"/>
      <c r="K122" s="98"/>
      <c r="L122" s="101"/>
      <c r="M122" s="101"/>
      <c r="N122" s="101"/>
      <c r="O122" s="101"/>
      <c r="P122" s="102"/>
      <c r="Q122" s="101"/>
      <c r="R122" s="98"/>
      <c r="S122" s="98"/>
      <c r="T122" s="98"/>
      <c r="U122" s="98"/>
      <c r="V122" s="98"/>
      <c r="W122" s="98"/>
      <c r="X122" s="103"/>
      <c r="Y122" s="103"/>
      <c r="Z122" s="103"/>
      <c r="AA122" s="103"/>
      <c r="AB122" s="103"/>
      <c r="AC122" s="103"/>
      <c r="AD122" s="103"/>
      <c r="AE122" s="101"/>
      <c r="AF122" s="101"/>
      <c r="AG122" s="101"/>
      <c r="AH122" s="101"/>
      <c r="AI122" s="101"/>
      <c r="AJ122" s="101"/>
      <c r="AK122" s="101"/>
      <c r="AL122" s="103"/>
      <c r="AM122" s="103"/>
      <c r="AN122" s="103"/>
      <c r="AO122" s="103"/>
      <c r="AP122" s="103"/>
      <c r="AQ122" s="103"/>
      <c r="AR122" s="103"/>
      <c r="AS122" s="101"/>
      <c r="AT122" s="101"/>
      <c r="AU122" s="101"/>
      <c r="AV122" s="101"/>
      <c r="AW122" s="101"/>
      <c r="AX122" s="101"/>
      <c r="AY122" s="101"/>
      <c r="AZ122" s="103"/>
      <c r="BA122" s="103"/>
      <c r="BB122" s="103"/>
      <c r="BC122" s="101"/>
      <c r="BD122" s="101"/>
      <c r="BE122" s="101"/>
      <c r="BF122" s="101"/>
      <c r="BG122" s="101"/>
      <c r="BK122" s="101"/>
      <c r="BL122" s="101"/>
      <c r="BM122" s="101"/>
      <c r="BN122" s="101"/>
      <c r="BO122" s="101"/>
      <c r="BP122" s="101"/>
      <c r="BQ122" s="101"/>
      <c r="BR122" s="104"/>
      <c r="BS122" s="104"/>
      <c r="BT122" s="104"/>
      <c r="BU122" s="104"/>
      <c r="BV122" s="104"/>
      <c r="BW122" s="104"/>
      <c r="BX122" s="104"/>
      <c r="BY122" s="104"/>
      <c r="BZ122" s="104"/>
      <c r="CA122" s="104"/>
      <c r="CB122" s="104"/>
      <c r="CC122" s="104"/>
      <c r="CD122" s="104"/>
      <c r="CE122" s="104"/>
      <c r="CF122" s="104"/>
      <c r="CG122" s="104"/>
      <c r="CH122" s="104"/>
      <c r="CI122" s="104"/>
      <c r="CJ122" s="104"/>
      <c r="CK122" s="104"/>
      <c r="CL122" s="104"/>
      <c r="CM122" s="104"/>
      <c r="CN122" s="98"/>
      <c r="CP122" s="101"/>
      <c r="CQ122" s="101"/>
      <c r="CR122" s="101"/>
      <c r="CS122" s="101"/>
      <c r="CT122" s="101"/>
      <c r="FJ122" s="103"/>
      <c r="FL122" s="103"/>
      <c r="FN122" s="103"/>
      <c r="FP122" s="103"/>
    </row>
    <row r="123" spans="2:172" x14ac:dyDescent="0.35">
      <c r="B123" s="97"/>
      <c r="G123" s="100"/>
      <c r="K123" s="98"/>
      <c r="L123" s="101"/>
      <c r="M123" s="101"/>
      <c r="N123" s="101"/>
      <c r="O123" s="101"/>
      <c r="P123" s="102"/>
      <c r="Q123" s="101"/>
      <c r="R123" s="98"/>
      <c r="S123" s="98"/>
      <c r="T123" s="98"/>
      <c r="U123" s="98"/>
      <c r="V123" s="98"/>
      <c r="W123" s="98"/>
      <c r="X123" s="103"/>
      <c r="Y123" s="103"/>
      <c r="Z123" s="103"/>
      <c r="AA123" s="103"/>
      <c r="AB123" s="103"/>
      <c r="AC123" s="103"/>
      <c r="AD123" s="103"/>
      <c r="AE123" s="101"/>
      <c r="AF123" s="101"/>
      <c r="AG123" s="101"/>
      <c r="AH123" s="101"/>
      <c r="AI123" s="101"/>
      <c r="AJ123" s="101"/>
      <c r="AK123" s="101"/>
      <c r="AL123" s="103"/>
      <c r="AM123" s="103"/>
      <c r="AN123" s="103"/>
      <c r="AO123" s="103"/>
      <c r="AP123" s="103"/>
      <c r="AQ123" s="103"/>
      <c r="AR123" s="103"/>
      <c r="AS123" s="101"/>
      <c r="AT123" s="101"/>
      <c r="AU123" s="101"/>
      <c r="AV123" s="101"/>
      <c r="AW123" s="101"/>
      <c r="AX123" s="101"/>
      <c r="AY123" s="101"/>
      <c r="AZ123" s="103"/>
      <c r="BA123" s="103"/>
      <c r="BB123" s="103"/>
      <c r="BC123" s="101"/>
      <c r="BD123" s="101"/>
      <c r="BE123" s="101"/>
      <c r="BF123" s="101"/>
      <c r="BG123" s="101"/>
      <c r="BK123" s="101"/>
      <c r="BL123" s="101"/>
      <c r="BM123" s="101"/>
      <c r="BN123" s="101"/>
      <c r="BO123" s="101"/>
      <c r="BP123" s="101"/>
      <c r="BQ123" s="101"/>
      <c r="BR123" s="104"/>
      <c r="BS123" s="104"/>
      <c r="BT123" s="104"/>
      <c r="BU123" s="104"/>
      <c r="BV123" s="104"/>
      <c r="BW123" s="104"/>
      <c r="BX123" s="104"/>
      <c r="BY123" s="104"/>
      <c r="BZ123" s="104"/>
      <c r="CA123" s="104"/>
      <c r="CB123" s="104"/>
      <c r="CC123" s="104"/>
      <c r="CD123" s="104"/>
      <c r="CE123" s="104"/>
      <c r="CF123" s="104"/>
      <c r="CG123" s="104"/>
      <c r="CH123" s="104"/>
      <c r="CI123" s="104"/>
      <c r="CJ123" s="104"/>
      <c r="CK123" s="104"/>
      <c r="CL123" s="104"/>
      <c r="CM123" s="104"/>
      <c r="CN123" s="98"/>
      <c r="CP123" s="101"/>
      <c r="CQ123" s="101"/>
      <c r="CR123" s="101"/>
      <c r="CS123" s="101"/>
      <c r="CT123" s="101"/>
      <c r="FJ123" s="103"/>
      <c r="FL123" s="103"/>
      <c r="FN123" s="103"/>
      <c r="FP123" s="103"/>
    </row>
    <row r="124" spans="2:172" x14ac:dyDescent="0.35">
      <c r="B124" s="97"/>
      <c r="G124" s="100"/>
      <c r="K124" s="98"/>
      <c r="L124" s="101"/>
      <c r="M124" s="101"/>
      <c r="N124" s="101"/>
      <c r="O124" s="101"/>
      <c r="P124" s="102"/>
      <c r="Q124" s="101"/>
      <c r="R124" s="98"/>
      <c r="S124" s="98"/>
      <c r="T124" s="98"/>
      <c r="U124" s="98"/>
      <c r="V124" s="98"/>
      <c r="W124" s="98"/>
      <c r="X124" s="103"/>
      <c r="Y124" s="103"/>
      <c r="Z124" s="103"/>
      <c r="AA124" s="103"/>
      <c r="AB124" s="103"/>
      <c r="AC124" s="103"/>
      <c r="AD124" s="103"/>
      <c r="AE124" s="101"/>
      <c r="AF124" s="101"/>
      <c r="AG124" s="101"/>
      <c r="AH124" s="101"/>
      <c r="AI124" s="101"/>
      <c r="AJ124" s="101"/>
      <c r="AK124" s="101"/>
      <c r="AL124" s="103"/>
      <c r="AM124" s="103"/>
      <c r="AN124" s="103"/>
      <c r="AO124" s="103"/>
      <c r="AP124" s="103"/>
      <c r="AQ124" s="103"/>
      <c r="AR124" s="103"/>
      <c r="AS124" s="101"/>
      <c r="AT124" s="101"/>
      <c r="AU124" s="101"/>
      <c r="AV124" s="101"/>
      <c r="AW124" s="101"/>
      <c r="AX124" s="101"/>
      <c r="AY124" s="101"/>
      <c r="AZ124" s="103"/>
      <c r="BA124" s="103"/>
      <c r="BB124" s="103"/>
      <c r="BC124" s="101"/>
      <c r="BD124" s="101"/>
      <c r="BE124" s="101"/>
      <c r="BF124" s="101"/>
      <c r="BG124" s="101"/>
      <c r="BK124" s="101"/>
      <c r="BL124" s="101"/>
      <c r="BM124" s="101"/>
      <c r="BN124" s="101"/>
      <c r="BO124" s="101"/>
      <c r="BP124" s="101"/>
      <c r="BQ124" s="101"/>
      <c r="BR124" s="104"/>
      <c r="BS124" s="104"/>
      <c r="BT124" s="104"/>
      <c r="BU124" s="104"/>
      <c r="BV124" s="104"/>
      <c r="BW124" s="104"/>
      <c r="BX124" s="104"/>
      <c r="BY124" s="104"/>
      <c r="BZ124" s="104"/>
      <c r="CA124" s="104"/>
      <c r="CB124" s="104"/>
      <c r="CC124" s="104"/>
      <c r="CD124" s="104"/>
      <c r="CE124" s="104"/>
      <c r="CF124" s="104"/>
      <c r="CG124" s="104"/>
      <c r="CH124" s="104"/>
      <c r="CI124" s="104"/>
      <c r="CJ124" s="104"/>
      <c r="CK124" s="104"/>
      <c r="CL124" s="104"/>
      <c r="CM124" s="104"/>
      <c r="CN124" s="98"/>
      <c r="CP124" s="101"/>
      <c r="CQ124" s="101"/>
      <c r="CR124" s="101"/>
      <c r="CS124" s="101"/>
      <c r="CT124" s="101"/>
      <c r="FJ124" s="103"/>
      <c r="FL124" s="103"/>
      <c r="FN124" s="103"/>
      <c r="FP124" s="103"/>
    </row>
    <row r="125" spans="2:172" x14ac:dyDescent="0.35">
      <c r="B125" s="97"/>
      <c r="G125" s="100"/>
      <c r="K125" s="98"/>
      <c r="L125" s="101"/>
      <c r="M125" s="101"/>
      <c r="N125" s="101"/>
      <c r="O125" s="101"/>
      <c r="P125" s="102"/>
      <c r="Q125" s="101"/>
      <c r="R125" s="98"/>
      <c r="S125" s="98"/>
      <c r="T125" s="98"/>
      <c r="U125" s="98"/>
      <c r="V125" s="98"/>
      <c r="W125" s="98"/>
      <c r="X125" s="103"/>
      <c r="Y125" s="103"/>
      <c r="Z125" s="103"/>
      <c r="AA125" s="103"/>
      <c r="AB125" s="103"/>
      <c r="AC125" s="103"/>
      <c r="AD125" s="103"/>
      <c r="AE125" s="101"/>
      <c r="AF125" s="101"/>
      <c r="AG125" s="101"/>
      <c r="AH125" s="101"/>
      <c r="AI125" s="101"/>
      <c r="AJ125" s="101"/>
      <c r="AK125" s="101"/>
      <c r="AL125" s="103"/>
      <c r="AM125" s="103"/>
      <c r="AN125" s="103"/>
      <c r="AO125" s="103"/>
      <c r="AP125" s="103"/>
      <c r="AQ125" s="103"/>
      <c r="AR125" s="103"/>
      <c r="AS125" s="101"/>
      <c r="AT125" s="101"/>
      <c r="AU125" s="101"/>
      <c r="AV125" s="101"/>
      <c r="AW125" s="101"/>
      <c r="AX125" s="101"/>
      <c r="AY125" s="101"/>
      <c r="AZ125" s="103"/>
      <c r="BA125" s="103"/>
      <c r="BB125" s="103"/>
      <c r="BC125" s="101"/>
      <c r="BD125" s="101"/>
      <c r="BE125" s="101"/>
      <c r="BF125" s="101"/>
      <c r="BG125" s="101"/>
      <c r="BK125" s="101"/>
      <c r="BL125" s="101"/>
      <c r="BM125" s="101"/>
      <c r="BN125" s="101"/>
      <c r="BO125" s="101"/>
      <c r="BP125" s="101"/>
      <c r="BQ125" s="101"/>
      <c r="BR125" s="104"/>
      <c r="BS125" s="104"/>
      <c r="BT125" s="104"/>
      <c r="BU125" s="104"/>
      <c r="BV125" s="104"/>
      <c r="BW125" s="104"/>
      <c r="BX125" s="104"/>
      <c r="BY125" s="104"/>
      <c r="BZ125" s="104"/>
      <c r="CA125" s="104"/>
      <c r="CB125" s="104"/>
      <c r="CC125" s="104"/>
      <c r="CD125" s="104"/>
      <c r="CE125" s="104"/>
      <c r="CF125" s="104"/>
      <c r="CG125" s="104"/>
      <c r="CH125" s="104"/>
      <c r="CI125" s="104"/>
      <c r="CJ125" s="104"/>
      <c r="CK125" s="104"/>
      <c r="CL125" s="104"/>
      <c r="CM125" s="104"/>
      <c r="CN125" s="98"/>
      <c r="CP125" s="101"/>
      <c r="CQ125" s="101"/>
      <c r="CR125" s="101"/>
      <c r="CS125" s="101"/>
      <c r="CT125" s="101"/>
      <c r="FJ125" s="103"/>
      <c r="FL125" s="103"/>
      <c r="FN125" s="103"/>
      <c r="FP125" s="103"/>
    </row>
    <row r="126" spans="2:172" x14ac:dyDescent="0.35">
      <c r="B126" s="97"/>
      <c r="G126" s="100"/>
      <c r="K126" s="98"/>
      <c r="L126" s="101"/>
      <c r="M126" s="101"/>
      <c r="N126" s="101"/>
      <c r="O126" s="101"/>
      <c r="P126" s="102"/>
      <c r="Q126" s="101"/>
      <c r="R126" s="98"/>
      <c r="S126" s="98"/>
      <c r="T126" s="98"/>
      <c r="U126" s="98"/>
      <c r="V126" s="98"/>
      <c r="W126" s="98"/>
      <c r="X126" s="103"/>
      <c r="Y126" s="103"/>
      <c r="Z126" s="103"/>
      <c r="AA126" s="103"/>
      <c r="AB126" s="103"/>
      <c r="AC126" s="103"/>
      <c r="AD126" s="103"/>
      <c r="AE126" s="101"/>
      <c r="AF126" s="101"/>
      <c r="AG126" s="101"/>
      <c r="AH126" s="101"/>
      <c r="AI126" s="101"/>
      <c r="AJ126" s="101"/>
      <c r="AK126" s="101"/>
      <c r="AL126" s="103"/>
      <c r="AM126" s="103"/>
      <c r="AN126" s="103"/>
      <c r="AO126" s="103"/>
      <c r="AP126" s="103"/>
      <c r="AQ126" s="103"/>
      <c r="AR126" s="103"/>
      <c r="AS126" s="101"/>
      <c r="AT126" s="101"/>
      <c r="AU126" s="101"/>
      <c r="AV126" s="101"/>
      <c r="AW126" s="101"/>
      <c r="AX126" s="101"/>
      <c r="AY126" s="101"/>
      <c r="AZ126" s="103"/>
      <c r="BA126" s="103"/>
      <c r="BB126" s="103"/>
      <c r="BC126" s="101"/>
      <c r="BD126" s="101"/>
      <c r="BE126" s="101"/>
      <c r="BF126" s="101"/>
      <c r="BG126" s="101"/>
      <c r="BK126" s="101"/>
      <c r="BL126" s="101"/>
      <c r="BM126" s="101"/>
      <c r="BN126" s="101"/>
      <c r="BO126" s="101"/>
      <c r="BP126" s="101"/>
      <c r="BQ126" s="101"/>
      <c r="BR126" s="104"/>
      <c r="BS126" s="104"/>
      <c r="BT126" s="104"/>
      <c r="BU126" s="104"/>
      <c r="BV126" s="104"/>
      <c r="BW126" s="104"/>
      <c r="BX126" s="104"/>
      <c r="BY126" s="104"/>
      <c r="BZ126" s="104"/>
      <c r="CA126" s="104"/>
      <c r="CB126" s="104"/>
      <c r="CC126" s="104"/>
      <c r="CD126" s="104"/>
      <c r="CE126" s="104"/>
      <c r="CF126" s="104"/>
      <c r="CG126" s="104"/>
      <c r="CH126" s="104"/>
      <c r="CI126" s="104"/>
      <c r="CJ126" s="104"/>
      <c r="CK126" s="104"/>
      <c r="CL126" s="104"/>
      <c r="CM126" s="104"/>
      <c r="CN126" s="98"/>
      <c r="CP126" s="101"/>
      <c r="CQ126" s="101"/>
      <c r="CR126" s="101"/>
      <c r="CS126" s="101"/>
      <c r="CT126" s="101"/>
      <c r="FJ126" s="103"/>
      <c r="FL126" s="103"/>
      <c r="FN126" s="103"/>
      <c r="FP126" s="103"/>
    </row>
    <row r="127" spans="2:172" x14ac:dyDescent="0.35">
      <c r="B127" s="97"/>
      <c r="G127" s="100"/>
      <c r="K127" s="98"/>
      <c r="L127" s="101"/>
      <c r="M127" s="101"/>
      <c r="N127" s="101"/>
      <c r="O127" s="101"/>
      <c r="P127" s="102"/>
      <c r="Q127" s="101"/>
      <c r="R127" s="98"/>
      <c r="S127" s="98"/>
      <c r="T127" s="98"/>
      <c r="U127" s="98"/>
      <c r="V127" s="98"/>
      <c r="W127" s="98"/>
      <c r="X127" s="103"/>
      <c r="Y127" s="103"/>
      <c r="Z127" s="103"/>
      <c r="AA127" s="103"/>
      <c r="AB127" s="103"/>
      <c r="AC127" s="103"/>
      <c r="AD127" s="103"/>
      <c r="AE127" s="101"/>
      <c r="AF127" s="101"/>
      <c r="AG127" s="101"/>
      <c r="AH127" s="101"/>
      <c r="AI127" s="101"/>
      <c r="AJ127" s="101"/>
      <c r="AK127" s="101"/>
      <c r="AL127" s="103"/>
      <c r="AM127" s="103"/>
      <c r="AN127" s="103"/>
      <c r="AO127" s="103"/>
      <c r="AP127" s="103"/>
      <c r="AQ127" s="103"/>
      <c r="AR127" s="103"/>
      <c r="AS127" s="101"/>
      <c r="AT127" s="101"/>
      <c r="AU127" s="101"/>
      <c r="AV127" s="101"/>
      <c r="AW127" s="101"/>
      <c r="AX127" s="101"/>
      <c r="AY127" s="101"/>
      <c r="AZ127" s="103"/>
      <c r="BA127" s="103"/>
      <c r="BB127" s="103"/>
      <c r="BC127" s="101"/>
      <c r="BD127" s="101"/>
      <c r="BE127" s="101"/>
      <c r="BF127" s="101"/>
      <c r="BG127" s="101"/>
      <c r="BK127" s="101"/>
      <c r="BL127" s="101"/>
      <c r="BM127" s="101"/>
      <c r="BN127" s="101"/>
      <c r="BO127" s="101"/>
      <c r="BP127" s="101"/>
      <c r="BQ127" s="101"/>
      <c r="BR127" s="104"/>
      <c r="BS127" s="104"/>
      <c r="BT127" s="104"/>
      <c r="BU127" s="104"/>
      <c r="BV127" s="104"/>
      <c r="BW127" s="104"/>
      <c r="BX127" s="104"/>
      <c r="BY127" s="104"/>
      <c r="BZ127" s="104"/>
      <c r="CA127" s="104"/>
      <c r="CB127" s="104"/>
      <c r="CC127" s="104"/>
      <c r="CD127" s="104"/>
      <c r="CE127" s="104"/>
      <c r="CF127" s="104"/>
      <c r="CG127" s="104"/>
      <c r="CH127" s="104"/>
      <c r="CI127" s="104"/>
      <c r="CJ127" s="104"/>
      <c r="CK127" s="104"/>
      <c r="CL127" s="104"/>
      <c r="CM127" s="104"/>
      <c r="CN127" s="98"/>
      <c r="CP127" s="101"/>
      <c r="CQ127" s="101"/>
      <c r="CR127" s="101"/>
      <c r="CS127" s="101"/>
      <c r="CT127" s="101"/>
      <c r="FJ127" s="103"/>
      <c r="FL127" s="103"/>
      <c r="FN127" s="103"/>
      <c r="FP127" s="103"/>
    </row>
    <row r="128" spans="2:172" x14ac:dyDescent="0.35">
      <c r="B128" s="97"/>
      <c r="G128" s="100"/>
      <c r="K128" s="98"/>
      <c r="L128" s="101"/>
      <c r="M128" s="101"/>
      <c r="N128" s="101"/>
      <c r="O128" s="101"/>
      <c r="P128" s="102"/>
      <c r="Q128" s="101"/>
      <c r="R128" s="98"/>
      <c r="S128" s="98"/>
      <c r="T128" s="98"/>
      <c r="U128" s="98"/>
      <c r="V128" s="98"/>
      <c r="W128" s="98"/>
      <c r="X128" s="103"/>
      <c r="Y128" s="103"/>
      <c r="Z128" s="103"/>
      <c r="AA128" s="103"/>
      <c r="AB128" s="103"/>
      <c r="AC128" s="103"/>
      <c r="AD128" s="103"/>
      <c r="AE128" s="101"/>
      <c r="AF128" s="101"/>
      <c r="AG128" s="101"/>
      <c r="AH128" s="101"/>
      <c r="AI128" s="101"/>
      <c r="AJ128" s="101"/>
      <c r="AK128" s="101"/>
      <c r="AL128" s="103"/>
      <c r="AM128" s="103"/>
      <c r="AN128" s="103"/>
      <c r="AO128" s="103"/>
      <c r="AP128" s="103"/>
      <c r="AQ128" s="103"/>
      <c r="AR128" s="103"/>
      <c r="AS128" s="101"/>
      <c r="AT128" s="101"/>
      <c r="AU128" s="101"/>
      <c r="AV128" s="101"/>
      <c r="AW128" s="101"/>
      <c r="AX128" s="101"/>
      <c r="AY128" s="101"/>
      <c r="AZ128" s="103"/>
      <c r="BA128" s="103"/>
      <c r="BB128" s="103"/>
      <c r="BC128" s="101"/>
      <c r="BD128" s="101"/>
      <c r="BE128" s="101"/>
      <c r="BF128" s="101"/>
      <c r="BG128" s="101"/>
      <c r="BK128" s="101"/>
      <c r="BL128" s="101"/>
      <c r="BM128" s="101"/>
      <c r="BN128" s="101"/>
      <c r="BO128" s="101"/>
      <c r="BP128" s="101"/>
      <c r="BQ128" s="101"/>
      <c r="BR128" s="104"/>
      <c r="BS128" s="104"/>
      <c r="BT128" s="104"/>
      <c r="BU128" s="104"/>
      <c r="BV128" s="104"/>
      <c r="BW128" s="104"/>
      <c r="BX128" s="104"/>
      <c r="BY128" s="104"/>
      <c r="BZ128" s="104"/>
      <c r="CA128" s="104"/>
      <c r="CB128" s="104"/>
      <c r="CC128" s="104"/>
      <c r="CD128" s="104"/>
      <c r="CE128" s="104"/>
      <c r="CF128" s="104"/>
      <c r="CG128" s="104"/>
      <c r="CH128" s="104"/>
      <c r="CI128" s="104"/>
      <c r="CJ128" s="104"/>
      <c r="CK128" s="104"/>
      <c r="CL128" s="104"/>
      <c r="CM128" s="104"/>
      <c r="CN128" s="98"/>
      <c r="CP128" s="101"/>
      <c r="CQ128" s="101"/>
      <c r="CR128" s="101"/>
      <c r="CS128" s="101"/>
      <c r="CT128" s="101"/>
      <c r="FJ128" s="103"/>
      <c r="FL128" s="103"/>
      <c r="FN128" s="103"/>
      <c r="FP128" s="103"/>
    </row>
    <row r="129" spans="2:172" x14ac:dyDescent="0.35">
      <c r="B129" s="97"/>
      <c r="G129" s="100"/>
      <c r="K129" s="98"/>
      <c r="L129" s="101"/>
      <c r="M129" s="101"/>
      <c r="N129" s="101"/>
      <c r="O129" s="101"/>
      <c r="P129" s="102"/>
      <c r="Q129" s="101"/>
      <c r="R129" s="98"/>
      <c r="S129" s="98"/>
      <c r="T129" s="98"/>
      <c r="U129" s="98"/>
      <c r="V129" s="98"/>
      <c r="W129" s="98"/>
      <c r="X129" s="103"/>
      <c r="Y129" s="103"/>
      <c r="Z129" s="103"/>
      <c r="AA129" s="103"/>
      <c r="AB129" s="103"/>
      <c r="AC129" s="103"/>
      <c r="AD129" s="103"/>
      <c r="AE129" s="101"/>
      <c r="AF129" s="101"/>
      <c r="AG129" s="101"/>
      <c r="AH129" s="101"/>
      <c r="AI129" s="101"/>
      <c r="AJ129" s="101"/>
      <c r="AK129" s="101"/>
      <c r="AL129" s="103"/>
      <c r="AM129" s="103"/>
      <c r="AN129" s="103"/>
      <c r="AO129" s="103"/>
      <c r="AP129" s="103"/>
      <c r="AQ129" s="103"/>
      <c r="AR129" s="103"/>
      <c r="AS129" s="101"/>
      <c r="AT129" s="101"/>
      <c r="AU129" s="101"/>
      <c r="AV129" s="101"/>
      <c r="AW129" s="101"/>
      <c r="AX129" s="101"/>
      <c r="AY129" s="101"/>
      <c r="AZ129" s="103"/>
      <c r="BA129" s="103"/>
      <c r="BB129" s="103"/>
      <c r="BC129" s="101"/>
      <c r="BD129" s="101"/>
      <c r="BE129" s="101"/>
      <c r="BF129" s="101"/>
      <c r="BG129" s="101"/>
      <c r="BK129" s="101"/>
      <c r="BL129" s="101"/>
      <c r="BM129" s="101"/>
      <c r="BN129" s="101"/>
      <c r="BO129" s="101"/>
      <c r="BP129" s="101"/>
      <c r="BQ129" s="101"/>
      <c r="BR129" s="104"/>
      <c r="BS129" s="104"/>
      <c r="BT129" s="104"/>
      <c r="BU129" s="104"/>
      <c r="BV129" s="104"/>
      <c r="BW129" s="104"/>
      <c r="BX129" s="104"/>
      <c r="BY129" s="104"/>
      <c r="BZ129" s="104"/>
      <c r="CA129" s="104"/>
      <c r="CB129" s="104"/>
      <c r="CC129" s="104"/>
      <c r="CD129" s="104"/>
      <c r="CE129" s="104"/>
      <c r="CF129" s="104"/>
      <c r="CG129" s="104"/>
      <c r="CH129" s="104"/>
      <c r="CI129" s="104"/>
      <c r="CJ129" s="104"/>
      <c r="CK129" s="104"/>
      <c r="CL129" s="104"/>
      <c r="CM129" s="104"/>
      <c r="CN129" s="98"/>
      <c r="CP129" s="101"/>
      <c r="CQ129" s="101"/>
      <c r="CR129" s="101"/>
      <c r="CS129" s="101"/>
      <c r="CT129" s="101"/>
      <c r="FJ129" s="103"/>
      <c r="FL129" s="103"/>
      <c r="FN129" s="103"/>
      <c r="FP129" s="103"/>
    </row>
    <row r="130" spans="2:172" x14ac:dyDescent="0.35">
      <c r="B130" s="97"/>
      <c r="G130" s="100"/>
      <c r="K130" s="98"/>
      <c r="L130" s="101"/>
      <c r="M130" s="101"/>
      <c r="N130" s="101"/>
      <c r="O130" s="101"/>
      <c r="P130" s="102"/>
      <c r="Q130" s="101"/>
      <c r="R130" s="98"/>
      <c r="S130" s="98"/>
      <c r="T130" s="98"/>
      <c r="U130" s="98"/>
      <c r="V130" s="98"/>
      <c r="W130" s="98"/>
      <c r="X130" s="103"/>
      <c r="Y130" s="103"/>
      <c r="Z130" s="103"/>
      <c r="AA130" s="103"/>
      <c r="AB130" s="103"/>
      <c r="AC130" s="103"/>
      <c r="AD130" s="103"/>
      <c r="AE130" s="101"/>
      <c r="AF130" s="101"/>
      <c r="AG130" s="101"/>
      <c r="AH130" s="101"/>
      <c r="AI130" s="101"/>
      <c r="AJ130" s="101"/>
      <c r="AK130" s="101"/>
      <c r="AL130" s="103"/>
      <c r="AM130" s="103"/>
      <c r="AN130" s="103"/>
      <c r="AO130" s="103"/>
      <c r="AP130" s="103"/>
      <c r="AQ130" s="103"/>
      <c r="AR130" s="103"/>
      <c r="AS130" s="101"/>
      <c r="AT130" s="101"/>
      <c r="AU130" s="101"/>
      <c r="AV130" s="101"/>
      <c r="AW130" s="101"/>
      <c r="AX130" s="101"/>
      <c r="AY130" s="101"/>
      <c r="AZ130" s="103"/>
      <c r="BA130" s="103"/>
      <c r="BB130" s="103"/>
      <c r="BC130" s="101"/>
      <c r="BD130" s="101"/>
      <c r="BE130" s="101"/>
      <c r="BF130" s="101"/>
      <c r="BG130" s="101"/>
      <c r="BK130" s="101"/>
      <c r="BL130" s="101"/>
      <c r="BM130" s="101"/>
      <c r="BN130" s="101"/>
      <c r="BO130" s="101"/>
      <c r="BP130" s="101"/>
      <c r="BQ130" s="101"/>
      <c r="BR130" s="104"/>
      <c r="BS130" s="104"/>
      <c r="BT130" s="104"/>
      <c r="BU130" s="104"/>
      <c r="BV130" s="104"/>
      <c r="BW130" s="104"/>
      <c r="BX130" s="104"/>
      <c r="BY130" s="104"/>
      <c r="BZ130" s="104"/>
      <c r="CA130" s="104"/>
      <c r="CB130" s="104"/>
      <c r="CC130" s="104"/>
      <c r="CD130" s="104"/>
      <c r="CE130" s="104"/>
      <c r="CF130" s="104"/>
      <c r="CG130" s="104"/>
      <c r="CH130" s="104"/>
      <c r="CI130" s="104"/>
      <c r="CJ130" s="104"/>
      <c r="CK130" s="104"/>
      <c r="CL130" s="104"/>
      <c r="CM130" s="104"/>
      <c r="CN130" s="98"/>
      <c r="CP130" s="101"/>
      <c r="CQ130" s="101"/>
      <c r="CR130" s="101"/>
      <c r="CS130" s="101"/>
      <c r="CT130" s="101"/>
      <c r="FJ130" s="103"/>
      <c r="FL130" s="103"/>
      <c r="FN130" s="103"/>
      <c r="FP130" s="103"/>
    </row>
    <row r="131" spans="2:172" x14ac:dyDescent="0.35">
      <c r="B131" s="97"/>
      <c r="G131" s="100"/>
      <c r="K131" s="98"/>
      <c r="L131" s="101"/>
      <c r="M131" s="101"/>
      <c r="N131" s="101"/>
      <c r="O131" s="101"/>
      <c r="P131" s="102"/>
      <c r="Q131" s="101"/>
      <c r="R131" s="98"/>
      <c r="S131" s="98"/>
      <c r="T131" s="98"/>
      <c r="U131" s="98"/>
      <c r="V131" s="98"/>
      <c r="W131" s="98"/>
      <c r="X131" s="103"/>
      <c r="Y131" s="103"/>
      <c r="Z131" s="103"/>
      <c r="AA131" s="103"/>
      <c r="AB131" s="103"/>
      <c r="AC131" s="103"/>
      <c r="AD131" s="103"/>
      <c r="AE131" s="101"/>
      <c r="AF131" s="101"/>
      <c r="AG131" s="101"/>
      <c r="AH131" s="101"/>
      <c r="AI131" s="101"/>
      <c r="AJ131" s="101"/>
      <c r="AK131" s="101"/>
      <c r="AL131" s="103"/>
      <c r="AM131" s="103"/>
      <c r="AN131" s="103"/>
      <c r="AO131" s="103"/>
      <c r="AP131" s="103"/>
      <c r="AQ131" s="103"/>
      <c r="AR131" s="103"/>
      <c r="AS131" s="101"/>
      <c r="AT131" s="101"/>
      <c r="AU131" s="101"/>
      <c r="AV131" s="101"/>
      <c r="AW131" s="101"/>
      <c r="AX131" s="101"/>
      <c r="AY131" s="101"/>
      <c r="AZ131" s="103"/>
      <c r="BA131" s="103"/>
      <c r="BB131" s="103"/>
      <c r="BC131" s="101"/>
      <c r="BD131" s="101"/>
      <c r="BE131" s="101"/>
      <c r="BF131" s="101"/>
      <c r="BG131" s="101"/>
      <c r="BK131" s="101"/>
      <c r="BL131" s="101"/>
      <c r="BM131" s="101"/>
      <c r="BN131" s="101"/>
      <c r="BO131" s="101"/>
      <c r="BP131" s="101"/>
      <c r="BQ131" s="101"/>
      <c r="BR131" s="104"/>
      <c r="BS131" s="104"/>
      <c r="BT131" s="104"/>
      <c r="BU131" s="104"/>
      <c r="BV131" s="104"/>
      <c r="BW131" s="104"/>
      <c r="BX131" s="104"/>
      <c r="BY131" s="104"/>
      <c r="BZ131" s="104"/>
      <c r="CA131" s="104"/>
      <c r="CB131" s="104"/>
      <c r="CC131" s="104"/>
      <c r="CD131" s="104"/>
      <c r="CE131" s="104"/>
      <c r="CF131" s="104"/>
      <c r="CG131" s="104"/>
      <c r="CH131" s="104"/>
      <c r="CI131" s="104"/>
      <c r="CJ131" s="104"/>
      <c r="CK131" s="104"/>
      <c r="CL131" s="104"/>
      <c r="CM131" s="104"/>
      <c r="CN131" s="98"/>
      <c r="CP131" s="101"/>
      <c r="CQ131" s="101"/>
      <c r="CR131" s="101"/>
      <c r="CS131" s="101"/>
      <c r="CT131" s="101"/>
      <c r="FJ131" s="103"/>
      <c r="FL131" s="103"/>
      <c r="FN131" s="103"/>
      <c r="FP131" s="103"/>
    </row>
    <row r="132" spans="2:172" x14ac:dyDescent="0.35">
      <c r="B132" s="97"/>
      <c r="G132" s="100"/>
      <c r="K132" s="98"/>
      <c r="L132" s="101"/>
      <c r="M132" s="101"/>
      <c r="N132" s="101"/>
      <c r="O132" s="101"/>
      <c r="P132" s="102"/>
      <c r="Q132" s="101"/>
      <c r="R132" s="98"/>
      <c r="S132" s="98"/>
      <c r="T132" s="98"/>
      <c r="U132" s="98"/>
      <c r="V132" s="98"/>
      <c r="W132" s="98"/>
      <c r="X132" s="103"/>
      <c r="Y132" s="103"/>
      <c r="Z132" s="103"/>
      <c r="AA132" s="103"/>
      <c r="AB132" s="103"/>
      <c r="AC132" s="103"/>
      <c r="AD132" s="103"/>
      <c r="AE132" s="101"/>
      <c r="AF132" s="101"/>
      <c r="AG132" s="101"/>
      <c r="AH132" s="101"/>
      <c r="AI132" s="101"/>
      <c r="AJ132" s="101"/>
      <c r="AK132" s="101"/>
      <c r="AL132" s="103"/>
      <c r="AM132" s="103"/>
      <c r="AN132" s="103"/>
      <c r="AO132" s="103"/>
      <c r="AP132" s="103"/>
      <c r="AQ132" s="103"/>
      <c r="AR132" s="103"/>
      <c r="AS132" s="101"/>
      <c r="AT132" s="101"/>
      <c r="AU132" s="101"/>
      <c r="AV132" s="101"/>
      <c r="AW132" s="101"/>
      <c r="AX132" s="101"/>
      <c r="AY132" s="101"/>
      <c r="AZ132" s="103"/>
      <c r="BA132" s="103"/>
      <c r="BB132" s="103"/>
      <c r="BC132" s="101"/>
      <c r="BD132" s="101"/>
      <c r="BE132" s="101"/>
      <c r="BF132" s="101"/>
      <c r="BG132" s="101"/>
      <c r="BK132" s="101"/>
      <c r="BL132" s="101"/>
      <c r="BM132" s="101"/>
      <c r="BN132" s="101"/>
      <c r="BO132" s="101"/>
      <c r="BP132" s="101"/>
      <c r="BQ132" s="101"/>
      <c r="BR132" s="104"/>
      <c r="BS132" s="104"/>
      <c r="BT132" s="104"/>
      <c r="BU132" s="104"/>
      <c r="BV132" s="104"/>
      <c r="BW132" s="104"/>
      <c r="BX132" s="104"/>
      <c r="BY132" s="104"/>
      <c r="BZ132" s="104"/>
      <c r="CA132" s="104"/>
      <c r="CB132" s="104"/>
      <c r="CC132" s="104"/>
      <c r="CD132" s="104"/>
      <c r="CE132" s="104"/>
      <c r="CF132" s="104"/>
      <c r="CG132" s="104"/>
      <c r="CH132" s="104"/>
      <c r="CI132" s="104"/>
      <c r="CJ132" s="104"/>
      <c r="CK132" s="104"/>
      <c r="CL132" s="104"/>
      <c r="CM132" s="104"/>
      <c r="CN132" s="98"/>
      <c r="CP132" s="101"/>
      <c r="CQ132" s="101"/>
      <c r="CR132" s="101"/>
      <c r="CS132" s="101"/>
      <c r="CT132" s="101"/>
      <c r="FJ132" s="103"/>
      <c r="FL132" s="103"/>
      <c r="FN132" s="103"/>
      <c r="FP132" s="103"/>
    </row>
    <row r="133" spans="2:172" x14ac:dyDescent="0.35">
      <c r="B133" s="97"/>
      <c r="G133" s="100"/>
      <c r="K133" s="98"/>
      <c r="L133" s="101"/>
      <c r="M133" s="101"/>
      <c r="N133" s="101"/>
      <c r="O133" s="101"/>
      <c r="P133" s="102"/>
      <c r="Q133" s="101"/>
      <c r="R133" s="98"/>
      <c r="S133" s="98"/>
      <c r="T133" s="98"/>
      <c r="U133" s="98"/>
      <c r="V133" s="98"/>
      <c r="W133" s="98"/>
      <c r="X133" s="103"/>
      <c r="Y133" s="103"/>
      <c r="Z133" s="103"/>
      <c r="AA133" s="103"/>
      <c r="AB133" s="103"/>
      <c r="AC133" s="103"/>
      <c r="AD133" s="103"/>
      <c r="AE133" s="101"/>
      <c r="AF133" s="101"/>
      <c r="AG133" s="101"/>
      <c r="AH133" s="101"/>
      <c r="AI133" s="101"/>
      <c r="AJ133" s="101"/>
      <c r="AK133" s="101"/>
      <c r="AL133" s="103"/>
      <c r="AM133" s="103"/>
      <c r="AN133" s="103"/>
      <c r="AO133" s="103"/>
      <c r="AP133" s="103"/>
      <c r="AQ133" s="103"/>
      <c r="AR133" s="103"/>
      <c r="AS133" s="101"/>
      <c r="AT133" s="101"/>
      <c r="AU133" s="101"/>
      <c r="AV133" s="101"/>
      <c r="AW133" s="101"/>
      <c r="AX133" s="101"/>
      <c r="AY133" s="101"/>
      <c r="AZ133" s="103"/>
      <c r="BA133" s="103"/>
      <c r="BB133" s="103"/>
      <c r="BC133" s="101"/>
      <c r="BD133" s="101"/>
      <c r="BE133" s="101"/>
      <c r="BF133" s="101"/>
      <c r="BG133" s="101"/>
      <c r="BK133" s="101"/>
      <c r="BL133" s="101"/>
      <c r="BM133" s="101"/>
      <c r="BN133" s="101"/>
      <c r="BO133" s="101"/>
      <c r="BP133" s="101"/>
      <c r="BQ133" s="101"/>
      <c r="BR133" s="104"/>
      <c r="BS133" s="104"/>
      <c r="BT133" s="104"/>
      <c r="BU133" s="104"/>
      <c r="BV133" s="104"/>
      <c r="BW133" s="104"/>
      <c r="BX133" s="104"/>
      <c r="BY133" s="104"/>
      <c r="BZ133" s="104"/>
      <c r="CA133" s="104"/>
      <c r="CB133" s="104"/>
      <c r="CC133" s="104"/>
      <c r="CD133" s="104"/>
      <c r="CE133" s="104"/>
      <c r="CF133" s="104"/>
      <c r="CG133" s="104"/>
      <c r="CH133" s="104"/>
      <c r="CI133" s="104"/>
      <c r="CJ133" s="104"/>
      <c r="CK133" s="104"/>
      <c r="CL133" s="104"/>
      <c r="CM133" s="104"/>
      <c r="CN133" s="98"/>
      <c r="CP133" s="101"/>
      <c r="CQ133" s="101"/>
      <c r="CR133" s="101"/>
      <c r="CS133" s="101"/>
      <c r="CT133" s="101"/>
      <c r="FJ133" s="103"/>
      <c r="FL133" s="103"/>
      <c r="FN133" s="103"/>
      <c r="FP133" s="103"/>
    </row>
    <row r="134" spans="2:172" x14ac:dyDescent="0.35">
      <c r="B134" s="97"/>
      <c r="G134" s="100"/>
      <c r="K134" s="98"/>
      <c r="L134" s="101"/>
      <c r="M134" s="101"/>
      <c r="N134" s="101"/>
      <c r="O134" s="101"/>
      <c r="P134" s="102"/>
      <c r="Q134" s="101"/>
      <c r="R134" s="98"/>
      <c r="S134" s="98"/>
      <c r="T134" s="98"/>
      <c r="U134" s="98"/>
      <c r="V134" s="98"/>
      <c r="W134" s="98"/>
      <c r="X134" s="103"/>
      <c r="Y134" s="103"/>
      <c r="Z134" s="103"/>
      <c r="AA134" s="103"/>
      <c r="AB134" s="103"/>
      <c r="AC134" s="103"/>
      <c r="AD134" s="103"/>
      <c r="AE134" s="101"/>
      <c r="AF134" s="101"/>
      <c r="AG134" s="101"/>
      <c r="AH134" s="101"/>
      <c r="AI134" s="101"/>
      <c r="AJ134" s="101"/>
      <c r="AK134" s="101"/>
      <c r="AL134" s="103"/>
      <c r="AM134" s="103"/>
      <c r="AN134" s="103"/>
      <c r="AO134" s="103"/>
      <c r="AP134" s="103"/>
      <c r="AQ134" s="103"/>
      <c r="AR134" s="103"/>
      <c r="AS134" s="101"/>
      <c r="AT134" s="101"/>
      <c r="AU134" s="101"/>
      <c r="AV134" s="101"/>
      <c r="AW134" s="101"/>
      <c r="AX134" s="101"/>
      <c r="AY134" s="101"/>
      <c r="AZ134" s="103"/>
      <c r="BA134" s="103"/>
      <c r="BB134" s="103"/>
      <c r="BC134" s="101"/>
      <c r="BD134" s="101"/>
      <c r="BE134" s="101"/>
      <c r="BF134" s="101"/>
      <c r="BG134" s="101"/>
      <c r="BK134" s="101"/>
      <c r="BL134" s="101"/>
      <c r="BM134" s="101"/>
      <c r="BN134" s="101"/>
      <c r="BO134" s="101"/>
      <c r="BP134" s="101"/>
      <c r="BQ134" s="101"/>
      <c r="BR134" s="104"/>
      <c r="BS134" s="104"/>
      <c r="BT134" s="104"/>
      <c r="BU134" s="104"/>
      <c r="BV134" s="104"/>
      <c r="BW134" s="104"/>
      <c r="BX134" s="104"/>
      <c r="BY134" s="104"/>
      <c r="BZ134" s="104"/>
      <c r="CA134" s="104"/>
      <c r="CB134" s="104"/>
      <c r="CC134" s="104"/>
      <c r="CD134" s="104"/>
      <c r="CE134" s="104"/>
      <c r="CF134" s="104"/>
      <c r="CG134" s="104"/>
      <c r="CH134" s="104"/>
      <c r="CI134" s="104"/>
      <c r="CJ134" s="104"/>
      <c r="CK134" s="104"/>
      <c r="CL134" s="104"/>
      <c r="CM134" s="104"/>
      <c r="CN134" s="98"/>
      <c r="CP134" s="101"/>
      <c r="CQ134" s="101"/>
      <c r="CR134" s="101"/>
      <c r="CS134" s="101"/>
      <c r="CT134" s="101"/>
      <c r="FJ134" s="103"/>
      <c r="FL134" s="103"/>
      <c r="FN134" s="103"/>
      <c r="FP134" s="103"/>
    </row>
    <row r="135" spans="2:172" x14ac:dyDescent="0.35">
      <c r="B135" s="97"/>
      <c r="G135" s="100"/>
      <c r="K135" s="98"/>
      <c r="L135" s="101"/>
      <c r="M135" s="101"/>
      <c r="N135" s="101"/>
      <c r="O135" s="101"/>
      <c r="P135" s="102"/>
      <c r="Q135" s="101"/>
      <c r="R135" s="98"/>
      <c r="S135" s="98"/>
      <c r="T135" s="98"/>
      <c r="U135" s="98"/>
      <c r="V135" s="98"/>
      <c r="W135" s="98"/>
      <c r="X135" s="103"/>
      <c r="Y135" s="103"/>
      <c r="Z135" s="103"/>
      <c r="AA135" s="103"/>
      <c r="AB135" s="103"/>
      <c r="AC135" s="103"/>
      <c r="AD135" s="103"/>
      <c r="AE135" s="101"/>
      <c r="AF135" s="101"/>
      <c r="AG135" s="101"/>
      <c r="AH135" s="101"/>
      <c r="AI135" s="101"/>
      <c r="AJ135" s="101"/>
      <c r="AK135" s="101"/>
      <c r="AL135" s="103"/>
      <c r="AM135" s="103"/>
      <c r="AN135" s="103"/>
      <c r="AO135" s="103"/>
      <c r="AP135" s="103"/>
      <c r="AQ135" s="103"/>
      <c r="AR135" s="103"/>
      <c r="AS135" s="101"/>
      <c r="AT135" s="101"/>
      <c r="AU135" s="101"/>
      <c r="AV135" s="101"/>
      <c r="AW135" s="101"/>
      <c r="AX135" s="101"/>
      <c r="AY135" s="101"/>
      <c r="AZ135" s="103"/>
      <c r="BA135" s="103"/>
      <c r="BB135" s="103"/>
      <c r="BC135" s="101"/>
      <c r="BD135" s="101"/>
      <c r="BE135" s="101"/>
      <c r="BF135" s="101"/>
      <c r="BG135" s="101"/>
      <c r="BK135" s="101"/>
      <c r="BL135" s="101"/>
      <c r="BM135" s="101"/>
      <c r="BN135" s="101"/>
      <c r="BO135" s="101"/>
      <c r="BP135" s="101"/>
      <c r="BQ135" s="101"/>
      <c r="BR135" s="104"/>
      <c r="BS135" s="104"/>
      <c r="BT135" s="104"/>
      <c r="BU135" s="104"/>
      <c r="BV135" s="104"/>
      <c r="BW135" s="104"/>
      <c r="BX135" s="104"/>
      <c r="BY135" s="104"/>
      <c r="BZ135" s="104"/>
      <c r="CA135" s="104"/>
      <c r="CB135" s="104"/>
      <c r="CC135" s="104"/>
      <c r="CD135" s="104"/>
      <c r="CE135" s="104"/>
      <c r="CF135" s="104"/>
      <c r="CG135" s="104"/>
      <c r="CH135" s="104"/>
      <c r="CI135" s="104"/>
      <c r="CJ135" s="104"/>
      <c r="CK135" s="104"/>
      <c r="CL135" s="104"/>
      <c r="CM135" s="104"/>
      <c r="CN135" s="98"/>
      <c r="CP135" s="101"/>
      <c r="CQ135" s="101"/>
      <c r="CR135" s="101"/>
      <c r="CS135" s="101"/>
      <c r="CT135" s="101"/>
      <c r="FJ135" s="103"/>
      <c r="FL135" s="103"/>
      <c r="FN135" s="103"/>
      <c r="FP135" s="103"/>
    </row>
    <row r="136" spans="2:172" x14ac:dyDescent="0.35">
      <c r="B136" s="97"/>
      <c r="G136" s="100"/>
      <c r="K136" s="98"/>
      <c r="L136" s="101"/>
      <c r="M136" s="101"/>
      <c r="N136" s="101"/>
      <c r="O136" s="101"/>
      <c r="P136" s="102"/>
      <c r="Q136" s="101"/>
      <c r="R136" s="98"/>
      <c r="S136" s="98"/>
      <c r="T136" s="98"/>
      <c r="U136" s="98"/>
      <c r="V136" s="98"/>
      <c r="W136" s="98"/>
      <c r="X136" s="103"/>
      <c r="Y136" s="103"/>
      <c r="Z136" s="103"/>
      <c r="AA136" s="103"/>
      <c r="AB136" s="103"/>
      <c r="AC136" s="103"/>
      <c r="AD136" s="103"/>
      <c r="AE136" s="101"/>
      <c r="AF136" s="101"/>
      <c r="AG136" s="101"/>
      <c r="AH136" s="101"/>
      <c r="AI136" s="101"/>
      <c r="AJ136" s="101"/>
      <c r="AK136" s="101"/>
      <c r="AL136" s="103"/>
      <c r="AM136" s="103"/>
      <c r="AN136" s="103"/>
      <c r="AO136" s="103"/>
      <c r="AP136" s="103"/>
      <c r="AQ136" s="103"/>
      <c r="AR136" s="103"/>
      <c r="AS136" s="101"/>
      <c r="AT136" s="101"/>
      <c r="AU136" s="101"/>
      <c r="AV136" s="101"/>
      <c r="AW136" s="101"/>
      <c r="AX136" s="101"/>
      <c r="AY136" s="101"/>
      <c r="AZ136" s="103"/>
      <c r="BA136" s="103"/>
      <c r="BB136" s="103"/>
      <c r="BC136" s="101"/>
      <c r="BD136" s="101"/>
      <c r="BE136" s="101"/>
      <c r="BF136" s="101"/>
      <c r="BG136" s="101"/>
      <c r="BK136" s="101"/>
      <c r="BL136" s="101"/>
      <c r="BM136" s="101"/>
      <c r="BN136" s="101"/>
      <c r="BO136" s="101"/>
      <c r="BP136" s="101"/>
      <c r="BQ136" s="101"/>
      <c r="BR136" s="104"/>
      <c r="BS136" s="104"/>
      <c r="BT136" s="104"/>
      <c r="BU136" s="104"/>
      <c r="BV136" s="104"/>
      <c r="BW136" s="104"/>
      <c r="BX136" s="104"/>
      <c r="BY136" s="104"/>
      <c r="BZ136" s="104"/>
      <c r="CA136" s="104"/>
      <c r="CB136" s="104"/>
      <c r="CC136" s="104"/>
      <c r="CD136" s="104"/>
      <c r="CE136" s="104"/>
      <c r="CF136" s="104"/>
      <c r="CG136" s="104"/>
      <c r="CH136" s="104"/>
      <c r="CI136" s="104"/>
      <c r="CJ136" s="104"/>
      <c r="CK136" s="104"/>
      <c r="CL136" s="104"/>
      <c r="CM136" s="104"/>
      <c r="CN136" s="98"/>
      <c r="CP136" s="101"/>
      <c r="CQ136" s="101"/>
      <c r="CR136" s="101"/>
      <c r="CS136" s="101"/>
      <c r="CT136" s="101"/>
      <c r="FJ136" s="103"/>
      <c r="FL136" s="103"/>
      <c r="FN136" s="103"/>
      <c r="FP136" s="103"/>
    </row>
    <row r="137" spans="2:172" x14ac:dyDescent="0.35">
      <c r="B137" s="97"/>
      <c r="G137" s="100"/>
      <c r="K137" s="98"/>
      <c r="L137" s="101"/>
      <c r="M137" s="101"/>
      <c r="N137" s="101"/>
      <c r="O137" s="101"/>
      <c r="P137" s="102"/>
      <c r="Q137" s="101"/>
      <c r="R137" s="98"/>
      <c r="S137" s="98"/>
      <c r="T137" s="98"/>
      <c r="U137" s="98"/>
      <c r="V137" s="98"/>
      <c r="W137" s="98"/>
      <c r="X137" s="103"/>
      <c r="Y137" s="103"/>
      <c r="Z137" s="103"/>
      <c r="AA137" s="103"/>
      <c r="AB137" s="103"/>
      <c r="AC137" s="103"/>
      <c r="AD137" s="103"/>
      <c r="AE137" s="101"/>
      <c r="AF137" s="101"/>
      <c r="AG137" s="101"/>
      <c r="AH137" s="101"/>
      <c r="AI137" s="101"/>
      <c r="AJ137" s="101"/>
      <c r="AK137" s="101"/>
      <c r="AL137" s="103"/>
      <c r="AM137" s="103"/>
      <c r="AN137" s="103"/>
      <c r="AO137" s="103"/>
      <c r="AP137" s="103"/>
      <c r="AQ137" s="103"/>
      <c r="AR137" s="103"/>
      <c r="AS137" s="101"/>
      <c r="AT137" s="101"/>
      <c r="AU137" s="101"/>
      <c r="AV137" s="101"/>
      <c r="AW137" s="101"/>
      <c r="AX137" s="101"/>
      <c r="AY137" s="101"/>
      <c r="AZ137" s="103"/>
      <c r="BA137" s="103"/>
      <c r="BB137" s="103"/>
      <c r="BC137" s="101"/>
      <c r="BD137" s="101"/>
      <c r="BE137" s="101"/>
      <c r="BF137" s="101"/>
      <c r="BG137" s="101"/>
      <c r="BK137" s="101"/>
      <c r="BL137" s="101"/>
      <c r="BM137" s="101"/>
      <c r="BN137" s="101"/>
      <c r="BO137" s="101"/>
      <c r="BP137" s="101"/>
      <c r="BQ137" s="101"/>
      <c r="BR137" s="104"/>
      <c r="BS137" s="104"/>
      <c r="BT137" s="104"/>
      <c r="BU137" s="104"/>
      <c r="BV137" s="104"/>
      <c r="BW137" s="104"/>
      <c r="BX137" s="104"/>
      <c r="BY137" s="104"/>
      <c r="BZ137" s="104"/>
      <c r="CA137" s="104"/>
      <c r="CB137" s="104"/>
      <c r="CC137" s="104"/>
      <c r="CD137" s="104"/>
      <c r="CE137" s="104"/>
      <c r="CF137" s="104"/>
      <c r="CG137" s="104"/>
      <c r="CH137" s="104"/>
      <c r="CI137" s="104"/>
      <c r="CJ137" s="104"/>
      <c r="CK137" s="104"/>
      <c r="CL137" s="104"/>
      <c r="CM137" s="104"/>
      <c r="CN137" s="98"/>
      <c r="CP137" s="101"/>
      <c r="CQ137" s="101"/>
      <c r="CR137" s="101"/>
      <c r="CS137" s="101"/>
      <c r="CT137" s="101"/>
      <c r="FJ137" s="103"/>
      <c r="FL137" s="103"/>
      <c r="FN137" s="103"/>
      <c r="FP137" s="103"/>
    </row>
    <row r="138" spans="2:172" x14ac:dyDescent="0.35">
      <c r="B138" s="97"/>
      <c r="G138" s="100"/>
      <c r="K138" s="98"/>
      <c r="L138" s="101"/>
      <c r="M138" s="101"/>
      <c r="N138" s="101"/>
      <c r="O138" s="101"/>
      <c r="P138" s="102"/>
      <c r="Q138" s="101"/>
      <c r="R138" s="98"/>
      <c r="S138" s="98"/>
      <c r="T138" s="98"/>
      <c r="U138" s="98"/>
      <c r="V138" s="98"/>
      <c r="W138" s="98"/>
      <c r="X138" s="103"/>
      <c r="Y138" s="103"/>
      <c r="Z138" s="103"/>
      <c r="AA138" s="103"/>
      <c r="AB138" s="103"/>
      <c r="AC138" s="103"/>
      <c r="AD138" s="103"/>
      <c r="AE138" s="101"/>
      <c r="AF138" s="101"/>
      <c r="AG138" s="101"/>
      <c r="AH138" s="101"/>
      <c r="AI138" s="101"/>
      <c r="AJ138" s="101"/>
      <c r="AK138" s="101"/>
      <c r="AL138" s="103"/>
      <c r="AM138" s="103"/>
      <c r="AN138" s="103"/>
      <c r="AO138" s="103"/>
      <c r="AP138" s="103"/>
      <c r="AQ138" s="103"/>
      <c r="AR138" s="103"/>
      <c r="AS138" s="101"/>
      <c r="AT138" s="101"/>
      <c r="AU138" s="101"/>
      <c r="AV138" s="101"/>
      <c r="AW138" s="101"/>
      <c r="AX138" s="101"/>
      <c r="AY138" s="101"/>
      <c r="AZ138" s="103"/>
      <c r="BA138" s="103"/>
      <c r="BB138" s="103"/>
      <c r="BC138" s="101"/>
      <c r="BD138" s="101"/>
      <c r="BE138" s="101"/>
      <c r="BF138" s="101"/>
      <c r="BG138" s="101"/>
      <c r="BK138" s="101"/>
      <c r="BL138" s="101"/>
      <c r="BM138" s="101"/>
      <c r="BN138" s="101"/>
      <c r="BO138" s="101"/>
      <c r="BP138" s="101"/>
      <c r="BQ138" s="101"/>
      <c r="BR138" s="104"/>
      <c r="BS138" s="104"/>
      <c r="BT138" s="104"/>
      <c r="BU138" s="104"/>
      <c r="BV138" s="104"/>
      <c r="BW138" s="104"/>
      <c r="BX138" s="104"/>
      <c r="BY138" s="104"/>
      <c r="BZ138" s="104"/>
      <c r="CA138" s="104"/>
      <c r="CB138" s="104"/>
      <c r="CC138" s="104"/>
      <c r="CD138" s="104"/>
      <c r="CE138" s="104"/>
      <c r="CF138" s="104"/>
      <c r="CG138" s="104"/>
      <c r="CH138" s="104"/>
      <c r="CI138" s="104"/>
      <c r="CJ138" s="104"/>
      <c r="CK138" s="104"/>
      <c r="CL138" s="104"/>
      <c r="CM138" s="104"/>
      <c r="CN138" s="98"/>
      <c r="CP138" s="101"/>
      <c r="CQ138" s="101"/>
      <c r="CR138" s="101"/>
      <c r="CS138" s="101"/>
      <c r="CT138" s="101"/>
      <c r="FJ138" s="103"/>
      <c r="FL138" s="103"/>
      <c r="FN138" s="103"/>
      <c r="FP138" s="103"/>
    </row>
    <row r="139" spans="2:172" x14ac:dyDescent="0.35">
      <c r="B139" s="97"/>
      <c r="G139" s="100"/>
      <c r="K139" s="98"/>
      <c r="L139" s="101"/>
      <c r="M139" s="101"/>
      <c r="N139" s="101"/>
      <c r="O139" s="101"/>
      <c r="P139" s="102"/>
      <c r="Q139" s="101"/>
      <c r="R139" s="98"/>
      <c r="S139" s="98"/>
      <c r="T139" s="98"/>
      <c r="U139" s="98"/>
      <c r="V139" s="98"/>
      <c r="W139" s="98"/>
      <c r="X139" s="103"/>
      <c r="Y139" s="103"/>
      <c r="Z139" s="103"/>
      <c r="AA139" s="103"/>
      <c r="AB139" s="103"/>
      <c r="AC139" s="103"/>
      <c r="AD139" s="103"/>
      <c r="AE139" s="101"/>
      <c r="AF139" s="101"/>
      <c r="AG139" s="101"/>
      <c r="AH139" s="101"/>
      <c r="AI139" s="101"/>
      <c r="AJ139" s="101"/>
      <c r="AK139" s="101"/>
      <c r="AL139" s="103"/>
      <c r="AM139" s="103"/>
      <c r="AN139" s="103"/>
      <c r="AO139" s="103"/>
      <c r="AP139" s="103"/>
      <c r="AQ139" s="103"/>
      <c r="AR139" s="103"/>
      <c r="AS139" s="101"/>
      <c r="AT139" s="101"/>
      <c r="AU139" s="101"/>
      <c r="AV139" s="101"/>
      <c r="AW139" s="101"/>
      <c r="AX139" s="101"/>
      <c r="AY139" s="101"/>
      <c r="AZ139" s="103"/>
      <c r="BA139" s="103"/>
      <c r="BB139" s="103"/>
      <c r="BC139" s="101"/>
      <c r="BD139" s="101"/>
      <c r="BE139" s="101"/>
      <c r="BF139" s="101"/>
      <c r="BG139" s="101"/>
      <c r="BK139" s="101"/>
      <c r="BL139" s="101"/>
      <c r="BM139" s="101"/>
      <c r="BN139" s="101"/>
      <c r="BO139" s="101"/>
      <c r="BP139" s="101"/>
      <c r="BQ139" s="101"/>
      <c r="BR139" s="104"/>
      <c r="BS139" s="104"/>
      <c r="BT139" s="104"/>
      <c r="BU139" s="104"/>
      <c r="BV139" s="104"/>
      <c r="BW139" s="104"/>
      <c r="BX139" s="104"/>
      <c r="BY139" s="104"/>
      <c r="BZ139" s="104"/>
      <c r="CA139" s="104"/>
      <c r="CB139" s="104"/>
      <c r="CC139" s="104"/>
      <c r="CD139" s="104"/>
      <c r="CE139" s="104"/>
      <c r="CF139" s="104"/>
      <c r="CG139" s="104"/>
      <c r="CH139" s="104"/>
      <c r="CI139" s="104"/>
      <c r="CJ139" s="104"/>
      <c r="CK139" s="104"/>
      <c r="CL139" s="104"/>
      <c r="CM139" s="104"/>
      <c r="CN139" s="98"/>
      <c r="CP139" s="101"/>
      <c r="CQ139" s="101"/>
      <c r="CR139" s="101"/>
      <c r="CS139" s="101"/>
      <c r="CT139" s="101"/>
      <c r="FJ139" s="103"/>
      <c r="FL139" s="103"/>
      <c r="FN139" s="103"/>
      <c r="FP139" s="103"/>
    </row>
    <row r="140" spans="2:172" x14ac:dyDescent="0.35">
      <c r="B140" s="97"/>
      <c r="G140" s="100"/>
      <c r="K140" s="98"/>
      <c r="L140" s="101"/>
      <c r="M140" s="101"/>
      <c r="N140" s="101"/>
      <c r="O140" s="101"/>
      <c r="P140" s="102"/>
      <c r="Q140" s="101"/>
      <c r="R140" s="98"/>
      <c r="S140" s="98"/>
      <c r="T140" s="98"/>
      <c r="U140" s="98"/>
      <c r="V140" s="98"/>
      <c r="W140" s="98"/>
      <c r="X140" s="103"/>
      <c r="Y140" s="103"/>
      <c r="Z140" s="103"/>
      <c r="AA140" s="103"/>
      <c r="AB140" s="103"/>
      <c r="AC140" s="103"/>
      <c r="AD140" s="103"/>
      <c r="AE140" s="101"/>
      <c r="AF140" s="101"/>
      <c r="AG140" s="101"/>
      <c r="AH140" s="101"/>
      <c r="AI140" s="101"/>
      <c r="AJ140" s="101"/>
      <c r="AK140" s="101"/>
      <c r="AL140" s="103"/>
      <c r="AM140" s="103"/>
      <c r="AN140" s="103"/>
      <c r="AO140" s="103"/>
      <c r="AP140" s="103"/>
      <c r="AQ140" s="103"/>
      <c r="AR140" s="103"/>
      <c r="AS140" s="101"/>
      <c r="AT140" s="101"/>
      <c r="AU140" s="101"/>
      <c r="AV140" s="101"/>
      <c r="AW140" s="101"/>
      <c r="AX140" s="101"/>
      <c r="AY140" s="101"/>
      <c r="AZ140" s="103"/>
      <c r="BA140" s="103"/>
      <c r="BB140" s="103"/>
      <c r="BC140" s="101"/>
      <c r="BD140" s="101"/>
      <c r="BE140" s="101"/>
      <c r="BF140" s="101"/>
      <c r="BG140" s="101"/>
      <c r="BK140" s="101"/>
      <c r="BL140" s="101"/>
      <c r="BM140" s="101"/>
      <c r="BN140" s="101"/>
      <c r="BO140" s="101"/>
      <c r="BP140" s="101"/>
      <c r="BQ140" s="101"/>
      <c r="BR140" s="104"/>
      <c r="BS140" s="104"/>
      <c r="BT140" s="104"/>
      <c r="BU140" s="104"/>
      <c r="BV140" s="104"/>
      <c r="BW140" s="104"/>
      <c r="BX140" s="104"/>
      <c r="BY140" s="104"/>
      <c r="BZ140" s="104"/>
      <c r="CA140" s="104"/>
      <c r="CB140" s="104"/>
      <c r="CC140" s="104"/>
      <c r="CD140" s="104"/>
      <c r="CE140" s="104"/>
      <c r="CF140" s="104"/>
      <c r="CG140" s="104"/>
      <c r="CH140" s="104"/>
      <c r="CI140" s="104"/>
      <c r="CJ140" s="104"/>
      <c r="CK140" s="104"/>
      <c r="CL140" s="104"/>
      <c r="CM140" s="104"/>
      <c r="CN140" s="98"/>
      <c r="CP140" s="101"/>
      <c r="CQ140" s="101"/>
      <c r="CR140" s="101"/>
      <c r="CS140" s="101"/>
      <c r="CT140" s="101"/>
      <c r="FJ140" s="103"/>
      <c r="FL140" s="103"/>
      <c r="FN140" s="103"/>
      <c r="FP140" s="103"/>
    </row>
    <row r="141" spans="2:172" x14ac:dyDescent="0.35">
      <c r="B141" s="97"/>
      <c r="G141" s="100"/>
      <c r="K141" s="98"/>
      <c r="L141" s="101"/>
      <c r="M141" s="101"/>
      <c r="N141" s="101"/>
      <c r="O141" s="101"/>
      <c r="P141" s="102"/>
      <c r="Q141" s="101"/>
      <c r="R141" s="98"/>
      <c r="S141" s="98"/>
      <c r="T141" s="98"/>
      <c r="U141" s="98"/>
      <c r="V141" s="98"/>
      <c r="W141" s="98"/>
      <c r="X141" s="103"/>
      <c r="Y141" s="103"/>
      <c r="Z141" s="103"/>
      <c r="AA141" s="103"/>
      <c r="AB141" s="103"/>
      <c r="AC141" s="103"/>
      <c r="AD141" s="103"/>
      <c r="AE141" s="101"/>
      <c r="AF141" s="101"/>
      <c r="AG141" s="101"/>
      <c r="AH141" s="101"/>
      <c r="AI141" s="101"/>
      <c r="AJ141" s="101"/>
      <c r="AK141" s="101"/>
      <c r="AL141" s="103"/>
      <c r="AM141" s="103"/>
      <c r="AN141" s="103"/>
      <c r="AO141" s="103"/>
      <c r="AP141" s="103"/>
      <c r="AQ141" s="103"/>
      <c r="AR141" s="103"/>
      <c r="AS141" s="101"/>
      <c r="AT141" s="101"/>
      <c r="AU141" s="101"/>
      <c r="AV141" s="101"/>
      <c r="AW141" s="101"/>
      <c r="AX141" s="101"/>
      <c r="AY141" s="101"/>
      <c r="AZ141" s="103"/>
      <c r="BA141" s="103"/>
      <c r="BB141" s="103"/>
      <c r="BC141" s="101"/>
      <c r="BD141" s="101"/>
      <c r="BE141" s="101"/>
      <c r="BF141" s="101"/>
      <c r="BG141" s="101"/>
      <c r="BK141" s="101"/>
      <c r="BL141" s="101"/>
      <c r="BM141" s="101"/>
      <c r="BN141" s="101"/>
      <c r="BO141" s="101"/>
      <c r="BP141" s="101"/>
      <c r="BQ141" s="101"/>
      <c r="BR141" s="104"/>
      <c r="BS141" s="104"/>
      <c r="BT141" s="104"/>
      <c r="BU141" s="104"/>
      <c r="BV141" s="104"/>
      <c r="BW141" s="104"/>
      <c r="BX141" s="104"/>
      <c r="BY141" s="104"/>
      <c r="BZ141" s="104"/>
      <c r="CA141" s="104"/>
      <c r="CB141" s="104"/>
      <c r="CC141" s="104"/>
      <c r="CD141" s="104"/>
      <c r="CE141" s="104"/>
      <c r="CF141" s="104"/>
      <c r="CG141" s="104"/>
      <c r="CH141" s="104"/>
      <c r="CI141" s="104"/>
      <c r="CJ141" s="104"/>
      <c r="CK141" s="104"/>
      <c r="CL141" s="104"/>
      <c r="CM141" s="104"/>
      <c r="CN141" s="98"/>
      <c r="CP141" s="101"/>
      <c r="CQ141" s="101"/>
      <c r="CR141" s="101"/>
      <c r="CS141" s="101"/>
      <c r="CT141" s="101"/>
      <c r="FJ141" s="103"/>
      <c r="FL141" s="103"/>
      <c r="FN141" s="103"/>
      <c r="FP141" s="103"/>
    </row>
    <row r="142" spans="2:172" x14ac:dyDescent="0.35">
      <c r="B142" s="97"/>
      <c r="G142" s="100"/>
      <c r="K142" s="98"/>
      <c r="L142" s="101"/>
      <c r="M142" s="101"/>
      <c r="N142" s="101"/>
      <c r="O142" s="101"/>
      <c r="P142" s="102"/>
      <c r="Q142" s="101"/>
      <c r="R142" s="98"/>
      <c r="S142" s="98"/>
      <c r="T142" s="98"/>
      <c r="U142" s="98"/>
      <c r="V142" s="98"/>
      <c r="W142" s="98"/>
      <c r="X142" s="103"/>
      <c r="Y142" s="103"/>
      <c r="Z142" s="103"/>
      <c r="AA142" s="103"/>
      <c r="AB142" s="103"/>
      <c r="AC142" s="103"/>
      <c r="AD142" s="103"/>
      <c r="AE142" s="101"/>
      <c r="AF142" s="101"/>
      <c r="AG142" s="101"/>
      <c r="AH142" s="101"/>
      <c r="AI142" s="101"/>
      <c r="AJ142" s="101"/>
      <c r="AK142" s="101"/>
      <c r="AL142" s="103"/>
      <c r="AM142" s="103"/>
      <c r="AN142" s="103"/>
      <c r="AO142" s="103"/>
      <c r="AP142" s="103"/>
      <c r="AQ142" s="103"/>
      <c r="AR142" s="103"/>
      <c r="AS142" s="101"/>
      <c r="AT142" s="101"/>
      <c r="AU142" s="101"/>
      <c r="AV142" s="101"/>
      <c r="AW142" s="101"/>
      <c r="AX142" s="101"/>
      <c r="AY142" s="101"/>
      <c r="AZ142" s="103"/>
      <c r="BA142" s="103"/>
      <c r="BB142" s="103"/>
      <c r="BC142" s="101"/>
      <c r="BD142" s="101"/>
      <c r="BE142" s="101"/>
      <c r="BF142" s="101"/>
      <c r="BG142" s="101"/>
      <c r="BK142" s="101"/>
      <c r="BL142" s="101"/>
      <c r="BM142" s="101"/>
      <c r="BN142" s="101"/>
      <c r="BO142" s="101"/>
      <c r="BP142" s="101"/>
      <c r="BQ142" s="101"/>
      <c r="BR142" s="104"/>
      <c r="BS142" s="104"/>
      <c r="BT142" s="104"/>
      <c r="BU142" s="104"/>
      <c r="BV142" s="104"/>
      <c r="BW142" s="104"/>
      <c r="BX142" s="104"/>
      <c r="BY142" s="104"/>
      <c r="BZ142" s="104"/>
      <c r="CA142" s="104"/>
      <c r="CB142" s="104"/>
      <c r="CC142" s="104"/>
      <c r="CD142" s="104"/>
      <c r="CE142" s="104"/>
      <c r="CF142" s="104"/>
      <c r="CG142" s="104"/>
      <c r="CH142" s="104"/>
      <c r="CI142" s="104"/>
      <c r="CJ142" s="104"/>
      <c r="CK142" s="104"/>
      <c r="CL142" s="104"/>
      <c r="CM142" s="104"/>
      <c r="CN142" s="98"/>
      <c r="CP142" s="101"/>
      <c r="CQ142" s="101"/>
      <c r="CR142" s="101"/>
      <c r="CS142" s="101"/>
      <c r="CT142" s="101"/>
      <c r="FJ142" s="103"/>
      <c r="FL142" s="103"/>
      <c r="FN142" s="103"/>
      <c r="FP142" s="103"/>
    </row>
    <row r="143" spans="2:172" x14ac:dyDescent="0.35">
      <c r="B143" s="97"/>
      <c r="G143" s="100"/>
      <c r="K143" s="98"/>
      <c r="L143" s="101"/>
      <c r="M143" s="101"/>
      <c r="N143" s="101"/>
      <c r="O143" s="101"/>
      <c r="P143" s="102"/>
      <c r="Q143" s="101"/>
      <c r="R143" s="98"/>
      <c r="S143" s="98"/>
      <c r="T143" s="98"/>
      <c r="U143" s="98"/>
      <c r="V143" s="98"/>
      <c r="W143" s="98"/>
      <c r="X143" s="103"/>
      <c r="Y143" s="103"/>
      <c r="Z143" s="103"/>
      <c r="AA143" s="103"/>
      <c r="AB143" s="103"/>
      <c r="AC143" s="103"/>
      <c r="AD143" s="103"/>
      <c r="AE143" s="101"/>
      <c r="AF143" s="101"/>
      <c r="AG143" s="101"/>
      <c r="AH143" s="101"/>
      <c r="AI143" s="101"/>
      <c r="AJ143" s="101"/>
      <c r="AK143" s="101"/>
      <c r="AL143" s="103"/>
      <c r="AM143" s="103"/>
      <c r="AN143" s="103"/>
      <c r="AO143" s="103"/>
      <c r="AP143" s="103"/>
      <c r="AQ143" s="103"/>
      <c r="AR143" s="103"/>
      <c r="AS143" s="101"/>
      <c r="AT143" s="101"/>
      <c r="AU143" s="101"/>
      <c r="AV143" s="101"/>
      <c r="AW143" s="101"/>
      <c r="AX143" s="101"/>
      <c r="AY143" s="101"/>
      <c r="AZ143" s="103"/>
      <c r="BA143" s="103"/>
      <c r="BB143" s="103"/>
      <c r="BC143" s="101"/>
      <c r="BD143" s="101"/>
      <c r="BE143" s="101"/>
      <c r="BF143" s="101"/>
      <c r="BG143" s="101"/>
      <c r="BK143" s="101"/>
      <c r="BL143" s="101"/>
      <c r="BM143" s="101"/>
      <c r="BN143" s="101"/>
      <c r="BO143" s="101"/>
      <c r="BP143" s="101"/>
      <c r="BQ143" s="101"/>
      <c r="BR143" s="104"/>
      <c r="BS143" s="104"/>
      <c r="BT143" s="104"/>
      <c r="BU143" s="104"/>
      <c r="BV143" s="104"/>
      <c r="BW143" s="104"/>
      <c r="BX143" s="104"/>
      <c r="BY143" s="104"/>
      <c r="BZ143" s="104"/>
      <c r="CA143" s="104"/>
      <c r="CB143" s="104"/>
      <c r="CC143" s="104"/>
      <c r="CD143" s="104"/>
      <c r="CE143" s="104"/>
      <c r="CF143" s="104"/>
      <c r="CG143" s="104"/>
      <c r="CH143" s="104"/>
      <c r="CI143" s="104"/>
      <c r="CJ143" s="104"/>
      <c r="CK143" s="104"/>
      <c r="CL143" s="104"/>
      <c r="CM143" s="104"/>
      <c r="CN143" s="98"/>
      <c r="CP143" s="101"/>
      <c r="CQ143" s="101"/>
      <c r="CR143" s="101"/>
      <c r="CS143" s="101"/>
      <c r="CT143" s="101"/>
      <c r="FJ143" s="103"/>
      <c r="FL143" s="103"/>
      <c r="FN143" s="103"/>
      <c r="FP143" s="103"/>
    </row>
    <row r="144" spans="2:172" x14ac:dyDescent="0.35">
      <c r="B144" s="97"/>
      <c r="G144" s="100"/>
      <c r="K144" s="98"/>
      <c r="L144" s="101"/>
      <c r="M144" s="101"/>
      <c r="N144" s="101"/>
      <c r="O144" s="101"/>
      <c r="P144" s="102"/>
      <c r="Q144" s="101"/>
      <c r="R144" s="98"/>
      <c r="S144" s="98"/>
      <c r="T144" s="98"/>
      <c r="U144" s="98"/>
      <c r="V144" s="98"/>
      <c r="W144" s="98"/>
      <c r="X144" s="103"/>
      <c r="Y144" s="103"/>
      <c r="Z144" s="103"/>
      <c r="AA144" s="103"/>
      <c r="AB144" s="103"/>
      <c r="AC144" s="103"/>
      <c r="AD144" s="103"/>
      <c r="AE144" s="101"/>
      <c r="AF144" s="101"/>
      <c r="AG144" s="101"/>
      <c r="AH144" s="101"/>
      <c r="AI144" s="101"/>
      <c r="AJ144" s="101"/>
      <c r="AK144" s="101"/>
      <c r="AL144" s="103"/>
      <c r="AM144" s="103"/>
      <c r="AN144" s="103"/>
      <c r="AO144" s="103"/>
      <c r="AP144" s="103"/>
      <c r="AQ144" s="103"/>
      <c r="AR144" s="103"/>
      <c r="AS144" s="101"/>
      <c r="AT144" s="101"/>
      <c r="AU144" s="101"/>
      <c r="AV144" s="101"/>
      <c r="AW144" s="101"/>
      <c r="AX144" s="101"/>
      <c r="AY144" s="101"/>
      <c r="AZ144" s="103"/>
      <c r="BA144" s="103"/>
      <c r="BB144" s="103"/>
      <c r="BC144" s="101"/>
      <c r="BD144" s="101"/>
      <c r="BE144" s="101"/>
      <c r="BF144" s="101"/>
      <c r="BG144" s="101"/>
      <c r="BK144" s="101"/>
      <c r="BL144" s="101"/>
      <c r="BM144" s="101"/>
      <c r="BN144" s="101"/>
      <c r="BO144" s="101"/>
      <c r="BP144" s="101"/>
      <c r="BQ144" s="101"/>
      <c r="BR144" s="104"/>
      <c r="BS144" s="104"/>
      <c r="BT144" s="104"/>
      <c r="BU144" s="104"/>
      <c r="BV144" s="104"/>
      <c r="BW144" s="104"/>
      <c r="BX144" s="104"/>
      <c r="BY144" s="104"/>
      <c r="BZ144" s="104"/>
      <c r="CA144" s="104"/>
      <c r="CB144" s="104"/>
      <c r="CC144" s="104"/>
      <c r="CD144" s="104"/>
      <c r="CE144" s="104"/>
      <c r="CF144" s="104"/>
      <c r="CG144" s="104"/>
      <c r="CH144" s="104"/>
      <c r="CI144" s="104"/>
      <c r="CJ144" s="104"/>
      <c r="CK144" s="104"/>
      <c r="CL144" s="104"/>
      <c r="CM144" s="104"/>
      <c r="CN144" s="98"/>
      <c r="CP144" s="101"/>
      <c r="CQ144" s="101"/>
      <c r="CR144" s="101"/>
      <c r="CS144" s="101"/>
      <c r="CT144" s="101"/>
      <c r="FJ144" s="103"/>
      <c r="FL144" s="103"/>
      <c r="FN144" s="103"/>
      <c r="FP144" s="103"/>
    </row>
    <row r="145" spans="2:172" x14ac:dyDescent="0.35">
      <c r="B145" s="97"/>
      <c r="G145" s="100"/>
      <c r="K145" s="98"/>
      <c r="L145" s="101"/>
      <c r="M145" s="101"/>
      <c r="N145" s="101"/>
      <c r="O145" s="101"/>
      <c r="P145" s="102"/>
      <c r="Q145" s="101"/>
      <c r="R145" s="98"/>
      <c r="S145" s="98"/>
      <c r="T145" s="98"/>
      <c r="U145" s="98"/>
      <c r="V145" s="98"/>
      <c r="W145" s="98"/>
      <c r="X145" s="103"/>
      <c r="Y145" s="103"/>
      <c r="Z145" s="103"/>
      <c r="AA145" s="103"/>
      <c r="AB145" s="103"/>
      <c r="AC145" s="103"/>
      <c r="AD145" s="103"/>
      <c r="AE145" s="101"/>
      <c r="AF145" s="101"/>
      <c r="AG145" s="101"/>
      <c r="AH145" s="101"/>
      <c r="AI145" s="101"/>
      <c r="AJ145" s="101"/>
      <c r="AK145" s="101"/>
      <c r="AL145" s="103"/>
      <c r="AM145" s="103"/>
      <c r="AN145" s="103"/>
      <c r="AO145" s="103"/>
      <c r="AP145" s="103"/>
      <c r="AQ145" s="103"/>
      <c r="AR145" s="103"/>
      <c r="AS145" s="101"/>
      <c r="AT145" s="101"/>
      <c r="AU145" s="101"/>
      <c r="AV145" s="101"/>
      <c r="AW145" s="101"/>
      <c r="AX145" s="101"/>
      <c r="AY145" s="101"/>
      <c r="AZ145" s="103"/>
      <c r="BA145" s="103"/>
      <c r="BB145" s="103"/>
      <c r="BC145" s="101"/>
      <c r="BD145" s="101"/>
      <c r="BE145" s="101"/>
      <c r="BF145" s="101"/>
      <c r="BG145" s="101"/>
      <c r="BK145" s="101"/>
      <c r="BL145" s="101"/>
      <c r="BM145" s="101"/>
      <c r="BN145" s="101"/>
      <c r="BO145" s="101"/>
      <c r="BP145" s="101"/>
      <c r="BQ145" s="101"/>
      <c r="BR145" s="104"/>
      <c r="BS145" s="104"/>
      <c r="BT145" s="104"/>
      <c r="BU145" s="104"/>
      <c r="BV145" s="104"/>
      <c r="BW145" s="104"/>
      <c r="BX145" s="104"/>
      <c r="BY145" s="104"/>
      <c r="BZ145" s="104"/>
      <c r="CA145" s="104"/>
      <c r="CB145" s="104"/>
      <c r="CC145" s="104"/>
      <c r="CD145" s="104"/>
      <c r="CE145" s="104"/>
      <c r="CF145" s="104"/>
      <c r="CG145" s="104"/>
      <c r="CH145" s="104"/>
      <c r="CI145" s="104"/>
      <c r="CJ145" s="104"/>
      <c r="CK145" s="104"/>
      <c r="CL145" s="104"/>
      <c r="CM145" s="104"/>
      <c r="CN145" s="98"/>
      <c r="CP145" s="101"/>
      <c r="CQ145" s="101"/>
      <c r="CR145" s="101"/>
      <c r="CS145" s="101"/>
      <c r="CT145" s="101"/>
      <c r="FJ145" s="103"/>
      <c r="FL145" s="103"/>
      <c r="FN145" s="103"/>
      <c r="FP145" s="103"/>
    </row>
    <row r="146" spans="2:172" x14ac:dyDescent="0.35">
      <c r="B146" s="97"/>
      <c r="G146" s="100"/>
      <c r="K146" s="98"/>
      <c r="L146" s="101"/>
      <c r="M146" s="101"/>
      <c r="N146" s="101"/>
      <c r="O146" s="101"/>
      <c r="P146" s="102"/>
      <c r="Q146" s="101"/>
      <c r="R146" s="98"/>
      <c r="S146" s="98"/>
      <c r="T146" s="98"/>
      <c r="U146" s="98"/>
      <c r="V146" s="98"/>
      <c r="W146" s="98"/>
      <c r="X146" s="103"/>
      <c r="Y146" s="103"/>
      <c r="Z146" s="103"/>
      <c r="AA146" s="103"/>
      <c r="AB146" s="103"/>
      <c r="AC146" s="103"/>
      <c r="AD146" s="103"/>
      <c r="AE146" s="101"/>
      <c r="AF146" s="101"/>
      <c r="AG146" s="101"/>
      <c r="AH146" s="101"/>
      <c r="AI146" s="101"/>
      <c r="AJ146" s="101"/>
      <c r="AK146" s="101"/>
      <c r="AL146" s="103"/>
      <c r="AM146" s="103"/>
      <c r="AN146" s="103"/>
      <c r="AO146" s="103"/>
      <c r="AP146" s="103"/>
      <c r="AQ146" s="103"/>
      <c r="AR146" s="103"/>
      <c r="AS146" s="101"/>
      <c r="AT146" s="101"/>
      <c r="AU146" s="101"/>
      <c r="AV146" s="101"/>
      <c r="AW146" s="101"/>
      <c r="AX146" s="101"/>
      <c r="AY146" s="101"/>
      <c r="AZ146" s="103"/>
      <c r="BA146" s="103"/>
      <c r="BB146" s="103"/>
      <c r="BC146" s="101"/>
      <c r="BD146" s="101"/>
      <c r="BE146" s="101"/>
      <c r="BF146" s="101"/>
      <c r="BG146" s="101"/>
      <c r="BK146" s="101"/>
      <c r="BL146" s="101"/>
      <c r="BM146" s="101"/>
      <c r="BN146" s="101"/>
      <c r="BO146" s="101"/>
      <c r="BP146" s="101"/>
      <c r="BQ146" s="101"/>
      <c r="BR146" s="104"/>
      <c r="BS146" s="104"/>
      <c r="BT146" s="104"/>
      <c r="BU146" s="104"/>
      <c r="BV146" s="104"/>
      <c r="BW146" s="104"/>
      <c r="BX146" s="104"/>
      <c r="BY146" s="104"/>
      <c r="BZ146" s="104"/>
      <c r="CA146" s="104"/>
      <c r="CB146" s="104"/>
      <c r="CC146" s="104"/>
      <c r="CD146" s="104"/>
      <c r="CE146" s="104"/>
      <c r="CF146" s="104"/>
      <c r="CG146" s="104"/>
      <c r="CH146" s="104"/>
      <c r="CI146" s="104"/>
      <c r="CJ146" s="104"/>
      <c r="CK146" s="104"/>
      <c r="CL146" s="104"/>
      <c r="CM146" s="104"/>
      <c r="CN146" s="98"/>
      <c r="CP146" s="101"/>
      <c r="CQ146" s="101"/>
      <c r="CR146" s="101"/>
      <c r="CS146" s="101"/>
      <c r="CT146" s="101"/>
      <c r="FJ146" s="103"/>
      <c r="FL146" s="103"/>
      <c r="FN146" s="103"/>
      <c r="FP146" s="103"/>
    </row>
    <row r="147" spans="2:172" x14ac:dyDescent="0.35">
      <c r="B147" s="97"/>
      <c r="G147" s="100"/>
      <c r="K147" s="98"/>
      <c r="L147" s="101"/>
      <c r="M147" s="101"/>
      <c r="N147" s="101"/>
      <c r="O147" s="101"/>
      <c r="P147" s="102"/>
      <c r="Q147" s="101"/>
      <c r="R147" s="98"/>
      <c r="S147" s="98"/>
      <c r="T147" s="98"/>
      <c r="U147" s="98"/>
      <c r="V147" s="98"/>
      <c r="W147" s="98"/>
      <c r="X147" s="103"/>
      <c r="Y147" s="103"/>
      <c r="Z147" s="103"/>
      <c r="AA147" s="103"/>
      <c r="AB147" s="103"/>
      <c r="AC147" s="103"/>
      <c r="AD147" s="103"/>
      <c r="AE147" s="101"/>
      <c r="AF147" s="101"/>
      <c r="AG147" s="101"/>
      <c r="AH147" s="101"/>
      <c r="AI147" s="101"/>
      <c r="AJ147" s="101"/>
      <c r="AK147" s="101"/>
      <c r="AL147" s="103"/>
      <c r="AM147" s="103"/>
      <c r="AN147" s="103"/>
      <c r="AO147" s="103"/>
      <c r="AP147" s="103"/>
      <c r="AQ147" s="103"/>
      <c r="AR147" s="103"/>
      <c r="AS147" s="101"/>
      <c r="AT147" s="101"/>
      <c r="AU147" s="101"/>
      <c r="AV147" s="101"/>
      <c r="AW147" s="101"/>
      <c r="AX147" s="101"/>
      <c r="AY147" s="101"/>
      <c r="AZ147" s="103"/>
      <c r="BA147" s="103"/>
      <c r="BB147" s="103"/>
      <c r="BC147" s="101"/>
      <c r="BD147" s="101"/>
      <c r="BE147" s="101"/>
      <c r="BF147" s="101"/>
      <c r="BG147" s="101"/>
      <c r="BK147" s="101"/>
      <c r="BL147" s="101"/>
      <c r="BM147" s="101"/>
      <c r="BN147" s="101"/>
      <c r="BO147" s="101"/>
      <c r="BP147" s="101"/>
      <c r="BQ147" s="101"/>
      <c r="BR147" s="104"/>
      <c r="BS147" s="104"/>
      <c r="BT147" s="104"/>
      <c r="BU147" s="104"/>
      <c r="BV147" s="104"/>
      <c r="BW147" s="104"/>
      <c r="BX147" s="104"/>
      <c r="BY147" s="104"/>
      <c r="BZ147" s="104"/>
      <c r="CA147" s="104"/>
      <c r="CB147" s="104"/>
      <c r="CC147" s="104"/>
      <c r="CD147" s="104"/>
      <c r="CE147" s="104"/>
      <c r="CF147" s="104"/>
      <c r="CG147" s="104"/>
      <c r="CH147" s="104"/>
      <c r="CI147" s="104"/>
      <c r="CJ147" s="104"/>
      <c r="CK147" s="104"/>
      <c r="CL147" s="104"/>
      <c r="CM147" s="104"/>
      <c r="CN147" s="98"/>
      <c r="CP147" s="101"/>
      <c r="CQ147" s="101"/>
      <c r="CR147" s="101"/>
      <c r="CS147" s="101"/>
      <c r="CT147" s="101"/>
      <c r="FJ147" s="103"/>
      <c r="FL147" s="103"/>
      <c r="FN147" s="103"/>
      <c r="FP147" s="103"/>
    </row>
    <row r="148" spans="2:172" x14ac:dyDescent="0.35">
      <c r="B148" s="97"/>
      <c r="G148" s="100"/>
      <c r="K148" s="98"/>
      <c r="L148" s="101"/>
      <c r="M148" s="101"/>
      <c r="N148" s="101"/>
      <c r="O148" s="101"/>
      <c r="P148" s="102"/>
      <c r="Q148" s="101"/>
      <c r="R148" s="98"/>
      <c r="S148" s="98"/>
      <c r="T148" s="98"/>
      <c r="U148" s="98"/>
      <c r="V148" s="98"/>
      <c r="W148" s="98"/>
      <c r="X148" s="103"/>
      <c r="Y148" s="103"/>
      <c r="Z148" s="103"/>
      <c r="AA148" s="103"/>
      <c r="AB148" s="103"/>
      <c r="AC148" s="103"/>
      <c r="AD148" s="103"/>
      <c r="AE148" s="101"/>
      <c r="AF148" s="101"/>
      <c r="AG148" s="101"/>
      <c r="AH148" s="101"/>
      <c r="AI148" s="101"/>
      <c r="AJ148" s="101"/>
      <c r="AK148" s="101"/>
      <c r="AL148" s="103"/>
      <c r="AM148" s="103"/>
      <c r="AN148" s="103"/>
      <c r="AO148" s="103"/>
      <c r="AP148" s="103"/>
      <c r="AQ148" s="103"/>
      <c r="AR148" s="103"/>
      <c r="AS148" s="101"/>
      <c r="AT148" s="101"/>
      <c r="AU148" s="101"/>
      <c r="AV148" s="101"/>
      <c r="AW148" s="101"/>
      <c r="AX148" s="101"/>
      <c r="AY148" s="101"/>
      <c r="AZ148" s="103"/>
      <c r="BA148" s="103"/>
      <c r="BB148" s="103"/>
      <c r="BC148" s="101"/>
      <c r="BD148" s="101"/>
      <c r="BE148" s="101"/>
      <c r="BF148" s="101"/>
      <c r="BG148" s="101"/>
      <c r="BK148" s="101"/>
      <c r="BL148" s="101"/>
      <c r="BM148" s="101"/>
      <c r="BN148" s="101"/>
      <c r="BO148" s="101"/>
      <c r="BP148" s="101"/>
      <c r="BQ148" s="101"/>
      <c r="BR148" s="104"/>
      <c r="BS148" s="104"/>
      <c r="BT148" s="104"/>
      <c r="BU148" s="104"/>
      <c r="BV148" s="104"/>
      <c r="BW148" s="104"/>
      <c r="BX148" s="104"/>
      <c r="BY148" s="104"/>
      <c r="BZ148" s="104"/>
      <c r="CA148" s="104"/>
      <c r="CB148" s="104"/>
      <c r="CC148" s="104"/>
      <c r="CD148" s="104"/>
      <c r="CE148" s="104"/>
      <c r="CF148" s="104"/>
      <c r="CG148" s="104"/>
      <c r="CH148" s="104"/>
      <c r="CI148" s="104"/>
      <c r="CJ148" s="104"/>
      <c r="CK148" s="104"/>
      <c r="CL148" s="104"/>
      <c r="CM148" s="104"/>
      <c r="CN148" s="98"/>
      <c r="CP148" s="101"/>
      <c r="CQ148" s="101"/>
      <c r="CR148" s="101"/>
      <c r="CS148" s="101"/>
      <c r="CT148" s="101"/>
      <c r="FJ148" s="103"/>
      <c r="FL148" s="103"/>
      <c r="FN148" s="103"/>
      <c r="FP148" s="103"/>
    </row>
    <row r="149" spans="2:172" x14ac:dyDescent="0.35">
      <c r="B149" s="97"/>
      <c r="G149" s="100"/>
      <c r="K149" s="98"/>
      <c r="L149" s="101"/>
      <c r="M149" s="101"/>
      <c r="N149" s="101"/>
      <c r="O149" s="101"/>
      <c r="P149" s="102"/>
      <c r="Q149" s="101"/>
      <c r="R149" s="98"/>
      <c r="S149" s="98"/>
      <c r="T149" s="98"/>
      <c r="U149" s="98"/>
      <c r="V149" s="98"/>
      <c r="W149" s="98"/>
      <c r="X149" s="103"/>
      <c r="Y149" s="103"/>
      <c r="Z149" s="103"/>
      <c r="AA149" s="103"/>
      <c r="AB149" s="103"/>
      <c r="AC149" s="103"/>
      <c r="AD149" s="103"/>
      <c r="AE149" s="101"/>
      <c r="AF149" s="101"/>
      <c r="AG149" s="101"/>
      <c r="AH149" s="101"/>
      <c r="AI149" s="101"/>
      <c r="AJ149" s="101"/>
      <c r="AK149" s="101"/>
      <c r="AL149" s="103"/>
      <c r="AM149" s="103"/>
      <c r="AN149" s="103"/>
      <c r="AO149" s="103"/>
      <c r="AP149" s="103"/>
      <c r="AQ149" s="103"/>
      <c r="AR149" s="103"/>
      <c r="AS149" s="101"/>
      <c r="AT149" s="101"/>
      <c r="AU149" s="101"/>
      <c r="AV149" s="101"/>
      <c r="AW149" s="101"/>
      <c r="AX149" s="101"/>
      <c r="AY149" s="101"/>
      <c r="AZ149" s="103"/>
      <c r="BA149" s="103"/>
      <c r="BB149" s="103"/>
      <c r="BC149" s="101"/>
      <c r="BD149" s="101"/>
      <c r="BE149" s="101"/>
      <c r="BF149" s="101"/>
      <c r="BG149" s="101"/>
      <c r="BK149" s="101"/>
      <c r="BL149" s="101"/>
      <c r="BM149" s="101"/>
      <c r="BN149" s="101"/>
      <c r="BO149" s="101"/>
      <c r="BP149" s="101"/>
      <c r="BQ149" s="101"/>
      <c r="BR149" s="104"/>
      <c r="BS149" s="104"/>
      <c r="BT149" s="104"/>
      <c r="BU149" s="104"/>
      <c r="BV149" s="104"/>
      <c r="BW149" s="104"/>
      <c r="BX149" s="104"/>
      <c r="BY149" s="104"/>
      <c r="BZ149" s="104"/>
      <c r="CA149" s="104"/>
      <c r="CB149" s="104"/>
      <c r="CC149" s="104"/>
      <c r="CD149" s="104"/>
      <c r="CE149" s="104"/>
      <c r="CF149" s="104"/>
      <c r="CG149" s="104"/>
      <c r="CH149" s="104"/>
      <c r="CI149" s="104"/>
      <c r="CJ149" s="104"/>
      <c r="CK149" s="104"/>
      <c r="CL149" s="104"/>
      <c r="CM149" s="104"/>
      <c r="CN149" s="98"/>
      <c r="CP149" s="101"/>
      <c r="CQ149" s="101"/>
      <c r="CR149" s="101"/>
      <c r="CS149" s="101"/>
      <c r="CT149" s="101"/>
      <c r="FJ149" s="103"/>
      <c r="FL149" s="103"/>
      <c r="FN149" s="103"/>
      <c r="FP149" s="103"/>
    </row>
    <row r="150" spans="2:172" x14ac:dyDescent="0.35">
      <c r="B150" s="97"/>
      <c r="G150" s="100"/>
      <c r="K150" s="98"/>
      <c r="L150" s="101"/>
      <c r="M150" s="101"/>
      <c r="N150" s="101"/>
      <c r="O150" s="101"/>
      <c r="P150" s="102"/>
      <c r="Q150" s="101"/>
      <c r="R150" s="98"/>
      <c r="S150" s="98"/>
      <c r="T150" s="98"/>
      <c r="U150" s="98"/>
      <c r="V150" s="98"/>
      <c r="W150" s="98"/>
      <c r="X150" s="103"/>
      <c r="Y150" s="103"/>
      <c r="Z150" s="103"/>
      <c r="AA150" s="103"/>
      <c r="AB150" s="103"/>
      <c r="AC150" s="103"/>
      <c r="AD150" s="103"/>
      <c r="AE150" s="101"/>
      <c r="AF150" s="101"/>
      <c r="AG150" s="101"/>
      <c r="AH150" s="101"/>
      <c r="AI150" s="101"/>
      <c r="AJ150" s="101"/>
      <c r="AK150" s="101"/>
      <c r="AL150" s="103"/>
      <c r="AM150" s="103"/>
      <c r="AN150" s="103"/>
      <c r="AO150" s="103"/>
      <c r="AP150" s="103"/>
      <c r="AQ150" s="103"/>
      <c r="AR150" s="103"/>
      <c r="AS150" s="101"/>
      <c r="AT150" s="101"/>
      <c r="AU150" s="101"/>
      <c r="AV150" s="101"/>
      <c r="AW150" s="101"/>
      <c r="AX150" s="101"/>
      <c r="AY150" s="101"/>
      <c r="AZ150" s="103"/>
      <c r="BA150" s="103"/>
      <c r="BB150" s="103"/>
      <c r="BC150" s="101"/>
      <c r="BD150" s="101"/>
      <c r="BE150" s="101"/>
      <c r="BF150" s="101"/>
      <c r="BG150" s="101"/>
      <c r="BK150" s="101"/>
      <c r="BL150" s="101"/>
      <c r="BM150" s="101"/>
      <c r="BN150" s="101"/>
      <c r="BO150" s="101"/>
      <c r="BP150" s="101"/>
      <c r="BQ150" s="101"/>
      <c r="BR150" s="104"/>
      <c r="BS150" s="104"/>
      <c r="BT150" s="104"/>
      <c r="BU150" s="104"/>
      <c r="BV150" s="104"/>
      <c r="BW150" s="104"/>
      <c r="BX150" s="104"/>
      <c r="BY150" s="104"/>
      <c r="BZ150" s="104"/>
      <c r="CA150" s="104"/>
      <c r="CB150" s="104"/>
      <c r="CC150" s="104"/>
      <c r="CD150" s="104"/>
      <c r="CE150" s="104"/>
      <c r="CF150" s="104"/>
      <c r="CG150" s="104"/>
      <c r="CH150" s="104"/>
      <c r="CI150" s="104"/>
      <c r="CJ150" s="104"/>
      <c r="CK150" s="104"/>
      <c r="CL150" s="104"/>
      <c r="CM150" s="104"/>
      <c r="CN150" s="98"/>
      <c r="CP150" s="101"/>
      <c r="CQ150" s="101"/>
      <c r="CR150" s="101"/>
      <c r="CS150" s="101"/>
      <c r="CT150" s="101"/>
      <c r="FJ150" s="103"/>
      <c r="FL150" s="103"/>
      <c r="FN150" s="103"/>
      <c r="FP150" s="103"/>
    </row>
    <row r="151" spans="2:172" x14ac:dyDescent="0.35">
      <c r="B151" s="97"/>
      <c r="G151" s="100"/>
      <c r="K151" s="98"/>
      <c r="L151" s="101"/>
      <c r="M151" s="101"/>
      <c r="N151" s="101"/>
      <c r="O151" s="101"/>
      <c r="P151" s="102"/>
      <c r="Q151" s="101"/>
      <c r="R151" s="98"/>
      <c r="S151" s="98"/>
      <c r="T151" s="98"/>
      <c r="U151" s="98"/>
      <c r="V151" s="98"/>
      <c r="W151" s="98"/>
      <c r="X151" s="103"/>
      <c r="Y151" s="103"/>
      <c r="Z151" s="103"/>
      <c r="AA151" s="103"/>
      <c r="AB151" s="103"/>
      <c r="AC151" s="103"/>
      <c r="AD151" s="103"/>
      <c r="AE151" s="101"/>
      <c r="AF151" s="101"/>
      <c r="AG151" s="101"/>
      <c r="AH151" s="101"/>
      <c r="AI151" s="101"/>
      <c r="AJ151" s="101"/>
      <c r="AK151" s="101"/>
      <c r="AL151" s="103"/>
      <c r="AM151" s="103"/>
      <c r="AN151" s="103"/>
      <c r="AO151" s="103"/>
      <c r="AP151" s="103"/>
      <c r="AQ151" s="103"/>
      <c r="AR151" s="103"/>
      <c r="AS151" s="101"/>
      <c r="AT151" s="101"/>
      <c r="AU151" s="101"/>
      <c r="AV151" s="101"/>
      <c r="AW151" s="101"/>
      <c r="AX151" s="101"/>
      <c r="AY151" s="101"/>
      <c r="AZ151" s="103"/>
      <c r="BA151" s="103"/>
      <c r="BB151" s="103"/>
      <c r="BC151" s="101"/>
      <c r="BD151" s="101"/>
      <c r="BE151" s="101"/>
      <c r="BF151" s="101"/>
      <c r="BG151" s="101"/>
      <c r="BK151" s="101"/>
      <c r="BL151" s="101"/>
      <c r="BM151" s="101"/>
      <c r="BN151" s="101"/>
      <c r="BO151" s="101"/>
      <c r="BP151" s="101"/>
      <c r="BQ151" s="101"/>
      <c r="BR151" s="104"/>
      <c r="BS151" s="104"/>
      <c r="BT151" s="104"/>
      <c r="BU151" s="104"/>
      <c r="BV151" s="104"/>
      <c r="BW151" s="104"/>
      <c r="BX151" s="104"/>
      <c r="BY151" s="104"/>
      <c r="BZ151" s="104"/>
      <c r="CA151" s="104"/>
      <c r="CB151" s="104"/>
      <c r="CC151" s="104"/>
      <c r="CD151" s="104"/>
      <c r="CE151" s="104"/>
      <c r="CF151" s="104"/>
      <c r="CG151" s="104"/>
      <c r="CH151" s="104"/>
      <c r="CI151" s="104"/>
      <c r="CJ151" s="104"/>
      <c r="CK151" s="104"/>
      <c r="CL151" s="104"/>
      <c r="CM151" s="104"/>
      <c r="CN151" s="98"/>
      <c r="CP151" s="101"/>
      <c r="CQ151" s="101"/>
      <c r="CR151" s="101"/>
      <c r="CS151" s="101"/>
      <c r="CT151" s="101"/>
      <c r="FJ151" s="103"/>
      <c r="FL151" s="103"/>
      <c r="FN151" s="103"/>
      <c r="FP151" s="103"/>
    </row>
    <row r="152" spans="2:172" x14ac:dyDescent="0.35">
      <c r="B152" s="97"/>
      <c r="G152" s="100"/>
      <c r="K152" s="98"/>
      <c r="L152" s="101"/>
      <c r="M152" s="101"/>
      <c r="N152" s="101"/>
      <c r="O152" s="101"/>
      <c r="P152" s="102"/>
      <c r="Q152" s="101"/>
      <c r="R152" s="98"/>
      <c r="S152" s="98"/>
      <c r="T152" s="98"/>
      <c r="U152" s="98"/>
      <c r="V152" s="98"/>
      <c r="W152" s="98"/>
      <c r="X152" s="103"/>
      <c r="Y152" s="103"/>
      <c r="Z152" s="103"/>
      <c r="AA152" s="103"/>
      <c r="AB152" s="103"/>
      <c r="AC152" s="103"/>
      <c r="AD152" s="103"/>
      <c r="AE152" s="101"/>
      <c r="AF152" s="101"/>
      <c r="AG152" s="101"/>
      <c r="AH152" s="101"/>
      <c r="AI152" s="101"/>
      <c r="AJ152" s="101"/>
      <c r="AK152" s="101"/>
      <c r="AL152" s="103"/>
      <c r="AM152" s="103"/>
      <c r="AN152" s="103"/>
      <c r="AO152" s="103"/>
      <c r="AP152" s="103"/>
      <c r="AQ152" s="103"/>
      <c r="AR152" s="103"/>
      <c r="AS152" s="101"/>
      <c r="AT152" s="101"/>
      <c r="AU152" s="101"/>
      <c r="AV152" s="101"/>
      <c r="AW152" s="101"/>
      <c r="AX152" s="101"/>
      <c r="AY152" s="101"/>
      <c r="AZ152" s="103"/>
      <c r="BA152" s="103"/>
      <c r="BB152" s="103"/>
      <c r="BC152" s="101"/>
      <c r="BD152" s="101"/>
      <c r="BE152" s="101"/>
      <c r="BF152" s="101"/>
      <c r="BG152" s="101"/>
      <c r="BK152" s="101"/>
      <c r="BL152" s="101"/>
      <c r="BM152" s="101"/>
      <c r="BN152" s="101"/>
      <c r="BO152" s="101"/>
      <c r="BP152" s="101"/>
      <c r="BQ152" s="101"/>
      <c r="BR152" s="104"/>
      <c r="BS152" s="104"/>
      <c r="BT152" s="104"/>
      <c r="BU152" s="104"/>
      <c r="BV152" s="104"/>
      <c r="BW152" s="104"/>
      <c r="BX152" s="104"/>
      <c r="BY152" s="104"/>
      <c r="BZ152" s="104"/>
      <c r="CA152" s="104"/>
      <c r="CB152" s="104"/>
      <c r="CC152" s="104"/>
      <c r="CD152" s="104"/>
      <c r="CE152" s="104"/>
      <c r="CF152" s="104"/>
      <c r="CG152" s="104"/>
      <c r="CH152" s="104"/>
      <c r="CI152" s="104"/>
      <c r="CJ152" s="104"/>
      <c r="CK152" s="104"/>
      <c r="CL152" s="104"/>
      <c r="CM152" s="104"/>
      <c r="CN152" s="98"/>
      <c r="CP152" s="101"/>
      <c r="CQ152" s="101"/>
      <c r="CR152" s="101"/>
      <c r="CS152" s="101"/>
      <c r="CT152" s="101"/>
      <c r="FJ152" s="103"/>
      <c r="FL152" s="103"/>
      <c r="FN152" s="103"/>
      <c r="FP152" s="103"/>
    </row>
    <row r="153" spans="2:172" x14ac:dyDescent="0.35">
      <c r="B153" s="97"/>
      <c r="G153" s="100"/>
      <c r="K153" s="98"/>
      <c r="L153" s="101"/>
      <c r="M153" s="101"/>
      <c r="N153" s="101"/>
      <c r="O153" s="101"/>
      <c r="P153" s="102"/>
      <c r="Q153" s="101"/>
      <c r="R153" s="98"/>
      <c r="S153" s="98"/>
      <c r="T153" s="98"/>
      <c r="U153" s="98"/>
      <c r="V153" s="98"/>
      <c r="W153" s="98"/>
      <c r="X153" s="103"/>
      <c r="Y153" s="103"/>
      <c r="Z153" s="103"/>
      <c r="AA153" s="103"/>
      <c r="AB153" s="103"/>
      <c r="AC153" s="103"/>
      <c r="AD153" s="103"/>
      <c r="AE153" s="101"/>
      <c r="AF153" s="101"/>
      <c r="AG153" s="101"/>
      <c r="AH153" s="101"/>
      <c r="AI153" s="101"/>
      <c r="AJ153" s="101"/>
      <c r="AK153" s="101"/>
      <c r="AL153" s="103"/>
      <c r="AM153" s="103"/>
      <c r="AN153" s="103"/>
      <c r="AO153" s="103"/>
      <c r="AP153" s="103"/>
      <c r="AQ153" s="103"/>
      <c r="AR153" s="103"/>
      <c r="AS153" s="101"/>
      <c r="AT153" s="101"/>
      <c r="AU153" s="101"/>
      <c r="AV153" s="101"/>
      <c r="AW153" s="101"/>
      <c r="AX153" s="101"/>
      <c r="AY153" s="101"/>
      <c r="AZ153" s="103"/>
      <c r="BA153" s="103"/>
      <c r="BB153" s="103"/>
      <c r="BC153" s="101"/>
      <c r="BD153" s="101"/>
      <c r="BE153" s="101"/>
      <c r="BF153" s="101"/>
      <c r="BG153" s="101"/>
      <c r="BK153" s="101"/>
      <c r="BL153" s="101"/>
      <c r="BM153" s="101"/>
      <c r="BN153" s="101"/>
      <c r="BO153" s="101"/>
      <c r="BP153" s="101"/>
      <c r="BQ153" s="101"/>
      <c r="BR153" s="104"/>
      <c r="BS153" s="104"/>
      <c r="BT153" s="104"/>
      <c r="BU153" s="104"/>
      <c r="BV153" s="104"/>
      <c r="BW153" s="104"/>
      <c r="BX153" s="104"/>
      <c r="BY153" s="104"/>
      <c r="BZ153" s="104"/>
      <c r="CA153" s="104"/>
      <c r="CB153" s="104"/>
      <c r="CC153" s="104"/>
      <c r="CD153" s="104"/>
      <c r="CE153" s="104"/>
      <c r="CF153" s="104"/>
      <c r="CG153" s="104"/>
      <c r="CH153" s="104"/>
      <c r="CI153" s="104"/>
      <c r="CJ153" s="104"/>
      <c r="CK153" s="104"/>
      <c r="CL153" s="104"/>
      <c r="CM153" s="104"/>
      <c r="CN153" s="98"/>
      <c r="CP153" s="101"/>
      <c r="CQ153" s="101"/>
      <c r="CR153" s="101"/>
      <c r="CS153" s="101"/>
      <c r="CT153" s="101"/>
      <c r="FJ153" s="103"/>
      <c r="FL153" s="103"/>
      <c r="FN153" s="103"/>
      <c r="FP153" s="103"/>
    </row>
    <row r="154" spans="2:172" x14ac:dyDescent="0.35">
      <c r="B154" s="97"/>
      <c r="G154" s="100"/>
      <c r="K154" s="98"/>
      <c r="L154" s="101"/>
      <c r="M154" s="101"/>
      <c r="N154" s="101"/>
      <c r="O154" s="101"/>
      <c r="P154" s="102"/>
      <c r="Q154" s="101"/>
      <c r="R154" s="98"/>
      <c r="S154" s="98"/>
      <c r="T154" s="98"/>
      <c r="U154" s="98"/>
      <c r="V154" s="98"/>
      <c r="W154" s="98"/>
      <c r="X154" s="103"/>
      <c r="Y154" s="103"/>
      <c r="Z154" s="103"/>
      <c r="AA154" s="103"/>
      <c r="AB154" s="103"/>
      <c r="AC154" s="103"/>
      <c r="AD154" s="103"/>
      <c r="AE154" s="101"/>
      <c r="AF154" s="101"/>
      <c r="AG154" s="101"/>
      <c r="AH154" s="101"/>
      <c r="AI154" s="101"/>
      <c r="AJ154" s="101"/>
      <c r="AK154" s="101"/>
      <c r="AL154" s="103"/>
      <c r="AM154" s="103"/>
      <c r="AN154" s="103"/>
      <c r="AO154" s="103"/>
      <c r="AP154" s="103"/>
      <c r="AQ154" s="103"/>
      <c r="AR154" s="103"/>
      <c r="AS154" s="101"/>
      <c r="AT154" s="101"/>
      <c r="AU154" s="101"/>
      <c r="AV154" s="101"/>
      <c r="AW154" s="101"/>
      <c r="AX154" s="101"/>
      <c r="AY154" s="101"/>
      <c r="AZ154" s="103"/>
      <c r="BA154" s="103"/>
      <c r="BB154" s="103"/>
      <c r="BC154" s="101"/>
      <c r="BD154" s="101"/>
      <c r="BE154" s="101"/>
      <c r="BF154" s="101"/>
      <c r="BG154" s="101"/>
      <c r="BK154" s="101"/>
      <c r="BL154" s="101"/>
      <c r="BM154" s="101"/>
      <c r="BN154" s="101"/>
      <c r="BO154" s="101"/>
      <c r="BP154" s="101"/>
      <c r="BQ154" s="101"/>
      <c r="BR154" s="104"/>
      <c r="BS154" s="104"/>
      <c r="BT154" s="104"/>
      <c r="BU154" s="104"/>
      <c r="BV154" s="104"/>
      <c r="BW154" s="104"/>
      <c r="BX154" s="104"/>
      <c r="BY154" s="104"/>
      <c r="BZ154" s="104"/>
      <c r="CA154" s="104"/>
      <c r="CB154" s="104"/>
      <c r="CC154" s="104"/>
      <c r="CD154" s="104"/>
      <c r="CE154" s="104"/>
      <c r="CF154" s="104"/>
      <c r="CG154" s="104"/>
      <c r="CH154" s="104"/>
      <c r="CI154" s="104"/>
      <c r="CJ154" s="104"/>
      <c r="CK154" s="104"/>
      <c r="CL154" s="104"/>
      <c r="CM154" s="104"/>
      <c r="CN154" s="98"/>
      <c r="CP154" s="101"/>
      <c r="CQ154" s="101"/>
      <c r="CR154" s="101"/>
      <c r="CS154" s="101"/>
      <c r="CT154" s="101"/>
      <c r="FJ154" s="103"/>
      <c r="FL154" s="103"/>
      <c r="FN154" s="103"/>
      <c r="FP154" s="103"/>
    </row>
    <row r="155" spans="2:172" x14ac:dyDescent="0.35">
      <c r="B155" s="97"/>
      <c r="G155" s="100"/>
      <c r="K155" s="98"/>
      <c r="L155" s="101"/>
      <c r="M155" s="101"/>
      <c r="N155" s="101"/>
      <c r="O155" s="101"/>
      <c r="P155" s="102"/>
      <c r="Q155" s="101"/>
      <c r="R155" s="98"/>
      <c r="S155" s="98"/>
      <c r="T155" s="98"/>
      <c r="U155" s="98"/>
      <c r="V155" s="98"/>
      <c r="W155" s="98"/>
      <c r="X155" s="103"/>
      <c r="Y155" s="103"/>
      <c r="Z155" s="103"/>
      <c r="AA155" s="103"/>
      <c r="AB155" s="103"/>
      <c r="AC155" s="103"/>
      <c r="AD155" s="103"/>
      <c r="AE155" s="101"/>
      <c r="AF155" s="101"/>
      <c r="AG155" s="101"/>
      <c r="AH155" s="101"/>
      <c r="AI155" s="101"/>
      <c r="AJ155" s="101"/>
      <c r="AK155" s="101"/>
      <c r="AL155" s="103"/>
      <c r="AM155" s="103"/>
      <c r="AN155" s="103"/>
      <c r="AO155" s="103"/>
      <c r="AP155" s="103"/>
      <c r="AQ155" s="103"/>
      <c r="AR155" s="103"/>
      <c r="AS155" s="101"/>
      <c r="AT155" s="101"/>
      <c r="AU155" s="101"/>
      <c r="AV155" s="101"/>
      <c r="AW155" s="101"/>
      <c r="AX155" s="101"/>
      <c r="AY155" s="101"/>
      <c r="AZ155" s="103"/>
      <c r="BA155" s="103"/>
      <c r="BB155" s="103"/>
      <c r="BC155" s="101"/>
      <c r="BD155" s="101"/>
      <c r="BE155" s="101"/>
      <c r="BF155" s="101"/>
      <c r="BG155" s="101"/>
      <c r="BK155" s="101"/>
      <c r="BL155" s="101"/>
      <c r="BM155" s="101"/>
      <c r="BN155" s="101"/>
      <c r="BO155" s="101"/>
      <c r="BP155" s="101"/>
      <c r="BQ155" s="101"/>
      <c r="BR155" s="104"/>
      <c r="BS155" s="104"/>
      <c r="BT155" s="104"/>
      <c r="BU155" s="104"/>
      <c r="BV155" s="104"/>
      <c r="BW155" s="104"/>
      <c r="BX155" s="104"/>
      <c r="BY155" s="104"/>
      <c r="BZ155" s="104"/>
      <c r="CA155" s="104"/>
      <c r="CB155" s="104"/>
      <c r="CC155" s="104"/>
      <c r="CD155" s="104"/>
      <c r="CE155" s="104"/>
      <c r="CF155" s="104"/>
      <c r="CG155" s="104"/>
      <c r="CH155" s="104"/>
      <c r="CI155" s="104"/>
      <c r="CJ155" s="104"/>
      <c r="CK155" s="104"/>
      <c r="CL155" s="104"/>
      <c r="CM155" s="104"/>
      <c r="CN155" s="98"/>
      <c r="CP155" s="101"/>
      <c r="CQ155" s="101"/>
      <c r="CR155" s="101"/>
      <c r="CS155" s="101"/>
      <c r="CT155" s="101"/>
      <c r="FJ155" s="103"/>
      <c r="FL155" s="103"/>
      <c r="FN155" s="103"/>
      <c r="FP155" s="103"/>
    </row>
    <row r="156" spans="2:172" x14ac:dyDescent="0.35">
      <c r="B156" s="97"/>
      <c r="G156" s="100"/>
      <c r="K156" s="98"/>
      <c r="L156" s="101"/>
      <c r="M156" s="101"/>
      <c r="N156" s="101"/>
      <c r="O156" s="101"/>
      <c r="P156" s="102"/>
      <c r="Q156" s="101"/>
      <c r="R156" s="98"/>
      <c r="S156" s="98"/>
      <c r="T156" s="98"/>
      <c r="U156" s="98"/>
      <c r="V156" s="98"/>
      <c r="W156" s="98"/>
      <c r="X156" s="103"/>
      <c r="Y156" s="103"/>
      <c r="Z156" s="103"/>
      <c r="AA156" s="103"/>
      <c r="AB156" s="103"/>
      <c r="AC156" s="103"/>
      <c r="AD156" s="103"/>
      <c r="AE156" s="101"/>
      <c r="AF156" s="101"/>
      <c r="AG156" s="101"/>
      <c r="AH156" s="101"/>
      <c r="AI156" s="101"/>
      <c r="AJ156" s="101"/>
      <c r="AK156" s="101"/>
      <c r="AL156" s="103"/>
      <c r="AM156" s="103"/>
      <c r="AN156" s="103"/>
      <c r="AO156" s="103"/>
      <c r="AP156" s="103"/>
      <c r="AQ156" s="103"/>
      <c r="AR156" s="103"/>
      <c r="AS156" s="101"/>
      <c r="AT156" s="101"/>
      <c r="AU156" s="101"/>
      <c r="AV156" s="101"/>
      <c r="AW156" s="101"/>
      <c r="AX156" s="101"/>
      <c r="AY156" s="101"/>
      <c r="AZ156" s="103"/>
      <c r="BA156" s="103"/>
      <c r="BB156" s="103"/>
      <c r="BC156" s="101"/>
      <c r="BD156" s="101"/>
      <c r="BE156" s="101"/>
      <c r="BF156" s="101"/>
      <c r="BG156" s="101"/>
      <c r="BK156" s="101"/>
      <c r="BL156" s="101"/>
      <c r="BM156" s="101"/>
      <c r="BN156" s="101"/>
      <c r="BO156" s="101"/>
      <c r="BP156" s="101"/>
      <c r="BQ156" s="101"/>
      <c r="BR156" s="104"/>
      <c r="BS156" s="104"/>
      <c r="BT156" s="104"/>
      <c r="BU156" s="104"/>
      <c r="BV156" s="104"/>
      <c r="BW156" s="104"/>
      <c r="BX156" s="104"/>
      <c r="BY156" s="104"/>
      <c r="BZ156" s="104"/>
      <c r="CA156" s="104"/>
      <c r="CB156" s="104"/>
      <c r="CC156" s="104"/>
      <c r="CD156" s="104"/>
      <c r="CE156" s="104"/>
      <c r="CF156" s="104"/>
      <c r="CG156" s="104"/>
      <c r="CH156" s="104"/>
      <c r="CI156" s="104"/>
      <c r="CJ156" s="104"/>
      <c r="CK156" s="104"/>
      <c r="CL156" s="104"/>
      <c r="CM156" s="104"/>
      <c r="CN156" s="98"/>
      <c r="CP156" s="101"/>
      <c r="CQ156" s="101"/>
      <c r="CR156" s="101"/>
      <c r="CS156" s="101"/>
      <c r="CT156" s="101"/>
      <c r="FJ156" s="103"/>
      <c r="FL156" s="103"/>
      <c r="FN156" s="103"/>
      <c r="FP156" s="103"/>
    </row>
    <row r="157" spans="2:172" x14ac:dyDescent="0.35">
      <c r="B157" s="97"/>
      <c r="G157" s="100"/>
      <c r="K157" s="98"/>
      <c r="L157" s="101"/>
      <c r="M157" s="101"/>
      <c r="N157" s="101"/>
      <c r="O157" s="101"/>
      <c r="P157" s="102"/>
      <c r="Q157" s="101"/>
      <c r="R157" s="98"/>
      <c r="S157" s="98"/>
      <c r="T157" s="98"/>
      <c r="U157" s="98"/>
      <c r="V157" s="98"/>
      <c r="W157" s="98"/>
      <c r="X157" s="103"/>
      <c r="Y157" s="103"/>
      <c r="Z157" s="103"/>
      <c r="AA157" s="103"/>
      <c r="AB157" s="103"/>
      <c r="AC157" s="103"/>
      <c r="AD157" s="103"/>
      <c r="AE157" s="101"/>
      <c r="AF157" s="101"/>
      <c r="AG157" s="101"/>
      <c r="AH157" s="101"/>
      <c r="AI157" s="101"/>
      <c r="AJ157" s="101"/>
      <c r="AK157" s="101"/>
      <c r="AL157" s="103"/>
      <c r="AM157" s="103"/>
      <c r="AN157" s="103"/>
      <c r="AO157" s="103"/>
      <c r="AP157" s="103"/>
      <c r="AQ157" s="103"/>
      <c r="AR157" s="103"/>
      <c r="AS157" s="101"/>
      <c r="AT157" s="101"/>
      <c r="AU157" s="101"/>
      <c r="AV157" s="101"/>
      <c r="AW157" s="101"/>
      <c r="AX157" s="101"/>
      <c r="AY157" s="101"/>
      <c r="AZ157" s="103"/>
      <c r="BA157" s="103"/>
      <c r="BB157" s="103"/>
      <c r="BC157" s="101"/>
      <c r="BD157" s="101"/>
      <c r="BE157" s="101"/>
      <c r="BF157" s="101"/>
      <c r="BG157" s="101"/>
      <c r="BK157" s="101"/>
      <c r="BL157" s="101"/>
      <c r="BM157" s="101"/>
      <c r="BN157" s="101"/>
      <c r="BO157" s="101"/>
      <c r="BP157" s="101"/>
      <c r="BQ157" s="101"/>
      <c r="BR157" s="104"/>
      <c r="BS157" s="104"/>
      <c r="BT157" s="104"/>
      <c r="BU157" s="104"/>
      <c r="BV157" s="104"/>
      <c r="BW157" s="104"/>
      <c r="BX157" s="104"/>
      <c r="BY157" s="104"/>
      <c r="BZ157" s="104"/>
      <c r="CA157" s="104"/>
      <c r="CB157" s="104"/>
      <c r="CC157" s="104"/>
      <c r="CD157" s="104"/>
      <c r="CE157" s="104"/>
      <c r="CF157" s="104"/>
      <c r="CG157" s="104"/>
      <c r="CH157" s="104"/>
      <c r="CI157" s="104"/>
      <c r="CJ157" s="104"/>
      <c r="CK157" s="104"/>
      <c r="CL157" s="104"/>
      <c r="CM157" s="104"/>
      <c r="CN157" s="98"/>
      <c r="CP157" s="101"/>
      <c r="CQ157" s="101"/>
      <c r="CR157" s="101"/>
      <c r="CS157" s="101"/>
      <c r="CT157" s="101"/>
      <c r="FJ157" s="103"/>
      <c r="FL157" s="103"/>
      <c r="FN157" s="103"/>
      <c r="FP157" s="103"/>
    </row>
    <row r="158" spans="2:172" x14ac:dyDescent="0.35">
      <c r="B158" s="97"/>
      <c r="G158" s="100"/>
      <c r="K158" s="98"/>
      <c r="L158" s="101"/>
      <c r="M158" s="101"/>
      <c r="N158" s="101"/>
      <c r="O158" s="101"/>
      <c r="P158" s="102"/>
      <c r="Q158" s="101"/>
      <c r="R158" s="98"/>
      <c r="S158" s="98"/>
      <c r="T158" s="98"/>
      <c r="U158" s="98"/>
      <c r="V158" s="98"/>
      <c r="W158" s="98"/>
      <c r="X158" s="103"/>
      <c r="Y158" s="103"/>
      <c r="Z158" s="103"/>
      <c r="AA158" s="103"/>
      <c r="AB158" s="103"/>
      <c r="AC158" s="103"/>
      <c r="AD158" s="103"/>
      <c r="AE158" s="101"/>
      <c r="AF158" s="101"/>
      <c r="AG158" s="101"/>
      <c r="AH158" s="101"/>
      <c r="AI158" s="101"/>
      <c r="AJ158" s="101"/>
      <c r="AK158" s="101"/>
      <c r="AL158" s="103"/>
      <c r="AM158" s="103"/>
      <c r="AN158" s="103"/>
      <c r="AO158" s="103"/>
      <c r="AP158" s="103"/>
      <c r="AQ158" s="103"/>
      <c r="AR158" s="103"/>
      <c r="AS158" s="101"/>
      <c r="AT158" s="101"/>
      <c r="AU158" s="101"/>
      <c r="AV158" s="101"/>
      <c r="AW158" s="101"/>
      <c r="AX158" s="101"/>
      <c r="AY158" s="101"/>
      <c r="AZ158" s="103"/>
      <c r="BA158" s="103"/>
      <c r="BB158" s="103"/>
      <c r="BC158" s="101"/>
      <c r="BD158" s="101"/>
      <c r="BE158" s="101"/>
      <c r="BF158" s="101"/>
      <c r="BG158" s="101"/>
      <c r="BK158" s="101"/>
      <c r="BL158" s="101"/>
      <c r="BM158" s="101"/>
      <c r="BN158" s="101"/>
      <c r="BO158" s="101"/>
      <c r="BP158" s="101"/>
      <c r="BQ158" s="101"/>
      <c r="BR158" s="104"/>
      <c r="BS158" s="104"/>
      <c r="BT158" s="104"/>
      <c r="BU158" s="104"/>
      <c r="BV158" s="104"/>
      <c r="BW158" s="104"/>
      <c r="BX158" s="104"/>
      <c r="BY158" s="104"/>
      <c r="BZ158" s="104"/>
      <c r="CA158" s="104"/>
      <c r="CB158" s="104"/>
      <c r="CC158" s="104"/>
      <c r="CD158" s="104"/>
      <c r="CE158" s="104"/>
      <c r="CF158" s="104"/>
      <c r="CG158" s="104"/>
      <c r="CH158" s="104"/>
      <c r="CI158" s="104"/>
      <c r="CJ158" s="104"/>
      <c r="CK158" s="104"/>
      <c r="CL158" s="104"/>
      <c r="CM158" s="104"/>
      <c r="CN158" s="98"/>
      <c r="CP158" s="101"/>
      <c r="CQ158" s="101"/>
      <c r="CR158" s="101"/>
      <c r="CS158" s="101"/>
      <c r="CT158" s="101"/>
      <c r="FJ158" s="103"/>
      <c r="FL158" s="103"/>
      <c r="FN158" s="103"/>
      <c r="FP158" s="103"/>
    </row>
    <row r="159" spans="2:172" x14ac:dyDescent="0.35">
      <c r="B159" s="97"/>
      <c r="G159" s="100"/>
      <c r="K159" s="98"/>
      <c r="L159" s="101"/>
      <c r="M159" s="101"/>
      <c r="N159" s="101"/>
      <c r="O159" s="101"/>
      <c r="P159" s="102"/>
      <c r="Q159" s="101"/>
      <c r="R159" s="98"/>
      <c r="S159" s="98"/>
      <c r="T159" s="98"/>
      <c r="U159" s="98"/>
      <c r="V159" s="98"/>
      <c r="W159" s="98"/>
      <c r="X159" s="103"/>
      <c r="Y159" s="103"/>
      <c r="Z159" s="103"/>
      <c r="AA159" s="103"/>
      <c r="AB159" s="103"/>
      <c r="AC159" s="103"/>
      <c r="AD159" s="103"/>
      <c r="AE159" s="101"/>
      <c r="AF159" s="101"/>
      <c r="AG159" s="101"/>
      <c r="AH159" s="101"/>
      <c r="AI159" s="101"/>
      <c r="AJ159" s="101"/>
      <c r="AK159" s="101"/>
      <c r="AL159" s="103"/>
      <c r="AM159" s="103"/>
      <c r="AN159" s="103"/>
      <c r="AO159" s="103"/>
      <c r="AP159" s="103"/>
      <c r="AQ159" s="103"/>
      <c r="AR159" s="103"/>
      <c r="AS159" s="101"/>
      <c r="AT159" s="101"/>
      <c r="AU159" s="101"/>
      <c r="AV159" s="101"/>
      <c r="AW159" s="101"/>
      <c r="AX159" s="101"/>
      <c r="AY159" s="101"/>
      <c r="AZ159" s="103"/>
      <c r="BA159" s="103"/>
      <c r="BB159" s="103"/>
      <c r="BC159" s="101"/>
      <c r="BD159" s="101"/>
      <c r="BE159" s="101"/>
      <c r="BF159" s="101"/>
      <c r="BG159" s="101"/>
      <c r="BK159" s="101"/>
      <c r="BL159" s="101"/>
      <c r="BM159" s="101"/>
      <c r="BN159" s="101"/>
      <c r="BO159" s="101"/>
      <c r="BP159" s="101"/>
      <c r="BQ159" s="101"/>
      <c r="BR159" s="104"/>
      <c r="BS159" s="104"/>
      <c r="BT159" s="104"/>
      <c r="BU159" s="104"/>
      <c r="BV159" s="104"/>
      <c r="BW159" s="104"/>
      <c r="BX159" s="104"/>
      <c r="BY159" s="104"/>
      <c r="BZ159" s="104"/>
      <c r="CA159" s="104"/>
      <c r="CB159" s="104"/>
      <c r="CC159" s="104"/>
      <c r="CD159" s="104"/>
      <c r="CE159" s="104"/>
      <c r="CF159" s="104"/>
      <c r="CG159" s="104"/>
      <c r="CH159" s="104"/>
      <c r="CI159" s="104"/>
      <c r="CJ159" s="104"/>
      <c r="CK159" s="104"/>
      <c r="CL159" s="104"/>
      <c r="CM159" s="104"/>
      <c r="CN159" s="98"/>
      <c r="CP159" s="101"/>
      <c r="CQ159" s="101"/>
      <c r="CR159" s="101"/>
      <c r="CS159" s="101"/>
      <c r="CT159" s="101"/>
      <c r="FJ159" s="103"/>
      <c r="FL159" s="103"/>
      <c r="FN159" s="103"/>
      <c r="FP159" s="103"/>
    </row>
    <row r="160" spans="2:172" x14ac:dyDescent="0.35">
      <c r="B160" s="97"/>
      <c r="G160" s="100"/>
      <c r="K160" s="98"/>
      <c r="L160" s="101"/>
      <c r="M160" s="101"/>
      <c r="N160" s="101"/>
      <c r="O160" s="101"/>
      <c r="P160" s="102"/>
      <c r="Q160" s="101"/>
      <c r="R160" s="98"/>
      <c r="S160" s="98"/>
      <c r="T160" s="98"/>
      <c r="U160" s="98"/>
      <c r="V160" s="98"/>
      <c r="W160" s="98"/>
      <c r="X160" s="103"/>
      <c r="Y160" s="103"/>
      <c r="Z160" s="103"/>
      <c r="AA160" s="103"/>
      <c r="AB160" s="103"/>
      <c r="AC160" s="103"/>
      <c r="AD160" s="103"/>
      <c r="AE160" s="101"/>
      <c r="AF160" s="101"/>
      <c r="AG160" s="101"/>
      <c r="AH160" s="101"/>
      <c r="AI160" s="101"/>
      <c r="AJ160" s="101"/>
      <c r="AK160" s="101"/>
      <c r="AL160" s="103"/>
      <c r="AM160" s="103"/>
      <c r="AN160" s="103"/>
      <c r="AO160" s="103"/>
      <c r="AP160" s="103"/>
      <c r="AQ160" s="103"/>
      <c r="AR160" s="103"/>
      <c r="AS160" s="101"/>
      <c r="AT160" s="101"/>
      <c r="AU160" s="101"/>
      <c r="AV160" s="101"/>
      <c r="AW160" s="101"/>
      <c r="AX160" s="101"/>
      <c r="AY160" s="101"/>
      <c r="AZ160" s="103"/>
      <c r="BA160" s="103"/>
      <c r="BB160" s="103"/>
      <c r="BC160" s="101"/>
      <c r="BD160" s="101"/>
      <c r="BE160" s="101"/>
      <c r="BF160" s="101"/>
      <c r="BG160" s="101"/>
      <c r="BK160" s="101"/>
      <c r="BL160" s="101"/>
      <c r="BM160" s="101"/>
      <c r="BN160" s="101"/>
      <c r="BO160" s="101"/>
      <c r="BP160" s="101"/>
      <c r="BQ160" s="101"/>
      <c r="BR160" s="104"/>
      <c r="BS160" s="104"/>
      <c r="BT160" s="104"/>
      <c r="BU160" s="104"/>
      <c r="BV160" s="104"/>
      <c r="BW160" s="104"/>
      <c r="BX160" s="104"/>
      <c r="BY160" s="104"/>
      <c r="BZ160" s="104"/>
      <c r="CA160" s="104"/>
      <c r="CB160" s="104"/>
      <c r="CC160" s="104"/>
      <c r="CD160" s="104"/>
      <c r="CE160" s="104"/>
      <c r="CF160" s="104"/>
      <c r="CG160" s="104"/>
      <c r="CH160" s="104"/>
      <c r="CI160" s="104"/>
      <c r="CJ160" s="104"/>
      <c r="CK160" s="104"/>
      <c r="CL160" s="104"/>
      <c r="CM160" s="104"/>
      <c r="CN160" s="98"/>
      <c r="CP160" s="101"/>
      <c r="CQ160" s="101"/>
      <c r="CR160" s="101"/>
      <c r="CS160" s="101"/>
      <c r="CT160" s="101"/>
      <c r="FJ160" s="103"/>
      <c r="FL160" s="103"/>
      <c r="FN160" s="103"/>
      <c r="FP160" s="103"/>
    </row>
    <row r="161" spans="2:172" x14ac:dyDescent="0.35">
      <c r="B161" s="97"/>
      <c r="G161" s="100"/>
      <c r="K161" s="98"/>
      <c r="L161" s="101"/>
      <c r="M161" s="101"/>
      <c r="N161" s="101"/>
      <c r="O161" s="101"/>
      <c r="P161" s="102"/>
      <c r="Q161" s="101"/>
      <c r="R161" s="98"/>
      <c r="S161" s="98"/>
      <c r="T161" s="98"/>
      <c r="U161" s="98"/>
      <c r="V161" s="98"/>
      <c r="W161" s="98"/>
      <c r="X161" s="103"/>
      <c r="Y161" s="103"/>
      <c r="Z161" s="103"/>
      <c r="AA161" s="103"/>
      <c r="AB161" s="103"/>
      <c r="AC161" s="103"/>
      <c r="AD161" s="103"/>
      <c r="AE161" s="101"/>
      <c r="AF161" s="101"/>
      <c r="AG161" s="101"/>
      <c r="AH161" s="101"/>
      <c r="AI161" s="101"/>
      <c r="AJ161" s="101"/>
      <c r="AK161" s="101"/>
      <c r="AL161" s="103"/>
      <c r="AM161" s="103"/>
      <c r="AN161" s="103"/>
      <c r="AO161" s="103"/>
      <c r="AP161" s="103"/>
      <c r="AQ161" s="103"/>
      <c r="AR161" s="103"/>
      <c r="AS161" s="101"/>
      <c r="AT161" s="101"/>
      <c r="AU161" s="101"/>
      <c r="AV161" s="101"/>
      <c r="AW161" s="101"/>
      <c r="AX161" s="101"/>
      <c r="AY161" s="101"/>
      <c r="AZ161" s="103"/>
      <c r="BA161" s="103"/>
      <c r="BB161" s="103"/>
      <c r="BC161" s="101"/>
      <c r="BD161" s="101"/>
      <c r="BE161" s="101"/>
      <c r="BF161" s="101"/>
      <c r="BG161" s="101"/>
      <c r="BK161" s="101"/>
      <c r="BL161" s="101"/>
      <c r="BM161" s="101"/>
      <c r="BN161" s="101"/>
      <c r="BO161" s="101"/>
      <c r="BP161" s="101"/>
      <c r="BQ161" s="101"/>
      <c r="BR161" s="104"/>
      <c r="BS161" s="104"/>
      <c r="BT161" s="104"/>
      <c r="BU161" s="104"/>
      <c r="BV161" s="104"/>
      <c r="BW161" s="104"/>
      <c r="BX161" s="104"/>
      <c r="BY161" s="104"/>
      <c r="BZ161" s="104"/>
      <c r="CA161" s="104"/>
      <c r="CB161" s="104"/>
      <c r="CC161" s="104"/>
      <c r="CD161" s="104"/>
      <c r="CE161" s="104"/>
      <c r="CF161" s="104"/>
      <c r="CG161" s="104"/>
      <c r="CH161" s="104"/>
      <c r="CI161" s="104"/>
      <c r="CJ161" s="104"/>
      <c r="CK161" s="104"/>
      <c r="CL161" s="104"/>
      <c r="CM161" s="104"/>
      <c r="CN161" s="98"/>
      <c r="CP161" s="101"/>
      <c r="CQ161" s="101"/>
      <c r="CR161" s="101"/>
      <c r="CS161" s="101"/>
      <c r="CT161" s="101"/>
      <c r="FJ161" s="103"/>
      <c r="FL161" s="103"/>
      <c r="FN161" s="103"/>
      <c r="FP161" s="103"/>
    </row>
    <row r="162" spans="2:172" x14ac:dyDescent="0.35">
      <c r="B162" s="97"/>
      <c r="G162" s="100"/>
      <c r="K162" s="98"/>
      <c r="L162" s="101"/>
      <c r="M162" s="101"/>
      <c r="N162" s="101"/>
      <c r="O162" s="101"/>
      <c r="P162" s="102"/>
      <c r="Q162" s="101"/>
      <c r="R162" s="98"/>
      <c r="S162" s="98"/>
      <c r="T162" s="98"/>
      <c r="U162" s="98"/>
      <c r="V162" s="98"/>
      <c r="W162" s="98"/>
      <c r="X162" s="103"/>
      <c r="Y162" s="103"/>
      <c r="Z162" s="103"/>
      <c r="AA162" s="103"/>
      <c r="AB162" s="103"/>
      <c r="AC162" s="103"/>
      <c r="AD162" s="103"/>
      <c r="AE162" s="101"/>
      <c r="AF162" s="101"/>
      <c r="AG162" s="101"/>
      <c r="AH162" s="101"/>
      <c r="AI162" s="101"/>
      <c r="AJ162" s="101"/>
      <c r="AK162" s="101"/>
      <c r="AL162" s="103"/>
      <c r="AM162" s="103"/>
      <c r="AN162" s="103"/>
      <c r="AO162" s="103"/>
      <c r="AP162" s="103"/>
      <c r="AQ162" s="103"/>
      <c r="AR162" s="103"/>
      <c r="AS162" s="101"/>
      <c r="AT162" s="101"/>
      <c r="AU162" s="101"/>
      <c r="AV162" s="101"/>
      <c r="AW162" s="101"/>
      <c r="AX162" s="101"/>
      <c r="AY162" s="101"/>
      <c r="AZ162" s="103"/>
      <c r="BA162" s="103"/>
      <c r="BB162" s="103"/>
      <c r="BC162" s="101"/>
      <c r="BD162" s="101"/>
      <c r="BE162" s="101"/>
      <c r="BF162" s="101"/>
      <c r="BG162" s="101"/>
      <c r="BK162" s="101"/>
      <c r="BL162" s="101"/>
      <c r="BM162" s="101"/>
      <c r="BN162" s="101"/>
      <c r="BO162" s="101"/>
      <c r="BP162" s="101"/>
      <c r="BQ162" s="101"/>
      <c r="BR162" s="104"/>
      <c r="BS162" s="104"/>
      <c r="BT162" s="104"/>
      <c r="BU162" s="104"/>
      <c r="BV162" s="104"/>
      <c r="BW162" s="104"/>
      <c r="BX162" s="104"/>
      <c r="BY162" s="104"/>
      <c r="BZ162" s="104"/>
      <c r="CA162" s="104"/>
      <c r="CB162" s="104"/>
      <c r="CC162" s="104"/>
      <c r="CD162" s="104"/>
      <c r="CE162" s="104"/>
      <c r="CF162" s="104"/>
      <c r="CG162" s="104"/>
      <c r="CH162" s="104"/>
      <c r="CI162" s="104"/>
      <c r="CJ162" s="104"/>
      <c r="CK162" s="104"/>
      <c r="CL162" s="104"/>
      <c r="CM162" s="104"/>
      <c r="CN162" s="98"/>
      <c r="CP162" s="101"/>
      <c r="CQ162" s="101"/>
      <c r="CR162" s="101"/>
      <c r="CS162" s="101"/>
      <c r="CT162" s="101"/>
      <c r="FJ162" s="103"/>
      <c r="FL162" s="103"/>
      <c r="FN162" s="103"/>
      <c r="FP162" s="103"/>
    </row>
    <row r="163" spans="2:172" x14ac:dyDescent="0.35">
      <c r="B163" s="97"/>
      <c r="G163" s="100"/>
      <c r="K163" s="98"/>
      <c r="L163" s="101"/>
      <c r="M163" s="101"/>
      <c r="N163" s="101"/>
      <c r="O163" s="101"/>
      <c r="P163" s="102"/>
      <c r="Q163" s="101"/>
      <c r="R163" s="98"/>
      <c r="S163" s="98"/>
      <c r="T163" s="98"/>
      <c r="U163" s="98"/>
      <c r="V163" s="98"/>
      <c r="W163" s="98"/>
      <c r="X163" s="103"/>
      <c r="Y163" s="103"/>
      <c r="Z163" s="103"/>
      <c r="AA163" s="103"/>
      <c r="AB163" s="103"/>
      <c r="AC163" s="103"/>
      <c r="AD163" s="103"/>
      <c r="AE163" s="101"/>
      <c r="AF163" s="101"/>
      <c r="AG163" s="101"/>
      <c r="AH163" s="101"/>
      <c r="AI163" s="101"/>
      <c r="AJ163" s="101"/>
      <c r="AK163" s="101"/>
      <c r="AL163" s="103"/>
      <c r="AM163" s="103"/>
      <c r="AN163" s="103"/>
      <c r="AO163" s="103"/>
      <c r="AP163" s="103"/>
      <c r="AQ163" s="103"/>
      <c r="AR163" s="103"/>
      <c r="AS163" s="101"/>
      <c r="AT163" s="101"/>
      <c r="AU163" s="101"/>
      <c r="AV163" s="101"/>
      <c r="AW163" s="101"/>
      <c r="AX163" s="101"/>
      <c r="AY163" s="101"/>
      <c r="AZ163" s="103"/>
      <c r="BA163" s="103"/>
      <c r="BB163" s="103"/>
      <c r="BC163" s="101"/>
      <c r="BD163" s="101"/>
      <c r="BE163" s="101"/>
      <c r="BF163" s="101"/>
      <c r="BG163" s="101"/>
      <c r="BK163" s="101"/>
      <c r="BL163" s="101"/>
      <c r="BM163" s="101"/>
      <c r="BN163" s="101"/>
      <c r="BO163" s="101"/>
      <c r="BP163" s="101"/>
      <c r="BQ163" s="101"/>
      <c r="BR163" s="104"/>
      <c r="BS163" s="104"/>
      <c r="BT163" s="104"/>
      <c r="BU163" s="104"/>
      <c r="BV163" s="104"/>
      <c r="BW163" s="104"/>
      <c r="BX163" s="104"/>
      <c r="BY163" s="104"/>
      <c r="BZ163" s="104"/>
      <c r="CA163" s="104"/>
      <c r="CB163" s="104"/>
      <c r="CC163" s="104"/>
      <c r="CD163" s="104"/>
      <c r="CE163" s="104"/>
      <c r="CF163" s="104"/>
      <c r="CG163" s="104"/>
      <c r="CH163" s="104"/>
      <c r="CI163" s="104"/>
      <c r="CJ163" s="104"/>
      <c r="CK163" s="104"/>
      <c r="CL163" s="104"/>
      <c r="CM163" s="104"/>
      <c r="CN163" s="98"/>
      <c r="CP163" s="101"/>
      <c r="CQ163" s="101"/>
      <c r="CR163" s="101"/>
      <c r="CS163" s="101"/>
      <c r="CT163" s="101"/>
      <c r="FJ163" s="103"/>
      <c r="FL163" s="103"/>
      <c r="FN163" s="103"/>
      <c r="FP163" s="103"/>
    </row>
    <row r="164" spans="2:172" x14ac:dyDescent="0.35">
      <c r="B164" s="97"/>
      <c r="G164" s="100"/>
      <c r="K164" s="98"/>
      <c r="L164" s="101"/>
      <c r="M164" s="101"/>
      <c r="N164" s="101"/>
      <c r="O164" s="101"/>
      <c r="P164" s="102"/>
      <c r="Q164" s="101"/>
      <c r="R164" s="98"/>
      <c r="S164" s="98"/>
      <c r="T164" s="98"/>
      <c r="U164" s="98"/>
      <c r="V164" s="98"/>
      <c r="W164" s="98"/>
      <c r="X164" s="103"/>
      <c r="Y164" s="103"/>
      <c r="Z164" s="103"/>
      <c r="AA164" s="103"/>
      <c r="AB164" s="103"/>
      <c r="AC164" s="103"/>
      <c r="AD164" s="103"/>
      <c r="AE164" s="101"/>
      <c r="AF164" s="101"/>
      <c r="AG164" s="101"/>
      <c r="AH164" s="101"/>
      <c r="AI164" s="101"/>
      <c r="AJ164" s="101"/>
      <c r="AK164" s="101"/>
      <c r="AL164" s="103"/>
      <c r="AM164" s="103"/>
      <c r="AN164" s="103"/>
      <c r="AO164" s="103"/>
      <c r="AP164" s="103"/>
      <c r="AQ164" s="103"/>
      <c r="AR164" s="103"/>
      <c r="AS164" s="101"/>
      <c r="AT164" s="101"/>
      <c r="AU164" s="101"/>
      <c r="AV164" s="101"/>
      <c r="AW164" s="101"/>
      <c r="AX164" s="101"/>
      <c r="AY164" s="101"/>
      <c r="AZ164" s="103"/>
      <c r="BA164" s="103"/>
      <c r="BB164" s="103"/>
      <c r="BC164" s="101"/>
      <c r="BD164" s="101"/>
      <c r="BE164" s="101"/>
      <c r="BF164" s="101"/>
      <c r="BG164" s="101"/>
      <c r="BK164" s="101"/>
      <c r="BL164" s="101"/>
      <c r="BM164" s="101"/>
      <c r="BN164" s="101"/>
      <c r="BO164" s="101"/>
      <c r="BP164" s="101"/>
      <c r="BQ164" s="101"/>
      <c r="BR164" s="104"/>
      <c r="BS164" s="104"/>
      <c r="BT164" s="104"/>
      <c r="BU164" s="104"/>
      <c r="BV164" s="104"/>
      <c r="BW164" s="104"/>
      <c r="BX164" s="104"/>
      <c r="BY164" s="104"/>
      <c r="BZ164" s="104"/>
      <c r="CA164" s="104"/>
      <c r="CB164" s="104"/>
      <c r="CC164" s="104"/>
      <c r="CD164" s="104"/>
      <c r="CE164" s="104"/>
      <c r="CF164" s="104"/>
      <c r="CG164" s="104"/>
      <c r="CH164" s="104"/>
      <c r="CI164" s="104"/>
      <c r="CJ164" s="104"/>
      <c r="CK164" s="104"/>
      <c r="CL164" s="104"/>
      <c r="CM164" s="104"/>
      <c r="CN164" s="98"/>
      <c r="CP164" s="101"/>
      <c r="CQ164" s="101"/>
      <c r="CR164" s="101"/>
      <c r="CS164" s="101"/>
      <c r="CT164" s="101"/>
      <c r="FJ164" s="103"/>
      <c r="FL164" s="103"/>
      <c r="FN164" s="103"/>
      <c r="FP164" s="103"/>
    </row>
    <row r="165" spans="2:172" x14ac:dyDescent="0.35">
      <c r="B165" s="97"/>
      <c r="G165" s="100"/>
      <c r="K165" s="98"/>
      <c r="L165" s="101"/>
      <c r="M165" s="101"/>
      <c r="N165" s="101"/>
      <c r="O165" s="101"/>
      <c r="P165" s="102"/>
      <c r="Q165" s="101"/>
      <c r="R165" s="98"/>
      <c r="S165" s="98"/>
      <c r="T165" s="98"/>
      <c r="U165" s="98"/>
      <c r="V165" s="98"/>
      <c r="W165" s="98"/>
      <c r="X165" s="103"/>
      <c r="Y165" s="103"/>
      <c r="Z165" s="103"/>
      <c r="AA165" s="103"/>
      <c r="AB165" s="103"/>
      <c r="AC165" s="103"/>
      <c r="AD165" s="103"/>
      <c r="AE165" s="101"/>
      <c r="AF165" s="101"/>
      <c r="AG165" s="101"/>
      <c r="AH165" s="101"/>
      <c r="AI165" s="101"/>
      <c r="AJ165" s="101"/>
      <c r="AK165" s="101"/>
      <c r="AL165" s="103"/>
      <c r="AM165" s="103"/>
      <c r="AN165" s="103"/>
      <c r="AO165" s="103"/>
      <c r="AP165" s="103"/>
      <c r="AQ165" s="103"/>
      <c r="AR165" s="103"/>
      <c r="AS165" s="101"/>
      <c r="AT165" s="101"/>
      <c r="AU165" s="101"/>
      <c r="AV165" s="101"/>
      <c r="AW165" s="101"/>
      <c r="AX165" s="101"/>
      <c r="AY165" s="101"/>
      <c r="AZ165" s="103"/>
      <c r="BA165" s="103"/>
      <c r="BB165" s="103"/>
      <c r="BC165" s="101"/>
      <c r="BD165" s="101"/>
      <c r="BE165" s="101"/>
      <c r="BF165" s="101"/>
      <c r="BG165" s="101"/>
      <c r="BK165" s="101"/>
      <c r="BL165" s="101"/>
      <c r="BM165" s="101"/>
      <c r="BN165" s="101"/>
      <c r="BO165" s="101"/>
      <c r="BP165" s="101"/>
      <c r="BQ165" s="101"/>
      <c r="BR165" s="104"/>
      <c r="BS165" s="104"/>
      <c r="BT165" s="104"/>
      <c r="BU165" s="104"/>
      <c r="BV165" s="104"/>
      <c r="BW165" s="104"/>
      <c r="BX165" s="104"/>
      <c r="BY165" s="104"/>
      <c r="BZ165" s="104"/>
      <c r="CA165" s="104"/>
      <c r="CB165" s="104"/>
      <c r="CC165" s="104"/>
      <c r="CD165" s="104"/>
      <c r="CE165" s="104"/>
      <c r="CF165" s="104"/>
      <c r="CG165" s="104"/>
      <c r="CH165" s="104"/>
      <c r="CI165" s="104"/>
      <c r="CJ165" s="104"/>
      <c r="CK165" s="104"/>
      <c r="CL165" s="104"/>
      <c r="CM165" s="104"/>
      <c r="CN165" s="98"/>
      <c r="CP165" s="101"/>
      <c r="CQ165" s="101"/>
      <c r="CR165" s="101"/>
      <c r="CS165" s="101"/>
      <c r="CT165" s="101"/>
      <c r="FJ165" s="103"/>
      <c r="FL165" s="103"/>
      <c r="FN165" s="103"/>
      <c r="FP165" s="103"/>
    </row>
    <row r="166" spans="2:172" x14ac:dyDescent="0.35">
      <c r="B166" s="97"/>
      <c r="G166" s="100"/>
      <c r="K166" s="98"/>
      <c r="L166" s="101"/>
      <c r="M166" s="101"/>
      <c r="N166" s="101"/>
      <c r="O166" s="101"/>
      <c r="P166" s="102"/>
      <c r="Q166" s="101"/>
      <c r="R166" s="98"/>
      <c r="S166" s="98"/>
      <c r="T166" s="98"/>
      <c r="U166" s="98"/>
      <c r="V166" s="98"/>
      <c r="W166" s="98"/>
      <c r="X166" s="103"/>
      <c r="Y166" s="103"/>
      <c r="Z166" s="103"/>
      <c r="AA166" s="103"/>
      <c r="AB166" s="103"/>
      <c r="AC166" s="103"/>
      <c r="AD166" s="103"/>
      <c r="AE166" s="101"/>
      <c r="AF166" s="101"/>
      <c r="AG166" s="101"/>
      <c r="AH166" s="101"/>
      <c r="AI166" s="101"/>
      <c r="AJ166" s="101"/>
      <c r="AK166" s="101"/>
      <c r="AL166" s="103"/>
      <c r="AM166" s="103"/>
      <c r="AN166" s="103"/>
      <c r="AO166" s="103"/>
      <c r="AP166" s="103"/>
      <c r="AQ166" s="103"/>
      <c r="AR166" s="103"/>
      <c r="AS166" s="101"/>
      <c r="AT166" s="101"/>
      <c r="AU166" s="101"/>
      <c r="AV166" s="101"/>
      <c r="AW166" s="101"/>
      <c r="AX166" s="101"/>
      <c r="AY166" s="101"/>
      <c r="AZ166" s="103"/>
      <c r="BA166" s="103"/>
      <c r="BB166" s="103"/>
      <c r="BC166" s="101"/>
      <c r="BD166" s="101"/>
      <c r="BE166" s="101"/>
      <c r="BF166" s="101"/>
      <c r="BG166" s="101"/>
      <c r="BK166" s="101"/>
      <c r="BL166" s="101"/>
      <c r="BM166" s="101"/>
      <c r="BN166" s="101"/>
      <c r="BO166" s="101"/>
      <c r="BP166" s="101"/>
      <c r="BQ166" s="101"/>
      <c r="BR166" s="104"/>
      <c r="BS166" s="104"/>
      <c r="BT166" s="104"/>
      <c r="BU166" s="104"/>
      <c r="BV166" s="104"/>
      <c r="BW166" s="104"/>
      <c r="BX166" s="104"/>
      <c r="BY166" s="104"/>
      <c r="BZ166" s="104"/>
      <c r="CA166" s="104"/>
      <c r="CB166" s="104"/>
      <c r="CC166" s="104"/>
      <c r="CD166" s="104"/>
      <c r="CE166" s="104"/>
      <c r="CF166" s="104"/>
      <c r="CG166" s="104"/>
      <c r="CH166" s="104"/>
      <c r="CI166" s="104"/>
      <c r="CJ166" s="104"/>
      <c r="CK166" s="104"/>
      <c r="CL166" s="104"/>
      <c r="CM166" s="104"/>
      <c r="CN166" s="98"/>
      <c r="CP166" s="101"/>
      <c r="CQ166" s="101"/>
      <c r="CR166" s="101"/>
      <c r="CS166" s="101"/>
      <c r="CT166" s="101"/>
      <c r="FJ166" s="103"/>
      <c r="FL166" s="103"/>
      <c r="FN166" s="103"/>
      <c r="FP166" s="103"/>
    </row>
    <row r="167" spans="2:172" x14ac:dyDescent="0.35">
      <c r="B167" s="97"/>
      <c r="G167" s="100"/>
      <c r="K167" s="98"/>
      <c r="L167" s="101"/>
      <c r="M167" s="101"/>
      <c r="N167" s="101"/>
      <c r="O167" s="101"/>
      <c r="P167" s="102"/>
      <c r="Q167" s="101"/>
      <c r="R167" s="98"/>
      <c r="S167" s="98"/>
      <c r="T167" s="98"/>
      <c r="U167" s="98"/>
      <c r="V167" s="98"/>
      <c r="W167" s="98"/>
      <c r="X167" s="103"/>
      <c r="Y167" s="103"/>
      <c r="Z167" s="103"/>
      <c r="AA167" s="103"/>
      <c r="AB167" s="103"/>
      <c r="AC167" s="103"/>
      <c r="AD167" s="103"/>
      <c r="AE167" s="101"/>
      <c r="AF167" s="101"/>
      <c r="AG167" s="101"/>
      <c r="AH167" s="101"/>
      <c r="AI167" s="101"/>
      <c r="AJ167" s="101"/>
      <c r="AK167" s="101"/>
      <c r="AL167" s="103"/>
      <c r="AM167" s="103"/>
      <c r="AN167" s="103"/>
      <c r="AO167" s="103"/>
      <c r="AP167" s="103"/>
      <c r="AQ167" s="103"/>
      <c r="AR167" s="103"/>
      <c r="AS167" s="101"/>
      <c r="AT167" s="101"/>
      <c r="AU167" s="101"/>
      <c r="AV167" s="101"/>
      <c r="AW167" s="101"/>
      <c r="AX167" s="101"/>
      <c r="AY167" s="101"/>
      <c r="AZ167" s="103"/>
      <c r="BA167" s="103"/>
      <c r="BB167" s="103"/>
      <c r="BC167" s="101"/>
      <c r="BD167" s="101"/>
      <c r="BE167" s="101"/>
      <c r="BF167" s="101"/>
      <c r="BG167" s="101"/>
      <c r="BK167" s="101"/>
      <c r="BL167" s="101"/>
      <c r="BM167" s="101"/>
      <c r="BN167" s="101"/>
      <c r="BO167" s="101"/>
      <c r="BP167" s="101"/>
      <c r="BQ167" s="101"/>
      <c r="BR167" s="104"/>
      <c r="BS167" s="104"/>
      <c r="BT167" s="104"/>
      <c r="BU167" s="104"/>
      <c r="BV167" s="104"/>
      <c r="BW167" s="104"/>
      <c r="BX167" s="104"/>
      <c r="BY167" s="104"/>
      <c r="BZ167" s="104"/>
      <c r="CA167" s="104"/>
      <c r="CB167" s="104"/>
      <c r="CC167" s="104"/>
      <c r="CD167" s="104"/>
      <c r="CE167" s="104"/>
      <c r="CF167" s="104"/>
      <c r="CG167" s="104"/>
      <c r="CH167" s="104"/>
      <c r="CI167" s="104"/>
      <c r="CJ167" s="104"/>
      <c r="CK167" s="104"/>
      <c r="CL167" s="104"/>
      <c r="CM167" s="104"/>
      <c r="CN167" s="98"/>
      <c r="CP167" s="101"/>
      <c r="CQ167" s="101"/>
      <c r="CR167" s="101"/>
      <c r="CS167" s="101"/>
      <c r="CT167" s="101"/>
      <c r="FJ167" s="103"/>
      <c r="FL167" s="103"/>
      <c r="FN167" s="103"/>
      <c r="FP167" s="103"/>
    </row>
    <row r="168" spans="2:172" x14ac:dyDescent="0.35">
      <c r="B168" s="97"/>
      <c r="G168" s="100"/>
      <c r="K168" s="98"/>
      <c r="L168" s="101"/>
      <c r="M168" s="101"/>
      <c r="N168" s="101"/>
      <c r="O168" s="101"/>
      <c r="P168" s="102"/>
      <c r="Q168" s="101"/>
      <c r="R168" s="98"/>
      <c r="S168" s="98"/>
      <c r="T168" s="98"/>
      <c r="U168" s="98"/>
      <c r="V168" s="98"/>
      <c r="W168" s="98"/>
      <c r="X168" s="103"/>
      <c r="Y168" s="103"/>
      <c r="Z168" s="103"/>
      <c r="AA168" s="103"/>
      <c r="AB168" s="103"/>
      <c r="AC168" s="103"/>
      <c r="AD168" s="103"/>
      <c r="AE168" s="101"/>
      <c r="AF168" s="101"/>
      <c r="AG168" s="101"/>
      <c r="AH168" s="101"/>
      <c r="AI168" s="101"/>
      <c r="AJ168" s="101"/>
      <c r="AK168" s="101"/>
      <c r="AL168" s="103"/>
      <c r="AM168" s="103"/>
      <c r="AN168" s="103"/>
      <c r="AO168" s="103"/>
      <c r="AP168" s="103"/>
      <c r="AQ168" s="103"/>
      <c r="AR168" s="103"/>
      <c r="AS168" s="101"/>
      <c r="AT168" s="101"/>
      <c r="AU168" s="101"/>
      <c r="AV168" s="101"/>
      <c r="AW168" s="101"/>
      <c r="AX168" s="101"/>
      <c r="AY168" s="101"/>
      <c r="AZ168" s="103"/>
      <c r="BA168" s="103"/>
      <c r="BB168" s="103"/>
      <c r="BC168" s="101"/>
      <c r="BD168" s="101"/>
      <c r="BE168" s="101"/>
      <c r="BF168" s="101"/>
      <c r="BG168" s="101"/>
      <c r="BK168" s="101"/>
      <c r="BL168" s="101"/>
      <c r="BM168" s="101"/>
      <c r="BN168" s="101"/>
      <c r="BO168" s="101"/>
      <c r="BP168" s="101"/>
      <c r="BQ168" s="101"/>
      <c r="BR168" s="104"/>
      <c r="BS168" s="104"/>
      <c r="BT168" s="104"/>
      <c r="BU168" s="104"/>
      <c r="BV168" s="104"/>
      <c r="BW168" s="104"/>
      <c r="BX168" s="104"/>
      <c r="BY168" s="104"/>
      <c r="BZ168" s="104"/>
      <c r="CA168" s="104"/>
      <c r="CB168" s="104"/>
      <c r="CC168" s="104"/>
      <c r="CD168" s="104"/>
      <c r="CE168" s="104"/>
      <c r="CF168" s="104"/>
      <c r="CG168" s="104"/>
      <c r="CH168" s="104"/>
      <c r="CI168" s="104"/>
      <c r="CJ168" s="104"/>
      <c r="CK168" s="104"/>
      <c r="CL168" s="104"/>
      <c r="CM168" s="104"/>
      <c r="CN168" s="98"/>
      <c r="CP168" s="101"/>
      <c r="CQ168" s="101"/>
      <c r="CR168" s="101"/>
      <c r="CS168" s="101"/>
      <c r="CT168" s="101"/>
      <c r="FJ168" s="103"/>
      <c r="FL168" s="103"/>
      <c r="FN168" s="103"/>
      <c r="FP168" s="103"/>
    </row>
    <row r="169" spans="2:172" x14ac:dyDescent="0.35">
      <c r="B169" s="97"/>
      <c r="G169" s="100"/>
      <c r="K169" s="98"/>
      <c r="L169" s="101"/>
      <c r="M169" s="101"/>
      <c r="N169" s="101"/>
      <c r="O169" s="101"/>
      <c r="P169" s="102"/>
      <c r="Q169" s="101"/>
      <c r="R169" s="98"/>
      <c r="S169" s="98"/>
      <c r="T169" s="98"/>
      <c r="U169" s="98"/>
      <c r="V169" s="98"/>
      <c r="W169" s="98"/>
      <c r="X169" s="103"/>
      <c r="Y169" s="103"/>
      <c r="Z169" s="103"/>
      <c r="AA169" s="103"/>
      <c r="AB169" s="103"/>
      <c r="AC169" s="103"/>
      <c r="AD169" s="103"/>
      <c r="AE169" s="101"/>
      <c r="AF169" s="101"/>
      <c r="AG169" s="101"/>
      <c r="AH169" s="101"/>
      <c r="AI169" s="101"/>
      <c r="AJ169" s="101"/>
      <c r="AK169" s="101"/>
      <c r="AL169" s="103"/>
      <c r="AM169" s="103"/>
      <c r="AN169" s="103"/>
      <c r="AO169" s="103"/>
      <c r="AP169" s="103"/>
      <c r="AQ169" s="103"/>
      <c r="AR169" s="103"/>
      <c r="AS169" s="101"/>
      <c r="AT169" s="101"/>
      <c r="AU169" s="101"/>
      <c r="AV169" s="101"/>
      <c r="AW169" s="101"/>
      <c r="AX169" s="101"/>
      <c r="AY169" s="101"/>
      <c r="AZ169" s="103"/>
      <c r="BA169" s="103"/>
      <c r="BB169" s="103"/>
      <c r="BC169" s="101"/>
      <c r="BD169" s="101"/>
      <c r="BE169" s="101"/>
      <c r="BF169" s="101"/>
      <c r="BG169" s="101"/>
      <c r="BK169" s="101"/>
      <c r="BL169" s="101"/>
      <c r="BM169" s="101"/>
      <c r="BN169" s="101"/>
      <c r="BO169" s="101"/>
      <c r="BP169" s="101"/>
      <c r="BQ169" s="101"/>
      <c r="BR169" s="104"/>
      <c r="BS169" s="104"/>
      <c r="BT169" s="104"/>
      <c r="BU169" s="104"/>
      <c r="BV169" s="104"/>
      <c r="BW169" s="104"/>
      <c r="BX169" s="104"/>
      <c r="BY169" s="104"/>
      <c r="BZ169" s="104"/>
      <c r="CA169" s="104"/>
      <c r="CB169" s="104"/>
      <c r="CC169" s="104"/>
      <c r="CD169" s="104"/>
      <c r="CE169" s="104"/>
      <c r="CF169" s="104"/>
      <c r="CG169" s="104"/>
      <c r="CH169" s="104"/>
      <c r="CI169" s="104"/>
      <c r="CJ169" s="104"/>
      <c r="CK169" s="104"/>
      <c r="CL169" s="104"/>
      <c r="CM169" s="104"/>
      <c r="CN169" s="98"/>
      <c r="CP169" s="101"/>
      <c r="CQ169" s="101"/>
      <c r="CR169" s="101"/>
      <c r="CS169" s="101"/>
      <c r="CT169" s="101"/>
      <c r="FJ169" s="103"/>
      <c r="FL169" s="103"/>
      <c r="FN169" s="103"/>
      <c r="FP169" s="103"/>
    </row>
    <row r="170" spans="2:172" x14ac:dyDescent="0.35">
      <c r="B170" s="97"/>
      <c r="G170" s="100"/>
      <c r="K170" s="98"/>
      <c r="L170" s="101"/>
      <c r="M170" s="101"/>
      <c r="N170" s="101"/>
      <c r="O170" s="101"/>
      <c r="P170" s="102"/>
      <c r="Q170" s="101"/>
      <c r="R170" s="98"/>
      <c r="S170" s="98"/>
      <c r="T170" s="98"/>
      <c r="U170" s="98"/>
      <c r="V170" s="98"/>
      <c r="W170" s="98"/>
      <c r="X170" s="103"/>
      <c r="Y170" s="103"/>
      <c r="Z170" s="103"/>
      <c r="AA170" s="103"/>
      <c r="AB170" s="103"/>
      <c r="AC170" s="103"/>
      <c r="AD170" s="103"/>
      <c r="AE170" s="101"/>
      <c r="AF170" s="101"/>
      <c r="AG170" s="101"/>
      <c r="AH170" s="101"/>
      <c r="AI170" s="101"/>
      <c r="AJ170" s="101"/>
      <c r="AK170" s="101"/>
      <c r="AL170" s="103"/>
      <c r="AM170" s="103"/>
      <c r="AN170" s="103"/>
      <c r="AO170" s="103"/>
      <c r="AP170" s="103"/>
      <c r="AQ170" s="103"/>
      <c r="AR170" s="103"/>
      <c r="AS170" s="101"/>
      <c r="AT170" s="101"/>
      <c r="AU170" s="101"/>
      <c r="AV170" s="101"/>
      <c r="AW170" s="101"/>
      <c r="AX170" s="101"/>
      <c r="AY170" s="101"/>
      <c r="AZ170" s="103"/>
      <c r="BA170" s="103"/>
      <c r="BB170" s="103"/>
      <c r="BC170" s="101"/>
      <c r="BD170" s="101"/>
      <c r="BE170" s="101"/>
      <c r="BF170" s="101"/>
      <c r="BG170" s="101"/>
      <c r="BK170" s="101"/>
      <c r="BL170" s="101"/>
      <c r="BM170" s="101"/>
      <c r="BN170" s="101"/>
      <c r="BO170" s="101"/>
      <c r="BP170" s="101"/>
      <c r="BQ170" s="101"/>
      <c r="BR170" s="104"/>
      <c r="BS170" s="104"/>
      <c r="BT170" s="104"/>
      <c r="BU170" s="104"/>
      <c r="BV170" s="104"/>
      <c r="BW170" s="104"/>
      <c r="BX170" s="104"/>
      <c r="BY170" s="104"/>
      <c r="BZ170" s="104"/>
      <c r="CA170" s="104"/>
      <c r="CB170" s="104"/>
      <c r="CC170" s="104"/>
      <c r="CD170" s="104"/>
      <c r="CE170" s="104"/>
      <c r="CF170" s="104"/>
      <c r="CG170" s="104"/>
      <c r="CH170" s="104"/>
      <c r="CI170" s="104"/>
      <c r="CJ170" s="104"/>
      <c r="CK170" s="104"/>
      <c r="CL170" s="104"/>
      <c r="CM170" s="104"/>
      <c r="CN170" s="98"/>
      <c r="CP170" s="101"/>
      <c r="CQ170" s="101"/>
      <c r="CR170" s="101"/>
      <c r="CS170" s="101"/>
      <c r="CT170" s="101"/>
      <c r="FJ170" s="103"/>
      <c r="FL170" s="103"/>
      <c r="FN170" s="103"/>
      <c r="FP170" s="103"/>
    </row>
    <row r="171" spans="2:172" x14ac:dyDescent="0.35">
      <c r="B171" s="97"/>
      <c r="G171" s="100"/>
      <c r="K171" s="98"/>
      <c r="L171" s="101"/>
      <c r="M171" s="101"/>
      <c r="N171" s="101"/>
      <c r="O171" s="101"/>
      <c r="P171" s="102"/>
      <c r="Q171" s="101"/>
      <c r="R171" s="98"/>
      <c r="S171" s="98"/>
      <c r="T171" s="98"/>
      <c r="U171" s="98"/>
      <c r="V171" s="98"/>
      <c r="W171" s="98"/>
      <c r="X171" s="103"/>
      <c r="Y171" s="103"/>
      <c r="Z171" s="103"/>
      <c r="AA171" s="103"/>
      <c r="AB171" s="103"/>
      <c r="AC171" s="103"/>
      <c r="AD171" s="103"/>
      <c r="AE171" s="101"/>
      <c r="AF171" s="101"/>
      <c r="AG171" s="101"/>
      <c r="AH171" s="101"/>
      <c r="AI171" s="101"/>
      <c r="AJ171" s="101"/>
      <c r="AK171" s="101"/>
      <c r="AL171" s="103"/>
      <c r="AM171" s="103"/>
      <c r="AN171" s="103"/>
      <c r="AO171" s="103"/>
      <c r="AP171" s="103"/>
      <c r="AQ171" s="103"/>
      <c r="AR171" s="103"/>
      <c r="AS171" s="101"/>
      <c r="AT171" s="101"/>
      <c r="AU171" s="101"/>
      <c r="AV171" s="101"/>
      <c r="AW171" s="101"/>
      <c r="AX171" s="101"/>
      <c r="AY171" s="101"/>
      <c r="AZ171" s="103"/>
      <c r="BA171" s="103"/>
      <c r="BB171" s="103"/>
      <c r="BC171" s="101"/>
      <c r="BD171" s="101"/>
      <c r="BE171" s="101"/>
      <c r="BF171" s="101"/>
      <c r="BG171" s="101"/>
      <c r="BK171" s="101"/>
      <c r="BL171" s="101"/>
      <c r="BM171" s="101"/>
      <c r="BN171" s="101"/>
      <c r="BO171" s="101"/>
      <c r="BP171" s="101"/>
      <c r="BQ171" s="101"/>
      <c r="BR171" s="104"/>
      <c r="BS171" s="104"/>
      <c r="BT171" s="104"/>
      <c r="BU171" s="104"/>
      <c r="BV171" s="104"/>
      <c r="BW171" s="104"/>
      <c r="BX171" s="104"/>
      <c r="BY171" s="104"/>
      <c r="BZ171" s="104"/>
      <c r="CA171" s="104"/>
      <c r="CB171" s="104"/>
      <c r="CC171" s="104"/>
      <c r="CD171" s="104"/>
      <c r="CE171" s="104"/>
      <c r="CF171" s="104"/>
      <c r="CG171" s="104"/>
      <c r="CH171" s="104"/>
      <c r="CI171" s="104"/>
      <c r="CJ171" s="104"/>
      <c r="CK171" s="104"/>
      <c r="CL171" s="104"/>
      <c r="CM171" s="104"/>
      <c r="CN171" s="98"/>
      <c r="CP171" s="101"/>
      <c r="CQ171" s="101"/>
      <c r="CR171" s="101"/>
      <c r="CS171" s="101"/>
      <c r="CT171" s="101"/>
      <c r="FJ171" s="103"/>
      <c r="FL171" s="103"/>
      <c r="FN171" s="103"/>
      <c r="FP171" s="103"/>
    </row>
    <row r="172" spans="2:172" x14ac:dyDescent="0.35">
      <c r="B172" s="97"/>
      <c r="G172" s="100"/>
      <c r="K172" s="98"/>
      <c r="L172" s="101"/>
      <c r="M172" s="101"/>
      <c r="N172" s="101"/>
      <c r="O172" s="101"/>
      <c r="P172" s="102"/>
      <c r="Q172" s="101"/>
      <c r="R172" s="98"/>
      <c r="S172" s="98"/>
      <c r="T172" s="98"/>
      <c r="U172" s="98"/>
      <c r="V172" s="98"/>
      <c r="W172" s="98"/>
      <c r="X172" s="103"/>
      <c r="Y172" s="103"/>
      <c r="Z172" s="103"/>
      <c r="AA172" s="103"/>
      <c r="AB172" s="103"/>
      <c r="AC172" s="103"/>
      <c r="AD172" s="103"/>
      <c r="AE172" s="101"/>
      <c r="AF172" s="101"/>
      <c r="AG172" s="101"/>
      <c r="AH172" s="101"/>
      <c r="AI172" s="101"/>
      <c r="AJ172" s="101"/>
      <c r="AK172" s="101"/>
      <c r="AL172" s="103"/>
      <c r="AM172" s="103"/>
      <c r="AN172" s="103"/>
      <c r="AO172" s="103"/>
      <c r="AP172" s="103"/>
      <c r="AQ172" s="103"/>
      <c r="AR172" s="103"/>
      <c r="AS172" s="101"/>
      <c r="AT172" s="101"/>
      <c r="AU172" s="101"/>
      <c r="AV172" s="101"/>
      <c r="AW172" s="101"/>
      <c r="AX172" s="101"/>
      <c r="AY172" s="101"/>
      <c r="AZ172" s="103"/>
      <c r="BA172" s="103"/>
      <c r="BB172" s="103"/>
      <c r="BC172" s="101"/>
      <c r="BD172" s="101"/>
      <c r="BE172" s="101"/>
      <c r="BF172" s="101"/>
      <c r="BG172" s="101"/>
      <c r="BK172" s="101"/>
      <c r="BL172" s="101"/>
      <c r="BM172" s="101"/>
      <c r="BN172" s="101"/>
      <c r="BO172" s="101"/>
      <c r="BP172" s="101"/>
      <c r="BQ172" s="101"/>
      <c r="BR172" s="104"/>
      <c r="BS172" s="104"/>
      <c r="BT172" s="104"/>
      <c r="BU172" s="104"/>
      <c r="BV172" s="104"/>
      <c r="BW172" s="104"/>
      <c r="BX172" s="104"/>
      <c r="BY172" s="104"/>
      <c r="BZ172" s="104"/>
      <c r="CA172" s="104"/>
      <c r="CB172" s="104"/>
      <c r="CC172" s="104"/>
      <c r="CD172" s="104"/>
      <c r="CE172" s="104"/>
      <c r="CF172" s="104"/>
      <c r="CG172" s="104"/>
      <c r="CH172" s="104"/>
      <c r="CI172" s="104"/>
      <c r="CJ172" s="104"/>
      <c r="CK172" s="104"/>
      <c r="CL172" s="104"/>
      <c r="CM172" s="104"/>
      <c r="CN172" s="98"/>
      <c r="CP172" s="101"/>
      <c r="CQ172" s="101"/>
      <c r="CR172" s="101"/>
      <c r="CS172" s="101"/>
      <c r="CT172" s="101"/>
      <c r="FJ172" s="103"/>
      <c r="FL172" s="103"/>
      <c r="FN172" s="103"/>
      <c r="FP172" s="103"/>
    </row>
    <row r="173" spans="2:172" x14ac:dyDescent="0.35">
      <c r="B173" s="97"/>
      <c r="G173" s="100"/>
      <c r="K173" s="98"/>
      <c r="L173" s="101"/>
      <c r="M173" s="101"/>
      <c r="N173" s="101"/>
      <c r="O173" s="101"/>
      <c r="P173" s="102"/>
      <c r="Q173" s="101"/>
      <c r="R173" s="98"/>
      <c r="S173" s="98"/>
      <c r="T173" s="98"/>
      <c r="U173" s="98"/>
      <c r="V173" s="98"/>
      <c r="W173" s="98"/>
      <c r="X173" s="103"/>
      <c r="Y173" s="103"/>
      <c r="Z173" s="103"/>
      <c r="AA173" s="103"/>
      <c r="AB173" s="103"/>
      <c r="AC173" s="103"/>
      <c r="AD173" s="103"/>
      <c r="AE173" s="101"/>
      <c r="AF173" s="101"/>
      <c r="AG173" s="101"/>
      <c r="AH173" s="101"/>
      <c r="AI173" s="101"/>
      <c r="AJ173" s="101"/>
      <c r="AK173" s="101"/>
      <c r="AL173" s="103"/>
      <c r="AM173" s="103"/>
      <c r="AN173" s="103"/>
      <c r="AO173" s="103"/>
      <c r="AP173" s="103"/>
      <c r="AQ173" s="103"/>
      <c r="AR173" s="103"/>
      <c r="AS173" s="101"/>
      <c r="AT173" s="101"/>
      <c r="AU173" s="101"/>
      <c r="AV173" s="101"/>
      <c r="AW173" s="101"/>
      <c r="AX173" s="101"/>
      <c r="AY173" s="101"/>
      <c r="AZ173" s="103"/>
      <c r="BA173" s="103"/>
      <c r="BB173" s="103"/>
      <c r="BC173" s="101"/>
      <c r="BD173" s="101"/>
      <c r="BE173" s="101"/>
      <c r="BF173" s="101"/>
      <c r="BG173" s="101"/>
      <c r="BK173" s="101"/>
      <c r="BL173" s="101"/>
      <c r="BM173" s="101"/>
      <c r="BN173" s="101"/>
      <c r="BO173" s="101"/>
      <c r="BP173" s="101"/>
      <c r="BQ173" s="101"/>
      <c r="BR173" s="104"/>
      <c r="BS173" s="104"/>
      <c r="BT173" s="104"/>
      <c r="BU173" s="104"/>
      <c r="BV173" s="104"/>
      <c r="BW173" s="104"/>
      <c r="BX173" s="104"/>
      <c r="BY173" s="104"/>
      <c r="BZ173" s="104"/>
      <c r="CA173" s="104"/>
      <c r="CB173" s="104"/>
      <c r="CC173" s="104"/>
      <c r="CD173" s="104"/>
      <c r="CE173" s="104"/>
      <c r="CF173" s="104"/>
      <c r="CG173" s="104"/>
      <c r="CH173" s="104"/>
      <c r="CI173" s="104"/>
      <c r="CJ173" s="104"/>
      <c r="CK173" s="104"/>
      <c r="CL173" s="104"/>
      <c r="CM173" s="104"/>
      <c r="CN173" s="98"/>
      <c r="CP173" s="101"/>
      <c r="CQ173" s="101"/>
      <c r="CR173" s="101"/>
      <c r="CS173" s="101"/>
      <c r="CT173" s="101"/>
      <c r="FJ173" s="103"/>
      <c r="FL173" s="103"/>
      <c r="FN173" s="103"/>
      <c r="FP173" s="103"/>
    </row>
    <row r="174" spans="2:172" x14ac:dyDescent="0.35">
      <c r="B174" s="97"/>
      <c r="G174" s="100"/>
      <c r="K174" s="98"/>
      <c r="L174" s="101"/>
      <c r="M174" s="101"/>
      <c r="N174" s="101"/>
      <c r="O174" s="101"/>
      <c r="P174" s="102"/>
      <c r="Q174" s="101"/>
      <c r="R174" s="98"/>
      <c r="S174" s="98"/>
      <c r="T174" s="98"/>
      <c r="U174" s="98"/>
      <c r="V174" s="98"/>
      <c r="W174" s="98"/>
      <c r="X174" s="103"/>
      <c r="Y174" s="103"/>
      <c r="Z174" s="103"/>
      <c r="AA174" s="103"/>
      <c r="AB174" s="103"/>
      <c r="AC174" s="103"/>
      <c r="AD174" s="103"/>
      <c r="AE174" s="101"/>
      <c r="AF174" s="101"/>
      <c r="AG174" s="101"/>
      <c r="AH174" s="101"/>
      <c r="AI174" s="101"/>
      <c r="AJ174" s="101"/>
      <c r="AK174" s="101"/>
      <c r="AL174" s="103"/>
      <c r="AM174" s="103"/>
      <c r="AN174" s="103"/>
      <c r="AO174" s="103"/>
      <c r="AP174" s="103"/>
      <c r="AQ174" s="103"/>
      <c r="AR174" s="103"/>
      <c r="AS174" s="101"/>
      <c r="AT174" s="101"/>
      <c r="AU174" s="101"/>
      <c r="AV174" s="101"/>
      <c r="AW174" s="101"/>
      <c r="AX174" s="101"/>
      <c r="AY174" s="101"/>
      <c r="AZ174" s="103"/>
      <c r="BA174" s="103"/>
      <c r="BB174" s="103"/>
      <c r="BC174" s="101"/>
      <c r="BD174" s="101"/>
      <c r="BE174" s="101"/>
      <c r="BF174" s="101"/>
      <c r="BG174" s="101"/>
      <c r="BK174" s="101"/>
      <c r="BL174" s="101"/>
      <c r="BM174" s="101"/>
      <c r="BN174" s="101"/>
      <c r="BO174" s="101"/>
      <c r="BP174" s="101"/>
      <c r="BQ174" s="101"/>
      <c r="BR174" s="104"/>
      <c r="BS174" s="104"/>
      <c r="BT174" s="104"/>
      <c r="BU174" s="104"/>
      <c r="BV174" s="104"/>
      <c r="BW174" s="104"/>
      <c r="BX174" s="104"/>
      <c r="BY174" s="104"/>
      <c r="BZ174" s="104"/>
      <c r="CA174" s="104"/>
      <c r="CB174" s="104"/>
      <c r="CC174" s="104"/>
      <c r="CD174" s="104"/>
      <c r="CE174" s="104"/>
      <c r="CF174" s="104"/>
      <c r="CG174" s="104"/>
      <c r="CH174" s="104"/>
      <c r="CI174" s="104"/>
      <c r="CJ174" s="104"/>
      <c r="CK174" s="104"/>
      <c r="CL174" s="104"/>
      <c r="CM174" s="104"/>
      <c r="CN174" s="98"/>
      <c r="CP174" s="101"/>
      <c r="CQ174" s="101"/>
      <c r="CR174" s="101"/>
      <c r="CS174" s="101"/>
      <c r="CT174" s="101"/>
      <c r="FJ174" s="103"/>
      <c r="FL174" s="103"/>
      <c r="FN174" s="103"/>
      <c r="FP174" s="103"/>
    </row>
    <row r="175" spans="2:172" x14ac:dyDescent="0.35">
      <c r="B175" s="97"/>
      <c r="G175" s="100"/>
      <c r="K175" s="98"/>
      <c r="L175" s="101"/>
      <c r="M175" s="101"/>
      <c r="N175" s="101"/>
      <c r="O175" s="101"/>
      <c r="P175" s="102"/>
      <c r="Q175" s="101"/>
      <c r="R175" s="98"/>
      <c r="S175" s="98"/>
      <c r="T175" s="98"/>
      <c r="U175" s="98"/>
      <c r="V175" s="98"/>
      <c r="W175" s="98"/>
      <c r="X175" s="103"/>
      <c r="Y175" s="103"/>
      <c r="Z175" s="103"/>
      <c r="AA175" s="103"/>
      <c r="AB175" s="103"/>
      <c r="AC175" s="103"/>
      <c r="AD175" s="103"/>
      <c r="AE175" s="101"/>
      <c r="AF175" s="101"/>
      <c r="AG175" s="101"/>
      <c r="AH175" s="101"/>
      <c r="AI175" s="101"/>
      <c r="AJ175" s="101"/>
      <c r="AK175" s="101"/>
      <c r="AL175" s="103"/>
      <c r="AM175" s="103"/>
      <c r="AN175" s="103"/>
      <c r="AO175" s="103"/>
      <c r="AP175" s="103"/>
      <c r="AQ175" s="103"/>
      <c r="AR175" s="103"/>
      <c r="AS175" s="101"/>
      <c r="AT175" s="101"/>
      <c r="AU175" s="101"/>
      <c r="AV175" s="101"/>
      <c r="AW175" s="101"/>
      <c r="AX175" s="101"/>
      <c r="AY175" s="101"/>
      <c r="AZ175" s="103"/>
      <c r="BA175" s="103"/>
      <c r="BB175" s="103"/>
      <c r="BC175" s="101"/>
      <c r="BD175" s="101"/>
      <c r="BE175" s="101"/>
      <c r="BF175" s="101"/>
      <c r="BG175" s="101"/>
      <c r="BK175" s="101"/>
      <c r="BL175" s="101"/>
      <c r="BM175" s="101"/>
      <c r="BN175" s="101"/>
      <c r="BO175" s="101"/>
      <c r="BP175" s="101"/>
      <c r="BQ175" s="101"/>
      <c r="BR175" s="104"/>
      <c r="BS175" s="104"/>
      <c r="BT175" s="104"/>
      <c r="BU175" s="104"/>
      <c r="BV175" s="104"/>
      <c r="BW175" s="104"/>
      <c r="BX175" s="104"/>
      <c r="BY175" s="104"/>
      <c r="BZ175" s="104"/>
      <c r="CA175" s="104"/>
      <c r="CB175" s="104"/>
      <c r="CC175" s="104"/>
      <c r="CD175" s="104"/>
      <c r="CE175" s="104"/>
      <c r="CF175" s="104"/>
      <c r="CG175" s="104"/>
      <c r="CH175" s="104"/>
      <c r="CI175" s="104"/>
      <c r="CJ175" s="104"/>
      <c r="CK175" s="104"/>
      <c r="CL175" s="104"/>
      <c r="CM175" s="104"/>
      <c r="CN175" s="98"/>
      <c r="CP175" s="101"/>
      <c r="CQ175" s="101"/>
      <c r="CR175" s="101"/>
      <c r="CS175" s="101"/>
      <c r="CT175" s="101"/>
      <c r="FJ175" s="103"/>
      <c r="FL175" s="103"/>
      <c r="FN175" s="103"/>
      <c r="FP175" s="103"/>
    </row>
    <row r="176" spans="2:172" x14ac:dyDescent="0.35">
      <c r="B176" s="97"/>
      <c r="G176" s="100"/>
      <c r="K176" s="98"/>
      <c r="L176" s="101"/>
      <c r="M176" s="101"/>
      <c r="N176" s="101"/>
      <c r="O176" s="101"/>
      <c r="P176" s="102"/>
      <c r="Q176" s="101"/>
      <c r="R176" s="98"/>
      <c r="S176" s="98"/>
      <c r="T176" s="98"/>
      <c r="U176" s="98"/>
      <c r="V176" s="98"/>
      <c r="W176" s="98"/>
      <c r="X176" s="103"/>
      <c r="Y176" s="103"/>
      <c r="Z176" s="103"/>
      <c r="AA176" s="103"/>
      <c r="AB176" s="103"/>
      <c r="AC176" s="103"/>
      <c r="AD176" s="103"/>
      <c r="AE176" s="101"/>
      <c r="AF176" s="101"/>
      <c r="AG176" s="101"/>
      <c r="AH176" s="101"/>
      <c r="AI176" s="101"/>
      <c r="AJ176" s="101"/>
      <c r="AK176" s="101"/>
      <c r="AL176" s="103"/>
      <c r="AM176" s="103"/>
      <c r="AN176" s="103"/>
      <c r="AO176" s="103"/>
      <c r="AP176" s="103"/>
      <c r="AQ176" s="103"/>
      <c r="AR176" s="103"/>
      <c r="AS176" s="101"/>
      <c r="AT176" s="101"/>
      <c r="AU176" s="101"/>
      <c r="AV176" s="101"/>
      <c r="AW176" s="101"/>
      <c r="AX176" s="101"/>
      <c r="AY176" s="101"/>
      <c r="AZ176" s="103"/>
      <c r="BA176" s="103"/>
      <c r="BB176" s="103"/>
      <c r="BC176" s="101"/>
      <c r="BD176" s="101"/>
      <c r="BE176" s="101"/>
      <c r="BF176" s="101"/>
      <c r="BG176" s="101"/>
      <c r="BK176" s="101"/>
      <c r="BL176" s="101"/>
      <c r="BM176" s="101"/>
      <c r="BN176" s="101"/>
      <c r="BO176" s="101"/>
      <c r="BP176" s="101"/>
      <c r="BQ176" s="101"/>
      <c r="BR176" s="104"/>
      <c r="BS176" s="104"/>
      <c r="BT176" s="104"/>
      <c r="BU176" s="104"/>
      <c r="BV176" s="104"/>
      <c r="BW176" s="104"/>
      <c r="BX176" s="104"/>
      <c r="BY176" s="104"/>
      <c r="BZ176" s="104"/>
      <c r="CA176" s="104"/>
      <c r="CB176" s="104"/>
      <c r="CC176" s="104"/>
      <c r="CD176" s="104"/>
      <c r="CE176" s="104"/>
      <c r="CF176" s="104"/>
      <c r="CG176" s="104"/>
      <c r="CH176" s="104"/>
      <c r="CI176" s="104"/>
      <c r="CJ176" s="104"/>
      <c r="CK176" s="104"/>
      <c r="CL176" s="104"/>
      <c r="CM176" s="104"/>
      <c r="CN176" s="98"/>
      <c r="CP176" s="101"/>
      <c r="CQ176" s="101"/>
      <c r="CR176" s="101"/>
      <c r="CS176" s="101"/>
      <c r="CT176" s="101"/>
      <c r="FJ176" s="103"/>
      <c r="FL176" s="103"/>
      <c r="FN176" s="103"/>
      <c r="FP176" s="103"/>
    </row>
    <row r="177" spans="2:172" x14ac:dyDescent="0.35">
      <c r="B177" s="97"/>
      <c r="G177" s="100"/>
      <c r="K177" s="98"/>
      <c r="L177" s="101"/>
      <c r="M177" s="101"/>
      <c r="N177" s="101"/>
      <c r="O177" s="101"/>
      <c r="P177" s="102"/>
      <c r="Q177" s="101"/>
      <c r="R177" s="98"/>
      <c r="S177" s="98"/>
      <c r="T177" s="98"/>
      <c r="U177" s="98"/>
      <c r="V177" s="98"/>
      <c r="W177" s="98"/>
      <c r="X177" s="103"/>
      <c r="Y177" s="103"/>
      <c r="Z177" s="103"/>
      <c r="AA177" s="103"/>
      <c r="AB177" s="103"/>
      <c r="AC177" s="103"/>
      <c r="AD177" s="103"/>
      <c r="AE177" s="101"/>
      <c r="AF177" s="101"/>
      <c r="AG177" s="101"/>
      <c r="AH177" s="101"/>
      <c r="AI177" s="101"/>
      <c r="AJ177" s="101"/>
      <c r="AK177" s="101"/>
      <c r="AL177" s="103"/>
      <c r="AM177" s="103"/>
      <c r="AN177" s="103"/>
      <c r="AO177" s="103"/>
      <c r="AP177" s="103"/>
      <c r="AQ177" s="103"/>
      <c r="AR177" s="103"/>
      <c r="AS177" s="101"/>
      <c r="AT177" s="101"/>
      <c r="AU177" s="101"/>
      <c r="AV177" s="101"/>
      <c r="AW177" s="101"/>
      <c r="AX177" s="101"/>
      <c r="AY177" s="101"/>
      <c r="AZ177" s="103"/>
      <c r="BA177" s="103"/>
      <c r="BB177" s="103"/>
      <c r="BC177" s="101"/>
      <c r="BD177" s="101"/>
      <c r="BE177" s="101"/>
      <c r="BF177" s="101"/>
      <c r="BG177" s="101"/>
      <c r="BK177" s="101"/>
      <c r="BL177" s="101"/>
      <c r="BM177" s="101"/>
      <c r="BN177" s="101"/>
      <c r="BO177" s="101"/>
      <c r="BP177" s="101"/>
      <c r="BQ177" s="101"/>
      <c r="BR177" s="104"/>
      <c r="BS177" s="104"/>
      <c r="BT177" s="104"/>
      <c r="BU177" s="104"/>
      <c r="BV177" s="104"/>
      <c r="BW177" s="104"/>
      <c r="BX177" s="104"/>
      <c r="BY177" s="104"/>
      <c r="BZ177" s="104"/>
      <c r="CA177" s="104"/>
      <c r="CB177" s="104"/>
      <c r="CC177" s="104"/>
      <c r="CD177" s="104"/>
      <c r="CE177" s="104"/>
      <c r="CF177" s="104"/>
      <c r="CG177" s="104"/>
      <c r="CH177" s="104"/>
      <c r="CI177" s="104"/>
      <c r="CJ177" s="104"/>
      <c r="CK177" s="104"/>
      <c r="CL177" s="104"/>
      <c r="CM177" s="104"/>
      <c r="CN177" s="98"/>
      <c r="CP177" s="101"/>
      <c r="CQ177" s="101"/>
      <c r="CR177" s="101"/>
      <c r="CS177" s="101"/>
      <c r="CT177" s="101"/>
      <c r="FJ177" s="103"/>
      <c r="FL177" s="103"/>
      <c r="FN177" s="103"/>
      <c r="FP177" s="103"/>
    </row>
    <row r="178" spans="2:172" x14ac:dyDescent="0.35">
      <c r="B178" s="97"/>
      <c r="G178" s="100"/>
      <c r="K178" s="98"/>
      <c r="L178" s="101"/>
      <c r="M178" s="101"/>
      <c r="N178" s="101"/>
      <c r="O178" s="101"/>
      <c r="P178" s="102"/>
      <c r="Q178" s="101"/>
      <c r="R178" s="98"/>
      <c r="S178" s="98"/>
      <c r="T178" s="98"/>
      <c r="U178" s="98"/>
      <c r="V178" s="98"/>
      <c r="W178" s="98"/>
      <c r="X178" s="103"/>
      <c r="Y178" s="103"/>
      <c r="Z178" s="103"/>
      <c r="AA178" s="103"/>
      <c r="AB178" s="103"/>
      <c r="AC178" s="103"/>
      <c r="AD178" s="103"/>
      <c r="AE178" s="101"/>
      <c r="AF178" s="101"/>
      <c r="AG178" s="101"/>
      <c r="AH178" s="101"/>
      <c r="AI178" s="101"/>
      <c r="AJ178" s="101"/>
      <c r="AK178" s="101"/>
      <c r="AL178" s="103"/>
      <c r="AM178" s="103"/>
      <c r="AN178" s="103"/>
      <c r="AO178" s="103"/>
      <c r="AP178" s="103"/>
      <c r="AQ178" s="103"/>
      <c r="AR178" s="103"/>
      <c r="AS178" s="101"/>
      <c r="AT178" s="101"/>
      <c r="AU178" s="101"/>
      <c r="AV178" s="101"/>
      <c r="AW178" s="101"/>
      <c r="AX178" s="101"/>
      <c r="AY178" s="101"/>
      <c r="AZ178" s="103"/>
      <c r="BA178" s="103"/>
      <c r="BB178" s="103"/>
      <c r="BC178" s="101"/>
      <c r="BD178" s="101"/>
      <c r="BE178" s="101"/>
      <c r="BF178" s="101"/>
      <c r="BG178" s="101"/>
      <c r="BK178" s="101"/>
      <c r="BL178" s="101"/>
      <c r="BM178" s="101"/>
      <c r="BN178" s="101"/>
      <c r="BO178" s="101"/>
      <c r="BP178" s="101"/>
      <c r="BQ178" s="101"/>
      <c r="BR178" s="104"/>
      <c r="BS178" s="104"/>
      <c r="BT178" s="104"/>
      <c r="BU178" s="104"/>
      <c r="BV178" s="104"/>
      <c r="BW178" s="104"/>
      <c r="BX178" s="104"/>
      <c r="BY178" s="104"/>
      <c r="BZ178" s="104"/>
      <c r="CA178" s="104"/>
      <c r="CB178" s="104"/>
      <c r="CC178" s="104"/>
      <c r="CD178" s="104"/>
      <c r="CE178" s="104"/>
      <c r="CF178" s="104"/>
      <c r="CG178" s="104"/>
      <c r="CH178" s="104"/>
      <c r="CI178" s="104"/>
      <c r="CJ178" s="104"/>
      <c r="CK178" s="104"/>
      <c r="CL178" s="104"/>
      <c r="CM178" s="104"/>
      <c r="CN178" s="98"/>
      <c r="CP178" s="101"/>
      <c r="CQ178" s="101"/>
      <c r="CR178" s="101"/>
      <c r="CS178" s="101"/>
      <c r="CT178" s="101"/>
      <c r="FJ178" s="103"/>
      <c r="FL178" s="103"/>
      <c r="FN178" s="103"/>
      <c r="FP178" s="103"/>
    </row>
    <row r="179" spans="2:172" x14ac:dyDescent="0.35">
      <c r="B179" s="97"/>
      <c r="G179" s="100"/>
      <c r="K179" s="98"/>
      <c r="L179" s="101"/>
      <c r="M179" s="101"/>
      <c r="N179" s="101"/>
      <c r="O179" s="101"/>
      <c r="P179" s="102"/>
      <c r="Q179" s="101"/>
      <c r="R179" s="98"/>
      <c r="S179" s="98"/>
      <c r="T179" s="98"/>
      <c r="U179" s="98"/>
      <c r="V179" s="98"/>
      <c r="W179" s="98"/>
      <c r="X179" s="103"/>
      <c r="Y179" s="103"/>
      <c r="Z179" s="103"/>
      <c r="AA179" s="103"/>
      <c r="AB179" s="103"/>
      <c r="AC179" s="103"/>
      <c r="AD179" s="103"/>
      <c r="AE179" s="101"/>
      <c r="AF179" s="101"/>
      <c r="AG179" s="101"/>
      <c r="AH179" s="101"/>
      <c r="AI179" s="101"/>
      <c r="AJ179" s="101"/>
      <c r="AK179" s="101"/>
      <c r="AL179" s="103"/>
      <c r="AM179" s="103"/>
      <c r="AN179" s="103"/>
      <c r="AO179" s="103"/>
      <c r="AP179" s="103"/>
      <c r="AQ179" s="103"/>
      <c r="AR179" s="103"/>
      <c r="AS179" s="101"/>
      <c r="AT179" s="101"/>
      <c r="AU179" s="101"/>
      <c r="AV179" s="101"/>
      <c r="AW179" s="101"/>
      <c r="AX179" s="101"/>
      <c r="AY179" s="101"/>
      <c r="AZ179" s="103"/>
      <c r="BA179" s="103"/>
      <c r="BB179" s="103"/>
      <c r="BC179" s="101"/>
      <c r="BD179" s="101"/>
      <c r="BE179" s="101"/>
      <c r="BF179" s="101"/>
      <c r="BG179" s="101"/>
      <c r="BK179" s="101"/>
      <c r="BL179" s="101"/>
      <c r="BM179" s="101"/>
      <c r="BN179" s="101"/>
      <c r="BO179" s="101"/>
      <c r="BP179" s="101"/>
      <c r="BQ179" s="101"/>
      <c r="BR179" s="104"/>
      <c r="BS179" s="104"/>
      <c r="BT179" s="104"/>
      <c r="BU179" s="104"/>
      <c r="BV179" s="104"/>
      <c r="BW179" s="104"/>
      <c r="BX179" s="104"/>
      <c r="BY179" s="104"/>
      <c r="BZ179" s="104"/>
      <c r="CA179" s="104"/>
      <c r="CB179" s="104"/>
      <c r="CC179" s="104"/>
      <c r="CD179" s="104"/>
      <c r="CE179" s="104"/>
      <c r="CF179" s="104"/>
      <c r="CG179" s="104"/>
      <c r="CH179" s="104"/>
      <c r="CI179" s="104"/>
      <c r="CJ179" s="104"/>
      <c r="CK179" s="104"/>
      <c r="CL179" s="104"/>
      <c r="CM179" s="104"/>
      <c r="CN179" s="98"/>
      <c r="CP179" s="101"/>
      <c r="CQ179" s="101"/>
      <c r="CR179" s="101"/>
      <c r="CS179" s="101"/>
      <c r="CT179" s="101"/>
      <c r="FJ179" s="103"/>
      <c r="FL179" s="103"/>
      <c r="FN179" s="103"/>
      <c r="FP179" s="103"/>
    </row>
    <row r="180" spans="2:172" x14ac:dyDescent="0.35">
      <c r="B180" s="97"/>
      <c r="G180" s="100"/>
      <c r="K180" s="98"/>
      <c r="L180" s="101"/>
      <c r="M180" s="101"/>
      <c r="N180" s="101"/>
      <c r="O180" s="101"/>
      <c r="P180" s="102"/>
      <c r="Q180" s="101"/>
      <c r="R180" s="98"/>
      <c r="S180" s="98"/>
      <c r="T180" s="98"/>
      <c r="U180" s="98"/>
      <c r="V180" s="98"/>
      <c r="W180" s="98"/>
      <c r="X180" s="103"/>
      <c r="Y180" s="103"/>
      <c r="Z180" s="103"/>
      <c r="AA180" s="103"/>
      <c r="AB180" s="103"/>
      <c r="AC180" s="103"/>
      <c r="AD180" s="103"/>
      <c r="AE180" s="101"/>
      <c r="AF180" s="101"/>
      <c r="AG180" s="101"/>
      <c r="AH180" s="101"/>
      <c r="AI180" s="101"/>
      <c r="AJ180" s="101"/>
      <c r="AK180" s="101"/>
      <c r="AL180" s="103"/>
      <c r="AM180" s="103"/>
      <c r="AN180" s="103"/>
      <c r="AO180" s="103"/>
      <c r="AP180" s="103"/>
      <c r="AQ180" s="103"/>
      <c r="AR180" s="103"/>
      <c r="AS180" s="101"/>
      <c r="AT180" s="101"/>
      <c r="AU180" s="101"/>
      <c r="AV180" s="101"/>
      <c r="AW180" s="101"/>
      <c r="AX180" s="101"/>
      <c r="AY180" s="101"/>
      <c r="AZ180" s="103"/>
      <c r="BA180" s="103"/>
      <c r="BB180" s="103"/>
      <c r="BC180" s="101"/>
      <c r="BD180" s="101"/>
      <c r="BE180" s="101"/>
      <c r="BF180" s="101"/>
      <c r="BG180" s="101"/>
      <c r="BK180" s="101"/>
      <c r="BL180" s="101"/>
      <c r="BM180" s="101"/>
      <c r="BN180" s="101"/>
      <c r="BO180" s="101"/>
      <c r="BP180" s="101"/>
      <c r="BQ180" s="101"/>
      <c r="BR180" s="104"/>
      <c r="BS180" s="104"/>
      <c r="BT180" s="104"/>
      <c r="BU180" s="104"/>
      <c r="BV180" s="104"/>
      <c r="BW180" s="104"/>
      <c r="BX180" s="104"/>
      <c r="BY180" s="104"/>
      <c r="BZ180" s="104"/>
      <c r="CA180" s="104"/>
      <c r="CB180" s="104"/>
      <c r="CC180" s="104"/>
      <c r="CD180" s="104"/>
      <c r="CE180" s="104"/>
      <c r="CF180" s="104"/>
      <c r="CG180" s="104"/>
      <c r="CH180" s="104"/>
      <c r="CI180" s="104"/>
      <c r="CJ180" s="104"/>
      <c r="CK180" s="104"/>
      <c r="CL180" s="104"/>
      <c r="CM180" s="104"/>
      <c r="CN180" s="98"/>
      <c r="CP180" s="101"/>
      <c r="CQ180" s="101"/>
      <c r="CR180" s="101"/>
      <c r="CS180" s="101"/>
      <c r="CT180" s="101"/>
      <c r="FJ180" s="103"/>
      <c r="FL180" s="103"/>
      <c r="FN180" s="103"/>
      <c r="FP180" s="103"/>
    </row>
    <row r="181" spans="2:172" x14ac:dyDescent="0.35">
      <c r="B181" s="97"/>
      <c r="G181" s="100"/>
      <c r="K181" s="98"/>
      <c r="L181" s="101"/>
      <c r="M181" s="101"/>
      <c r="N181" s="101"/>
      <c r="O181" s="101"/>
      <c r="P181" s="102"/>
      <c r="Q181" s="101"/>
      <c r="R181" s="98"/>
      <c r="S181" s="98"/>
      <c r="T181" s="98"/>
      <c r="U181" s="98"/>
      <c r="V181" s="98"/>
      <c r="W181" s="98"/>
      <c r="X181" s="103"/>
      <c r="Y181" s="103"/>
      <c r="Z181" s="103"/>
      <c r="AA181" s="103"/>
      <c r="AB181" s="103"/>
      <c r="AC181" s="103"/>
      <c r="AD181" s="103"/>
      <c r="AE181" s="101"/>
      <c r="AF181" s="101"/>
      <c r="AG181" s="101"/>
      <c r="AH181" s="101"/>
      <c r="AI181" s="101"/>
      <c r="AJ181" s="101"/>
      <c r="AK181" s="101"/>
      <c r="AL181" s="103"/>
      <c r="AM181" s="103"/>
      <c r="AN181" s="103"/>
      <c r="AO181" s="103"/>
      <c r="AP181" s="103"/>
      <c r="AQ181" s="103"/>
      <c r="AR181" s="103"/>
      <c r="AS181" s="101"/>
      <c r="AT181" s="101"/>
      <c r="AU181" s="101"/>
      <c r="AV181" s="101"/>
      <c r="AW181" s="101"/>
      <c r="AX181" s="101"/>
      <c r="AY181" s="101"/>
      <c r="AZ181" s="103"/>
      <c r="BA181" s="103"/>
      <c r="BB181" s="103"/>
      <c r="BC181" s="101"/>
      <c r="BD181" s="101"/>
      <c r="BE181" s="101"/>
      <c r="BF181" s="101"/>
      <c r="BG181" s="101"/>
      <c r="BK181" s="101"/>
      <c r="BL181" s="101"/>
      <c r="BM181" s="101"/>
      <c r="BN181" s="101"/>
      <c r="BO181" s="101"/>
      <c r="BP181" s="101"/>
      <c r="BQ181" s="101"/>
      <c r="BR181" s="104"/>
      <c r="BS181" s="104"/>
      <c r="BT181" s="104"/>
      <c r="BU181" s="104"/>
      <c r="BV181" s="104"/>
      <c r="BW181" s="104"/>
      <c r="BX181" s="104"/>
      <c r="BY181" s="104"/>
      <c r="BZ181" s="104"/>
      <c r="CA181" s="104"/>
      <c r="CB181" s="104"/>
      <c r="CC181" s="104"/>
      <c r="CD181" s="104"/>
      <c r="CE181" s="104"/>
      <c r="CF181" s="104"/>
      <c r="CG181" s="104"/>
      <c r="CH181" s="104"/>
      <c r="CI181" s="104"/>
      <c r="CJ181" s="104"/>
      <c r="CK181" s="104"/>
      <c r="CL181" s="104"/>
      <c r="CM181" s="104"/>
      <c r="CN181" s="98"/>
      <c r="CP181" s="101"/>
      <c r="CQ181" s="101"/>
      <c r="CR181" s="101"/>
      <c r="CS181" s="101"/>
      <c r="CT181" s="101"/>
      <c r="FJ181" s="103"/>
      <c r="FL181" s="103"/>
      <c r="FN181" s="103"/>
      <c r="FP181" s="103"/>
    </row>
    <row r="182" spans="2:172" x14ac:dyDescent="0.35">
      <c r="B182" s="97"/>
      <c r="G182" s="100"/>
      <c r="K182" s="98"/>
      <c r="L182" s="101"/>
      <c r="M182" s="101"/>
      <c r="N182" s="101"/>
      <c r="O182" s="101"/>
      <c r="P182" s="102"/>
      <c r="Q182" s="101"/>
      <c r="R182" s="98"/>
      <c r="S182" s="98"/>
      <c r="T182" s="98"/>
      <c r="U182" s="98"/>
      <c r="V182" s="98"/>
      <c r="W182" s="98"/>
      <c r="X182" s="103"/>
      <c r="Y182" s="103"/>
      <c r="Z182" s="103"/>
      <c r="AA182" s="103"/>
      <c r="AB182" s="103"/>
      <c r="AC182" s="103"/>
      <c r="AD182" s="103"/>
      <c r="AE182" s="101"/>
      <c r="AF182" s="101"/>
      <c r="AG182" s="101"/>
      <c r="AH182" s="101"/>
      <c r="AI182" s="101"/>
      <c r="AJ182" s="101"/>
      <c r="AK182" s="101"/>
      <c r="AL182" s="103"/>
      <c r="AM182" s="103"/>
      <c r="AN182" s="103"/>
      <c r="AO182" s="103"/>
      <c r="AP182" s="103"/>
      <c r="AQ182" s="103"/>
      <c r="AR182" s="103"/>
      <c r="AS182" s="101"/>
      <c r="AT182" s="101"/>
      <c r="AU182" s="101"/>
      <c r="AV182" s="101"/>
      <c r="AW182" s="101"/>
      <c r="AX182" s="101"/>
      <c r="AY182" s="101"/>
      <c r="AZ182" s="103"/>
      <c r="BA182" s="103"/>
      <c r="BB182" s="103"/>
      <c r="BC182" s="101"/>
      <c r="BD182" s="101"/>
      <c r="BE182" s="101"/>
      <c r="BF182" s="101"/>
      <c r="BG182" s="101"/>
      <c r="BK182" s="101"/>
      <c r="BL182" s="101"/>
      <c r="BM182" s="101"/>
      <c r="BN182" s="101"/>
      <c r="BO182" s="101"/>
      <c r="BP182" s="101"/>
      <c r="BQ182" s="101"/>
      <c r="BR182" s="104"/>
      <c r="BS182" s="104"/>
      <c r="BT182" s="104"/>
      <c r="BU182" s="104"/>
      <c r="BV182" s="104"/>
      <c r="BW182" s="104"/>
      <c r="BX182" s="104"/>
      <c r="BY182" s="104"/>
      <c r="BZ182" s="104"/>
      <c r="CA182" s="104"/>
      <c r="CB182" s="104"/>
      <c r="CC182" s="104"/>
      <c r="CD182" s="104"/>
      <c r="CE182" s="104"/>
      <c r="CF182" s="104"/>
      <c r="CG182" s="104"/>
      <c r="CH182" s="104"/>
      <c r="CI182" s="104"/>
      <c r="CJ182" s="104"/>
      <c r="CK182" s="104"/>
      <c r="CL182" s="104"/>
      <c r="CM182" s="104"/>
      <c r="CN182" s="98"/>
      <c r="CP182" s="101"/>
      <c r="CQ182" s="101"/>
      <c r="CR182" s="101"/>
      <c r="CS182" s="101"/>
      <c r="CT182" s="101"/>
      <c r="FJ182" s="103"/>
      <c r="FL182" s="103"/>
      <c r="FN182" s="103"/>
      <c r="FP182" s="103"/>
    </row>
    <row r="183" spans="2:172" x14ac:dyDescent="0.35">
      <c r="B183" s="97"/>
      <c r="G183" s="100"/>
      <c r="K183" s="98"/>
      <c r="L183" s="101"/>
      <c r="M183" s="101"/>
      <c r="N183" s="101"/>
      <c r="O183" s="101"/>
      <c r="P183" s="102"/>
      <c r="Q183" s="101"/>
      <c r="R183" s="98"/>
      <c r="S183" s="98"/>
      <c r="T183" s="98"/>
      <c r="U183" s="98"/>
      <c r="V183" s="98"/>
      <c r="W183" s="98"/>
      <c r="X183" s="103"/>
      <c r="Y183" s="103"/>
      <c r="Z183" s="103"/>
      <c r="AA183" s="103"/>
      <c r="AB183" s="103"/>
      <c r="AC183" s="103"/>
      <c r="AD183" s="103"/>
      <c r="AE183" s="101"/>
      <c r="AF183" s="101"/>
      <c r="AG183" s="101"/>
      <c r="AH183" s="101"/>
      <c r="AI183" s="101"/>
      <c r="AJ183" s="101"/>
      <c r="AK183" s="101"/>
      <c r="AL183" s="103"/>
      <c r="AM183" s="103"/>
      <c r="AN183" s="103"/>
      <c r="AO183" s="103"/>
      <c r="AP183" s="103"/>
      <c r="AQ183" s="103"/>
      <c r="AR183" s="103"/>
      <c r="AS183" s="101"/>
      <c r="AT183" s="101"/>
      <c r="AU183" s="101"/>
      <c r="AV183" s="101"/>
      <c r="AW183" s="101"/>
      <c r="AX183" s="101"/>
      <c r="AY183" s="101"/>
      <c r="AZ183" s="103"/>
      <c r="BA183" s="103"/>
      <c r="BB183" s="103"/>
      <c r="BC183" s="101"/>
      <c r="BD183" s="101"/>
      <c r="BE183" s="101"/>
      <c r="BF183" s="101"/>
      <c r="BG183" s="101"/>
      <c r="BK183" s="101"/>
      <c r="BL183" s="101"/>
      <c r="BM183" s="101"/>
      <c r="BN183" s="101"/>
      <c r="BO183" s="101"/>
      <c r="BP183" s="101"/>
      <c r="BQ183" s="101"/>
      <c r="BR183" s="104"/>
      <c r="BS183" s="104"/>
      <c r="BT183" s="104"/>
      <c r="BU183" s="104"/>
      <c r="BV183" s="104"/>
      <c r="BW183" s="104"/>
      <c r="BX183" s="104"/>
      <c r="BY183" s="104"/>
      <c r="BZ183" s="104"/>
      <c r="CA183" s="104"/>
      <c r="CB183" s="104"/>
      <c r="CC183" s="104"/>
      <c r="CD183" s="104"/>
      <c r="CE183" s="104"/>
      <c r="CF183" s="104"/>
      <c r="CG183" s="104"/>
      <c r="CH183" s="104"/>
      <c r="CI183" s="104"/>
      <c r="CJ183" s="104"/>
      <c r="CK183" s="104"/>
      <c r="CL183" s="104"/>
      <c r="CM183" s="104"/>
      <c r="CN183" s="98"/>
      <c r="CP183" s="101"/>
      <c r="CQ183" s="101"/>
      <c r="CR183" s="101"/>
      <c r="CS183" s="101"/>
      <c r="CT183" s="101"/>
      <c r="FJ183" s="103"/>
      <c r="FL183" s="103"/>
      <c r="FN183" s="103"/>
      <c r="FP183" s="103"/>
    </row>
    <row r="184" spans="2:172" x14ac:dyDescent="0.35">
      <c r="B184" s="97"/>
      <c r="G184" s="100"/>
      <c r="K184" s="98"/>
      <c r="L184" s="101"/>
      <c r="M184" s="101"/>
      <c r="N184" s="101"/>
      <c r="O184" s="101"/>
      <c r="P184" s="102"/>
      <c r="Q184" s="101"/>
      <c r="R184" s="98"/>
      <c r="S184" s="98"/>
      <c r="T184" s="98"/>
      <c r="U184" s="98"/>
      <c r="V184" s="98"/>
      <c r="W184" s="98"/>
      <c r="X184" s="103"/>
      <c r="Y184" s="103"/>
      <c r="Z184" s="103"/>
      <c r="AA184" s="103"/>
      <c r="AB184" s="103"/>
      <c r="AC184" s="103"/>
      <c r="AD184" s="103"/>
      <c r="AE184" s="101"/>
      <c r="AF184" s="101"/>
      <c r="AG184" s="101"/>
      <c r="AH184" s="101"/>
      <c r="AI184" s="101"/>
      <c r="AJ184" s="101"/>
      <c r="AK184" s="101"/>
      <c r="AL184" s="103"/>
      <c r="AM184" s="103"/>
      <c r="AN184" s="103"/>
      <c r="AO184" s="103"/>
      <c r="AP184" s="103"/>
      <c r="AQ184" s="103"/>
      <c r="AR184" s="103"/>
      <c r="AS184" s="101"/>
      <c r="AT184" s="101"/>
      <c r="AU184" s="101"/>
      <c r="AV184" s="101"/>
      <c r="AW184" s="101"/>
      <c r="AX184" s="101"/>
      <c r="AY184" s="101"/>
      <c r="AZ184" s="103"/>
      <c r="BA184" s="103"/>
      <c r="BB184" s="103"/>
      <c r="BC184" s="101"/>
      <c r="BD184" s="101"/>
      <c r="BE184" s="101"/>
      <c r="BF184" s="101"/>
      <c r="BG184" s="101"/>
      <c r="BK184" s="101"/>
      <c r="BL184" s="101"/>
      <c r="BM184" s="101"/>
      <c r="BN184" s="101"/>
      <c r="BO184" s="101"/>
      <c r="BP184" s="101"/>
      <c r="BQ184" s="101"/>
      <c r="BR184" s="104"/>
      <c r="BS184" s="104"/>
      <c r="BT184" s="104"/>
      <c r="BU184" s="104"/>
      <c r="BV184" s="104"/>
      <c r="BW184" s="104"/>
      <c r="BX184" s="104"/>
      <c r="BY184" s="104"/>
      <c r="BZ184" s="104"/>
      <c r="CA184" s="104"/>
      <c r="CB184" s="104"/>
      <c r="CC184" s="104"/>
      <c r="CD184" s="104"/>
      <c r="CE184" s="104"/>
      <c r="CF184" s="104"/>
      <c r="CG184" s="104"/>
      <c r="CH184" s="104"/>
      <c r="CI184" s="104"/>
      <c r="CJ184" s="104"/>
      <c r="CK184" s="104"/>
      <c r="CL184" s="104"/>
      <c r="CM184" s="104"/>
      <c r="CN184" s="98"/>
      <c r="CP184" s="101"/>
      <c r="CQ184" s="101"/>
      <c r="CR184" s="101"/>
      <c r="CS184" s="101"/>
      <c r="CT184" s="101"/>
      <c r="FJ184" s="103"/>
      <c r="FL184" s="103"/>
      <c r="FN184" s="103"/>
      <c r="FP184" s="103"/>
    </row>
    <row r="185" spans="2:172" x14ac:dyDescent="0.35">
      <c r="B185" s="97"/>
      <c r="G185" s="100"/>
      <c r="K185" s="98"/>
      <c r="L185" s="101"/>
      <c r="M185" s="101"/>
      <c r="N185" s="101"/>
      <c r="O185" s="101"/>
      <c r="P185" s="102"/>
      <c r="Q185" s="101"/>
      <c r="R185" s="98"/>
      <c r="S185" s="98"/>
      <c r="T185" s="98"/>
      <c r="U185" s="98"/>
      <c r="V185" s="98"/>
      <c r="W185" s="98"/>
      <c r="X185" s="103"/>
      <c r="Y185" s="103"/>
      <c r="Z185" s="103"/>
      <c r="AA185" s="103"/>
      <c r="AB185" s="103"/>
      <c r="AC185" s="103"/>
      <c r="AD185" s="103"/>
      <c r="AE185" s="101"/>
      <c r="AF185" s="101"/>
      <c r="AG185" s="101"/>
      <c r="AH185" s="101"/>
      <c r="AI185" s="101"/>
      <c r="AJ185" s="101"/>
      <c r="AK185" s="101"/>
      <c r="AL185" s="103"/>
      <c r="AM185" s="103"/>
      <c r="AN185" s="103"/>
      <c r="AO185" s="103"/>
      <c r="AP185" s="103"/>
      <c r="AQ185" s="103"/>
      <c r="AR185" s="103"/>
      <c r="AS185" s="101"/>
      <c r="AT185" s="101"/>
      <c r="AU185" s="101"/>
      <c r="AV185" s="101"/>
      <c r="AW185" s="101"/>
      <c r="AX185" s="101"/>
      <c r="AY185" s="101"/>
      <c r="AZ185" s="103"/>
      <c r="BA185" s="103"/>
      <c r="BB185" s="103"/>
      <c r="BC185" s="101"/>
      <c r="BD185" s="101"/>
      <c r="BE185" s="101"/>
      <c r="BF185" s="101"/>
      <c r="BG185" s="101"/>
      <c r="BK185" s="101"/>
      <c r="BL185" s="101"/>
      <c r="BM185" s="101"/>
      <c r="BN185" s="101"/>
      <c r="BO185" s="101"/>
      <c r="BP185" s="101"/>
      <c r="BQ185" s="101"/>
      <c r="BR185" s="104"/>
      <c r="BS185" s="104"/>
      <c r="BT185" s="104"/>
      <c r="BU185" s="104"/>
      <c r="BV185" s="104"/>
      <c r="BW185" s="104"/>
      <c r="BX185" s="104"/>
      <c r="BY185" s="104"/>
      <c r="BZ185" s="104"/>
      <c r="CA185" s="104"/>
      <c r="CB185" s="104"/>
      <c r="CC185" s="104"/>
      <c r="CD185" s="104"/>
      <c r="CE185" s="104"/>
      <c r="CF185" s="104"/>
      <c r="CG185" s="104"/>
      <c r="CH185" s="104"/>
      <c r="CI185" s="104"/>
      <c r="CJ185" s="104"/>
      <c r="CK185" s="104"/>
      <c r="CL185" s="104"/>
      <c r="CM185" s="104"/>
      <c r="CN185" s="98"/>
      <c r="CP185" s="101"/>
      <c r="CQ185" s="101"/>
      <c r="CR185" s="101"/>
      <c r="CS185" s="101"/>
      <c r="CT185" s="101"/>
      <c r="FJ185" s="103"/>
      <c r="FL185" s="103"/>
      <c r="FN185" s="103"/>
      <c r="FP185" s="103"/>
    </row>
    <row r="186" spans="2:172" x14ac:dyDescent="0.35">
      <c r="B186" s="97"/>
      <c r="G186" s="100"/>
      <c r="K186" s="98"/>
      <c r="L186" s="101"/>
      <c r="M186" s="101"/>
      <c r="N186" s="101"/>
      <c r="O186" s="101"/>
      <c r="P186" s="102"/>
      <c r="Q186" s="101"/>
      <c r="R186" s="98"/>
      <c r="S186" s="98"/>
      <c r="T186" s="98"/>
      <c r="U186" s="98"/>
      <c r="V186" s="98"/>
      <c r="W186" s="98"/>
      <c r="X186" s="103"/>
      <c r="Y186" s="103"/>
      <c r="Z186" s="103"/>
      <c r="AA186" s="103"/>
      <c r="AB186" s="103"/>
      <c r="AC186" s="103"/>
      <c r="AD186" s="103"/>
      <c r="AE186" s="101"/>
      <c r="AF186" s="101"/>
      <c r="AG186" s="101"/>
      <c r="AH186" s="101"/>
      <c r="AI186" s="101"/>
      <c r="AJ186" s="101"/>
      <c r="AK186" s="101"/>
      <c r="AL186" s="103"/>
      <c r="AM186" s="103"/>
      <c r="AN186" s="103"/>
      <c r="AO186" s="103"/>
      <c r="AP186" s="103"/>
      <c r="AQ186" s="103"/>
      <c r="AR186" s="103"/>
      <c r="AS186" s="101"/>
      <c r="AT186" s="101"/>
      <c r="AU186" s="101"/>
      <c r="AV186" s="101"/>
      <c r="AW186" s="101"/>
      <c r="AX186" s="101"/>
      <c r="AY186" s="101"/>
      <c r="AZ186" s="103"/>
      <c r="BA186" s="103"/>
      <c r="BB186" s="103"/>
      <c r="BC186" s="101"/>
      <c r="BD186" s="101"/>
      <c r="BE186" s="101"/>
      <c r="BF186" s="101"/>
      <c r="BG186" s="101"/>
      <c r="BK186" s="101"/>
      <c r="BL186" s="101"/>
      <c r="BM186" s="101"/>
      <c r="BN186" s="101"/>
      <c r="BO186" s="101"/>
      <c r="BP186" s="101"/>
      <c r="BQ186" s="101"/>
      <c r="BR186" s="104"/>
      <c r="BS186" s="104"/>
      <c r="BT186" s="104"/>
      <c r="BU186" s="104"/>
      <c r="BV186" s="104"/>
      <c r="BW186" s="104"/>
      <c r="BX186" s="104"/>
      <c r="BY186" s="104"/>
      <c r="BZ186" s="104"/>
      <c r="CA186" s="104"/>
      <c r="CB186" s="104"/>
      <c r="CC186" s="104"/>
      <c r="CD186" s="104"/>
      <c r="CE186" s="104"/>
      <c r="CF186" s="104"/>
      <c r="CG186" s="104"/>
      <c r="CH186" s="104"/>
      <c r="CI186" s="104"/>
      <c r="CJ186" s="104"/>
      <c r="CK186" s="104"/>
      <c r="CL186" s="104"/>
      <c r="CM186" s="104"/>
      <c r="CN186" s="98"/>
      <c r="CP186" s="101"/>
      <c r="CQ186" s="101"/>
      <c r="CR186" s="101"/>
      <c r="CS186" s="101"/>
      <c r="CT186" s="101"/>
      <c r="FJ186" s="103"/>
      <c r="FL186" s="103"/>
      <c r="FN186" s="103"/>
      <c r="FP186" s="103"/>
    </row>
    <row r="187" spans="2:172" x14ac:dyDescent="0.35">
      <c r="B187" s="97"/>
      <c r="G187" s="100"/>
      <c r="K187" s="98"/>
      <c r="L187" s="101"/>
      <c r="M187" s="101"/>
      <c r="N187" s="101"/>
      <c r="O187" s="101"/>
      <c r="P187" s="102"/>
      <c r="Q187" s="101"/>
      <c r="R187" s="98"/>
      <c r="S187" s="98"/>
      <c r="T187" s="98"/>
      <c r="U187" s="98"/>
      <c r="V187" s="98"/>
      <c r="W187" s="98"/>
      <c r="X187" s="103"/>
      <c r="Y187" s="103"/>
      <c r="Z187" s="103"/>
      <c r="AA187" s="103"/>
      <c r="AB187" s="103"/>
      <c r="AC187" s="103"/>
      <c r="AD187" s="103"/>
      <c r="AE187" s="101"/>
      <c r="AF187" s="101"/>
      <c r="AG187" s="101"/>
      <c r="AH187" s="101"/>
      <c r="AI187" s="101"/>
      <c r="AJ187" s="101"/>
      <c r="AK187" s="101"/>
      <c r="AL187" s="103"/>
      <c r="AM187" s="103"/>
      <c r="AN187" s="103"/>
      <c r="AO187" s="103"/>
      <c r="AP187" s="103"/>
      <c r="AQ187" s="103"/>
      <c r="AR187" s="103"/>
      <c r="AS187" s="101"/>
      <c r="AT187" s="101"/>
      <c r="AU187" s="101"/>
      <c r="AV187" s="101"/>
      <c r="AW187" s="101"/>
      <c r="AX187" s="101"/>
      <c r="AY187" s="101"/>
      <c r="AZ187" s="103"/>
      <c r="BA187" s="103"/>
      <c r="BB187" s="103"/>
      <c r="BC187" s="101"/>
      <c r="BD187" s="101"/>
      <c r="BE187" s="101"/>
      <c r="BF187" s="101"/>
      <c r="BG187" s="101"/>
      <c r="BK187" s="101"/>
      <c r="BL187" s="101"/>
      <c r="BM187" s="101"/>
      <c r="BN187" s="101"/>
      <c r="BO187" s="101"/>
      <c r="BP187" s="101"/>
      <c r="BQ187" s="101"/>
      <c r="BR187" s="104"/>
      <c r="BS187" s="104"/>
      <c r="BT187" s="104"/>
      <c r="BU187" s="104"/>
      <c r="BV187" s="104"/>
      <c r="BW187" s="104"/>
      <c r="BX187" s="104"/>
      <c r="BY187" s="104"/>
      <c r="BZ187" s="104"/>
      <c r="CA187" s="104"/>
      <c r="CB187" s="104"/>
      <c r="CC187" s="104"/>
      <c r="CD187" s="104"/>
      <c r="CE187" s="104"/>
      <c r="CF187" s="104"/>
      <c r="CG187" s="104"/>
      <c r="CH187" s="104"/>
      <c r="CI187" s="104"/>
      <c r="CJ187" s="104"/>
      <c r="CK187" s="104"/>
      <c r="CL187" s="104"/>
      <c r="CM187" s="104"/>
      <c r="CN187" s="98"/>
      <c r="CP187" s="101"/>
      <c r="CQ187" s="101"/>
      <c r="CR187" s="101"/>
      <c r="CS187" s="101"/>
      <c r="CT187" s="101"/>
      <c r="FJ187" s="103"/>
      <c r="FL187" s="103"/>
      <c r="FN187" s="103"/>
      <c r="FP187" s="103"/>
    </row>
    <row r="188" spans="2:172" x14ac:dyDescent="0.35">
      <c r="B188" s="97"/>
      <c r="G188" s="100"/>
      <c r="K188" s="98"/>
      <c r="L188" s="101"/>
      <c r="M188" s="101"/>
      <c r="N188" s="101"/>
      <c r="O188" s="101"/>
      <c r="P188" s="102"/>
      <c r="Q188" s="101"/>
      <c r="R188" s="98"/>
      <c r="S188" s="98"/>
      <c r="T188" s="98"/>
      <c r="U188" s="98"/>
      <c r="V188" s="98"/>
      <c r="W188" s="98"/>
      <c r="X188" s="103"/>
      <c r="Y188" s="103"/>
      <c r="Z188" s="103"/>
      <c r="AA188" s="103"/>
      <c r="AB188" s="103"/>
      <c r="AC188" s="103"/>
      <c r="AD188" s="103"/>
      <c r="AE188" s="101"/>
      <c r="AF188" s="101"/>
      <c r="AG188" s="101"/>
      <c r="AH188" s="101"/>
      <c r="AI188" s="101"/>
      <c r="AJ188" s="101"/>
      <c r="AK188" s="101"/>
      <c r="AL188" s="103"/>
      <c r="AM188" s="103"/>
      <c r="AN188" s="103"/>
      <c r="AO188" s="103"/>
      <c r="AP188" s="103"/>
      <c r="AQ188" s="103"/>
      <c r="AR188" s="103"/>
      <c r="AS188" s="101"/>
      <c r="AT188" s="101"/>
      <c r="AU188" s="101"/>
      <c r="AV188" s="101"/>
      <c r="AW188" s="101"/>
      <c r="AX188" s="101"/>
      <c r="AY188" s="101"/>
      <c r="AZ188" s="103"/>
      <c r="BA188" s="103"/>
      <c r="BB188" s="103"/>
      <c r="BC188" s="101"/>
      <c r="BD188" s="101"/>
      <c r="BE188" s="101"/>
      <c r="BF188" s="101"/>
      <c r="BG188" s="101"/>
      <c r="BK188" s="101"/>
      <c r="BL188" s="101"/>
      <c r="BM188" s="101"/>
      <c r="BN188" s="101"/>
      <c r="BO188" s="101"/>
      <c r="BP188" s="101"/>
      <c r="BQ188" s="101"/>
      <c r="BR188" s="104"/>
      <c r="BS188" s="104"/>
      <c r="BT188" s="104"/>
      <c r="BU188" s="104"/>
      <c r="BV188" s="104"/>
      <c r="BW188" s="104"/>
      <c r="BX188" s="104"/>
      <c r="BY188" s="104"/>
      <c r="BZ188" s="104"/>
      <c r="CA188" s="104"/>
      <c r="CB188" s="104"/>
      <c r="CC188" s="104"/>
      <c r="CD188" s="104"/>
      <c r="CE188" s="104"/>
      <c r="CF188" s="104"/>
      <c r="CG188" s="104"/>
      <c r="CH188" s="104"/>
      <c r="CI188" s="104"/>
      <c r="CJ188" s="104"/>
      <c r="CK188" s="104"/>
      <c r="CL188" s="104"/>
      <c r="CM188" s="104"/>
      <c r="CN188" s="98"/>
      <c r="CP188" s="101"/>
      <c r="CQ188" s="101"/>
      <c r="CR188" s="101"/>
      <c r="CS188" s="101"/>
      <c r="CT188" s="101"/>
      <c r="FJ188" s="103"/>
      <c r="FL188" s="103"/>
      <c r="FN188" s="103"/>
      <c r="FP188" s="103"/>
    </row>
    <row r="189" spans="2:172" x14ac:dyDescent="0.35">
      <c r="B189" s="97"/>
      <c r="G189" s="100"/>
      <c r="K189" s="98"/>
      <c r="L189" s="101"/>
      <c r="M189" s="101"/>
      <c r="N189" s="101"/>
      <c r="O189" s="101"/>
      <c r="P189" s="102"/>
      <c r="Q189" s="101"/>
      <c r="R189" s="98"/>
      <c r="S189" s="98"/>
      <c r="T189" s="98"/>
      <c r="U189" s="98"/>
      <c r="V189" s="98"/>
      <c r="W189" s="98"/>
      <c r="X189" s="103"/>
      <c r="Y189" s="103"/>
      <c r="Z189" s="103"/>
      <c r="AA189" s="103"/>
      <c r="AB189" s="103"/>
      <c r="AC189" s="103"/>
      <c r="AD189" s="103"/>
      <c r="AE189" s="101"/>
      <c r="AF189" s="101"/>
      <c r="AG189" s="101"/>
      <c r="AH189" s="101"/>
      <c r="AI189" s="101"/>
      <c r="AJ189" s="101"/>
      <c r="AK189" s="101"/>
      <c r="AL189" s="103"/>
      <c r="AM189" s="103"/>
      <c r="AN189" s="103"/>
      <c r="AO189" s="103"/>
      <c r="AP189" s="103"/>
      <c r="AQ189" s="103"/>
      <c r="AR189" s="103"/>
      <c r="AS189" s="101"/>
      <c r="AT189" s="101"/>
      <c r="AU189" s="101"/>
      <c r="AV189" s="101"/>
      <c r="AW189" s="101"/>
      <c r="AX189" s="101"/>
      <c r="AY189" s="101"/>
      <c r="AZ189" s="103"/>
      <c r="BA189" s="103"/>
      <c r="BB189" s="103"/>
      <c r="BC189" s="101"/>
      <c r="BD189" s="101"/>
      <c r="BE189" s="101"/>
      <c r="BF189" s="101"/>
      <c r="BG189" s="101"/>
      <c r="BK189" s="101"/>
      <c r="BL189" s="101"/>
      <c r="BM189" s="101"/>
      <c r="BN189" s="101"/>
      <c r="BO189" s="101"/>
      <c r="BP189" s="101"/>
      <c r="BQ189" s="101"/>
      <c r="BR189" s="104"/>
      <c r="BS189" s="104"/>
      <c r="BT189" s="104"/>
      <c r="BU189" s="104"/>
      <c r="BV189" s="104"/>
      <c r="BW189" s="104"/>
      <c r="BX189" s="104"/>
      <c r="BY189" s="104"/>
      <c r="BZ189" s="104"/>
      <c r="CA189" s="104"/>
      <c r="CB189" s="104"/>
      <c r="CC189" s="104"/>
      <c r="CD189" s="104"/>
      <c r="CE189" s="104"/>
      <c r="CF189" s="104"/>
      <c r="CG189" s="104"/>
      <c r="CH189" s="104"/>
      <c r="CI189" s="104"/>
      <c r="CJ189" s="104"/>
      <c r="CK189" s="104"/>
      <c r="CL189" s="104"/>
      <c r="CM189" s="104"/>
      <c r="CN189" s="98"/>
      <c r="CP189" s="101"/>
      <c r="CQ189" s="101"/>
      <c r="CR189" s="101"/>
      <c r="CS189" s="101"/>
      <c r="CT189" s="101"/>
      <c r="FJ189" s="103"/>
      <c r="FL189" s="103"/>
      <c r="FN189" s="103"/>
      <c r="FP189" s="103"/>
    </row>
    <row r="190" spans="2:172" x14ac:dyDescent="0.35">
      <c r="B190" s="97"/>
      <c r="G190" s="100"/>
      <c r="K190" s="98"/>
      <c r="L190" s="101"/>
      <c r="M190" s="101"/>
      <c r="N190" s="101"/>
      <c r="O190" s="101"/>
      <c r="P190" s="102"/>
      <c r="Q190" s="101"/>
      <c r="R190" s="98"/>
      <c r="S190" s="98"/>
      <c r="T190" s="98"/>
      <c r="U190" s="98"/>
      <c r="V190" s="98"/>
      <c r="W190" s="98"/>
      <c r="X190" s="103"/>
      <c r="Y190" s="103"/>
      <c r="Z190" s="103"/>
      <c r="AA190" s="103"/>
      <c r="AB190" s="103"/>
      <c r="AC190" s="103"/>
      <c r="AD190" s="103"/>
      <c r="AE190" s="101"/>
      <c r="AF190" s="101"/>
      <c r="AG190" s="101"/>
      <c r="AH190" s="101"/>
      <c r="AI190" s="101"/>
      <c r="AJ190" s="101"/>
      <c r="AK190" s="101"/>
      <c r="AL190" s="103"/>
      <c r="AM190" s="103"/>
      <c r="AN190" s="103"/>
      <c r="AO190" s="103"/>
      <c r="AP190" s="103"/>
      <c r="AQ190" s="103"/>
      <c r="AR190" s="103"/>
      <c r="AS190" s="101"/>
      <c r="AT190" s="101"/>
      <c r="AU190" s="101"/>
      <c r="AV190" s="101"/>
      <c r="AW190" s="101"/>
      <c r="AX190" s="101"/>
      <c r="AY190" s="101"/>
      <c r="AZ190" s="103"/>
      <c r="BA190" s="103"/>
      <c r="BB190" s="103"/>
      <c r="BC190" s="101"/>
      <c r="BD190" s="101"/>
      <c r="BE190" s="101"/>
      <c r="BF190" s="101"/>
      <c r="BG190" s="101"/>
      <c r="BK190" s="101"/>
      <c r="BL190" s="101"/>
      <c r="BM190" s="101"/>
      <c r="BN190" s="101"/>
      <c r="BO190" s="101"/>
      <c r="BP190" s="101"/>
      <c r="BQ190" s="101"/>
      <c r="BR190" s="104"/>
      <c r="BS190" s="104"/>
      <c r="BT190" s="104"/>
      <c r="BU190" s="104"/>
      <c r="BV190" s="104"/>
      <c r="BW190" s="104"/>
      <c r="BX190" s="104"/>
      <c r="BY190" s="104"/>
      <c r="BZ190" s="104"/>
      <c r="CA190" s="104"/>
      <c r="CB190" s="104"/>
      <c r="CC190" s="104"/>
      <c r="CD190" s="104"/>
      <c r="CE190" s="104"/>
      <c r="CF190" s="104"/>
      <c r="CG190" s="104"/>
      <c r="CH190" s="104"/>
      <c r="CI190" s="104"/>
      <c r="CJ190" s="104"/>
      <c r="CK190" s="104"/>
      <c r="CL190" s="104"/>
      <c r="CM190" s="104"/>
      <c r="CN190" s="98"/>
      <c r="CP190" s="101"/>
      <c r="CQ190" s="101"/>
      <c r="CR190" s="101"/>
      <c r="CS190" s="101"/>
      <c r="CT190" s="101"/>
      <c r="FJ190" s="103"/>
      <c r="FL190" s="103"/>
      <c r="FN190" s="103"/>
      <c r="FP190" s="103"/>
    </row>
    <row r="191" spans="2:172" x14ac:dyDescent="0.35">
      <c r="B191" s="97"/>
      <c r="G191" s="100"/>
      <c r="K191" s="98"/>
      <c r="L191" s="101"/>
      <c r="M191" s="101"/>
      <c r="N191" s="101"/>
      <c r="O191" s="101"/>
      <c r="P191" s="102"/>
      <c r="Q191" s="101"/>
      <c r="R191" s="98"/>
      <c r="S191" s="98"/>
      <c r="T191" s="98"/>
      <c r="U191" s="98"/>
      <c r="V191" s="98"/>
      <c r="W191" s="98"/>
      <c r="X191" s="103"/>
      <c r="Y191" s="103"/>
      <c r="Z191" s="103"/>
      <c r="AA191" s="103"/>
      <c r="AB191" s="103"/>
      <c r="AC191" s="103"/>
      <c r="AD191" s="103"/>
      <c r="AE191" s="101"/>
      <c r="AF191" s="101"/>
      <c r="AG191" s="101"/>
      <c r="AH191" s="101"/>
      <c r="AI191" s="101"/>
      <c r="AJ191" s="101"/>
      <c r="AK191" s="101"/>
      <c r="AL191" s="103"/>
      <c r="AM191" s="103"/>
      <c r="AN191" s="103"/>
      <c r="AO191" s="103"/>
      <c r="AP191" s="103"/>
      <c r="AQ191" s="103"/>
      <c r="AR191" s="103"/>
      <c r="AS191" s="101"/>
      <c r="AT191" s="101"/>
      <c r="AU191" s="101"/>
      <c r="AV191" s="101"/>
      <c r="AW191" s="101"/>
      <c r="AX191" s="101"/>
      <c r="AY191" s="101"/>
      <c r="AZ191" s="103"/>
      <c r="BA191" s="103"/>
      <c r="BB191" s="103"/>
      <c r="BC191" s="101"/>
      <c r="BD191" s="101"/>
      <c r="BE191" s="101"/>
      <c r="BF191" s="101"/>
      <c r="BG191" s="101"/>
      <c r="BK191" s="101"/>
      <c r="BL191" s="101"/>
      <c r="BM191" s="101"/>
      <c r="BN191" s="101"/>
      <c r="BO191" s="101"/>
      <c r="BP191" s="101"/>
      <c r="BQ191" s="101"/>
      <c r="BR191" s="104"/>
      <c r="BS191" s="104"/>
      <c r="BT191" s="104"/>
      <c r="BU191" s="104"/>
      <c r="BV191" s="104"/>
      <c r="BW191" s="104"/>
      <c r="BX191" s="104"/>
      <c r="BY191" s="104"/>
      <c r="BZ191" s="104"/>
      <c r="CA191" s="104"/>
      <c r="CB191" s="104"/>
      <c r="CC191" s="104"/>
      <c r="CD191" s="104"/>
      <c r="CE191" s="104"/>
      <c r="CF191" s="104"/>
      <c r="CG191" s="104"/>
      <c r="CH191" s="104"/>
      <c r="CI191" s="104"/>
      <c r="CJ191" s="104"/>
      <c r="CK191" s="104"/>
      <c r="CL191" s="104"/>
      <c r="CM191" s="104"/>
      <c r="CN191" s="98"/>
      <c r="CP191" s="101"/>
      <c r="CQ191" s="101"/>
      <c r="CR191" s="101"/>
      <c r="CS191" s="101"/>
      <c r="CT191" s="101"/>
      <c r="FJ191" s="103"/>
      <c r="FL191" s="103"/>
      <c r="FN191" s="103"/>
      <c r="FP191" s="103"/>
    </row>
    <row r="192" spans="2:172" x14ac:dyDescent="0.35">
      <c r="B192" s="97"/>
      <c r="G192" s="100"/>
      <c r="K192" s="98"/>
      <c r="L192" s="101"/>
      <c r="M192" s="101"/>
      <c r="N192" s="101"/>
      <c r="O192" s="101"/>
      <c r="P192" s="102"/>
      <c r="Q192" s="101"/>
      <c r="R192" s="98"/>
      <c r="S192" s="98"/>
      <c r="T192" s="98"/>
      <c r="U192" s="98"/>
      <c r="V192" s="98"/>
      <c r="W192" s="98"/>
      <c r="X192" s="103"/>
      <c r="Y192" s="103"/>
      <c r="Z192" s="103"/>
      <c r="AA192" s="103"/>
      <c r="AB192" s="103"/>
      <c r="AC192" s="103"/>
      <c r="AD192" s="103"/>
      <c r="AE192" s="101"/>
      <c r="AF192" s="101"/>
      <c r="AG192" s="101"/>
      <c r="AH192" s="101"/>
      <c r="AI192" s="101"/>
      <c r="AJ192" s="101"/>
      <c r="AK192" s="101"/>
      <c r="AL192" s="103"/>
      <c r="AM192" s="103"/>
      <c r="AN192" s="103"/>
      <c r="AO192" s="103"/>
      <c r="AP192" s="103"/>
      <c r="AQ192" s="103"/>
      <c r="AR192" s="103"/>
      <c r="AS192" s="101"/>
      <c r="AT192" s="101"/>
      <c r="AU192" s="101"/>
      <c r="AV192" s="101"/>
      <c r="AW192" s="101"/>
      <c r="AX192" s="101"/>
      <c r="AY192" s="101"/>
      <c r="AZ192" s="103"/>
      <c r="BA192" s="103"/>
      <c r="BB192" s="103"/>
      <c r="BC192" s="101"/>
      <c r="BD192" s="101"/>
      <c r="BE192" s="101"/>
      <c r="BF192" s="101"/>
      <c r="BG192" s="101"/>
      <c r="BK192" s="101"/>
      <c r="BL192" s="101"/>
      <c r="BM192" s="101"/>
      <c r="BN192" s="101"/>
      <c r="BO192" s="101"/>
      <c r="BP192" s="101"/>
      <c r="BQ192" s="101"/>
      <c r="BR192" s="104"/>
      <c r="BS192" s="104"/>
      <c r="BT192" s="104"/>
      <c r="BU192" s="104"/>
      <c r="BV192" s="104"/>
      <c r="BW192" s="104"/>
      <c r="BX192" s="104"/>
      <c r="BY192" s="104"/>
      <c r="BZ192" s="104"/>
      <c r="CA192" s="104"/>
      <c r="CB192" s="104"/>
      <c r="CC192" s="104"/>
      <c r="CD192" s="104"/>
      <c r="CE192" s="104"/>
      <c r="CF192" s="104"/>
      <c r="CG192" s="104"/>
      <c r="CH192" s="104"/>
      <c r="CI192" s="104"/>
      <c r="CJ192" s="104"/>
      <c r="CK192" s="104"/>
      <c r="CL192" s="104"/>
      <c r="CM192" s="104"/>
      <c r="CN192" s="98"/>
      <c r="CP192" s="101"/>
      <c r="CQ192" s="101"/>
      <c r="CR192" s="101"/>
      <c r="CS192" s="101"/>
      <c r="CT192" s="101"/>
      <c r="FJ192" s="103"/>
      <c r="FL192" s="103"/>
      <c r="FN192" s="103"/>
      <c r="FP192" s="103"/>
    </row>
    <row r="193" spans="2:172" x14ac:dyDescent="0.35">
      <c r="B193" s="97"/>
      <c r="G193" s="100"/>
      <c r="K193" s="98"/>
      <c r="L193" s="101"/>
      <c r="M193" s="101"/>
      <c r="N193" s="101"/>
      <c r="O193" s="101"/>
      <c r="P193" s="102"/>
      <c r="Q193" s="101"/>
      <c r="R193" s="98"/>
      <c r="S193" s="98"/>
      <c r="T193" s="98"/>
      <c r="U193" s="98"/>
      <c r="V193" s="98"/>
      <c r="W193" s="98"/>
      <c r="X193" s="103"/>
      <c r="Y193" s="103"/>
      <c r="Z193" s="103"/>
      <c r="AA193" s="103"/>
      <c r="AB193" s="103"/>
      <c r="AC193" s="103"/>
      <c r="AD193" s="103"/>
      <c r="AE193" s="101"/>
      <c r="AF193" s="101"/>
      <c r="AG193" s="101"/>
      <c r="AH193" s="101"/>
      <c r="AI193" s="101"/>
      <c r="AJ193" s="101"/>
      <c r="AK193" s="101"/>
      <c r="AL193" s="103"/>
      <c r="AM193" s="103"/>
      <c r="AN193" s="103"/>
      <c r="AO193" s="103"/>
      <c r="AP193" s="103"/>
      <c r="AQ193" s="103"/>
      <c r="AR193" s="103"/>
      <c r="AS193" s="101"/>
      <c r="AT193" s="101"/>
      <c r="AU193" s="101"/>
      <c r="AV193" s="101"/>
      <c r="AW193" s="101"/>
      <c r="AX193" s="101"/>
      <c r="AY193" s="101"/>
      <c r="AZ193" s="103"/>
      <c r="BA193" s="103"/>
      <c r="BB193" s="103"/>
      <c r="BC193" s="101"/>
      <c r="BD193" s="101"/>
      <c r="BE193" s="101"/>
      <c r="BF193" s="101"/>
      <c r="BG193" s="101"/>
      <c r="BK193" s="101"/>
      <c r="BL193" s="101"/>
      <c r="BM193" s="101"/>
      <c r="BN193" s="101"/>
      <c r="BO193" s="101"/>
      <c r="BP193" s="101"/>
      <c r="BQ193" s="101"/>
      <c r="BR193" s="104"/>
      <c r="BS193" s="104"/>
      <c r="BT193" s="104"/>
      <c r="BU193" s="104"/>
      <c r="BV193" s="104"/>
      <c r="BW193" s="104"/>
      <c r="BX193" s="104"/>
      <c r="BY193" s="104"/>
      <c r="BZ193" s="104"/>
      <c r="CA193" s="104"/>
      <c r="CB193" s="104"/>
      <c r="CC193" s="104"/>
      <c r="CD193" s="104"/>
      <c r="CE193" s="104"/>
      <c r="CF193" s="104"/>
      <c r="CG193" s="104"/>
      <c r="CH193" s="104"/>
      <c r="CI193" s="104"/>
      <c r="CJ193" s="104"/>
      <c r="CK193" s="104"/>
      <c r="CL193" s="104"/>
      <c r="CM193" s="104"/>
      <c r="CN193" s="98"/>
      <c r="CP193" s="101"/>
      <c r="CQ193" s="101"/>
      <c r="CR193" s="101"/>
      <c r="CS193" s="101"/>
      <c r="CT193" s="101"/>
      <c r="FJ193" s="103"/>
      <c r="FL193" s="103"/>
      <c r="FN193" s="103"/>
      <c r="FP193" s="103"/>
    </row>
    <row r="194" spans="2:172" x14ac:dyDescent="0.35">
      <c r="B194" s="97"/>
      <c r="G194" s="100"/>
      <c r="K194" s="98"/>
      <c r="L194" s="101"/>
      <c r="M194" s="101"/>
      <c r="N194" s="101"/>
      <c r="O194" s="101"/>
      <c r="P194" s="102"/>
      <c r="Q194" s="101"/>
      <c r="R194" s="98"/>
      <c r="S194" s="98"/>
      <c r="T194" s="98"/>
      <c r="U194" s="98"/>
      <c r="V194" s="98"/>
      <c r="W194" s="98"/>
      <c r="X194" s="103"/>
      <c r="Y194" s="103"/>
      <c r="Z194" s="103"/>
      <c r="AA194" s="103"/>
      <c r="AB194" s="103"/>
      <c r="AC194" s="103"/>
      <c r="AD194" s="103"/>
      <c r="AE194" s="101"/>
      <c r="AF194" s="101"/>
      <c r="AG194" s="101"/>
      <c r="AH194" s="101"/>
      <c r="AI194" s="101"/>
      <c r="AJ194" s="101"/>
      <c r="AK194" s="101"/>
      <c r="AL194" s="103"/>
      <c r="AM194" s="103"/>
      <c r="AN194" s="103"/>
      <c r="AO194" s="103"/>
      <c r="AP194" s="103"/>
      <c r="AQ194" s="103"/>
      <c r="AR194" s="103"/>
      <c r="AS194" s="101"/>
      <c r="AT194" s="101"/>
      <c r="AU194" s="101"/>
      <c r="AV194" s="101"/>
      <c r="AW194" s="101"/>
      <c r="AX194" s="101"/>
      <c r="AY194" s="101"/>
      <c r="AZ194" s="103"/>
      <c r="BA194" s="103"/>
      <c r="BB194" s="103"/>
      <c r="BC194" s="101"/>
      <c r="BD194" s="101"/>
      <c r="BE194" s="101"/>
      <c r="BF194" s="101"/>
      <c r="BG194" s="101"/>
      <c r="BK194" s="101"/>
      <c r="BL194" s="101"/>
      <c r="BM194" s="101"/>
      <c r="BN194" s="101"/>
      <c r="BO194" s="101"/>
      <c r="BP194" s="101"/>
      <c r="BQ194" s="101"/>
      <c r="BR194" s="104"/>
      <c r="BS194" s="104"/>
      <c r="BT194" s="104"/>
      <c r="BU194" s="104"/>
      <c r="BV194" s="104"/>
      <c r="BW194" s="104"/>
      <c r="BX194" s="104"/>
      <c r="BY194" s="104"/>
      <c r="BZ194" s="104"/>
      <c r="CA194" s="104"/>
      <c r="CB194" s="104"/>
      <c r="CC194" s="104"/>
      <c r="CD194" s="104"/>
      <c r="CE194" s="104"/>
      <c r="CF194" s="104"/>
      <c r="CG194" s="104"/>
      <c r="CH194" s="104"/>
      <c r="CI194" s="104"/>
      <c r="CJ194" s="104"/>
      <c r="CK194" s="104"/>
      <c r="CL194" s="104"/>
      <c r="CM194" s="104"/>
      <c r="CN194" s="98"/>
      <c r="CP194" s="101"/>
      <c r="CQ194" s="101"/>
      <c r="CR194" s="101"/>
      <c r="CS194" s="101"/>
      <c r="CT194" s="101"/>
      <c r="FJ194" s="103"/>
      <c r="FL194" s="103"/>
      <c r="FN194" s="103"/>
      <c r="FP194" s="103"/>
    </row>
    <row r="195" spans="2:172" x14ac:dyDescent="0.35">
      <c r="B195" s="97"/>
      <c r="G195" s="100"/>
      <c r="K195" s="98"/>
      <c r="L195" s="101"/>
      <c r="M195" s="101"/>
      <c r="N195" s="101"/>
      <c r="O195" s="101"/>
      <c r="P195" s="102"/>
      <c r="Q195" s="101"/>
      <c r="R195" s="98"/>
      <c r="S195" s="98"/>
      <c r="T195" s="98"/>
      <c r="U195" s="98"/>
      <c r="V195" s="98"/>
      <c r="W195" s="98"/>
      <c r="X195" s="103"/>
      <c r="Y195" s="103"/>
      <c r="Z195" s="103"/>
      <c r="AA195" s="103"/>
      <c r="AB195" s="103"/>
      <c r="AC195" s="103"/>
      <c r="AD195" s="103"/>
      <c r="AE195" s="101"/>
      <c r="AF195" s="101"/>
      <c r="AG195" s="101"/>
      <c r="AH195" s="101"/>
      <c r="AI195" s="101"/>
      <c r="AJ195" s="101"/>
      <c r="AK195" s="101"/>
      <c r="AL195" s="103"/>
      <c r="AM195" s="103"/>
      <c r="AN195" s="103"/>
      <c r="AO195" s="103"/>
      <c r="AP195" s="103"/>
      <c r="AQ195" s="103"/>
      <c r="AR195" s="103"/>
      <c r="AS195" s="101"/>
      <c r="AT195" s="101"/>
      <c r="AU195" s="101"/>
      <c r="AV195" s="101"/>
      <c r="AW195" s="101"/>
      <c r="AX195" s="101"/>
      <c r="AY195" s="101"/>
      <c r="AZ195" s="103"/>
      <c r="BA195" s="103"/>
      <c r="BB195" s="103"/>
      <c r="BC195" s="101"/>
      <c r="BD195" s="101"/>
      <c r="BE195" s="101"/>
      <c r="BF195" s="101"/>
      <c r="BG195" s="101"/>
      <c r="BK195" s="101"/>
      <c r="BL195" s="101"/>
      <c r="BM195" s="101"/>
      <c r="BN195" s="101"/>
      <c r="BO195" s="101"/>
      <c r="BP195" s="101"/>
      <c r="BQ195" s="101"/>
      <c r="BR195" s="104"/>
      <c r="BS195" s="104"/>
      <c r="BT195" s="104"/>
      <c r="BU195" s="104"/>
      <c r="BV195" s="104"/>
      <c r="BW195" s="104"/>
      <c r="BX195" s="104"/>
      <c r="BY195" s="104"/>
      <c r="BZ195" s="104"/>
      <c r="CA195" s="104"/>
      <c r="CB195" s="104"/>
      <c r="CC195" s="104"/>
      <c r="CD195" s="104"/>
      <c r="CE195" s="104"/>
      <c r="CF195" s="104"/>
      <c r="CG195" s="104"/>
      <c r="CH195" s="104"/>
      <c r="CI195" s="104"/>
      <c r="CJ195" s="104"/>
      <c r="CK195" s="104"/>
      <c r="CL195" s="104"/>
      <c r="CM195" s="104"/>
      <c r="CN195" s="98"/>
      <c r="CP195" s="101"/>
      <c r="CQ195" s="101"/>
      <c r="CR195" s="101"/>
      <c r="CS195" s="101"/>
      <c r="CT195" s="101"/>
      <c r="FJ195" s="103"/>
      <c r="FL195" s="103"/>
      <c r="FN195" s="103"/>
      <c r="FP195" s="103"/>
    </row>
    <row r="196" spans="2:172" x14ac:dyDescent="0.35">
      <c r="B196" s="97"/>
      <c r="G196" s="100"/>
      <c r="K196" s="98"/>
      <c r="L196" s="101"/>
      <c r="M196" s="101"/>
      <c r="N196" s="101"/>
      <c r="O196" s="101"/>
      <c r="P196" s="102"/>
      <c r="Q196" s="101"/>
      <c r="R196" s="98"/>
      <c r="S196" s="98"/>
      <c r="T196" s="98"/>
      <c r="U196" s="98"/>
      <c r="V196" s="98"/>
      <c r="W196" s="98"/>
      <c r="X196" s="103"/>
      <c r="Y196" s="103"/>
      <c r="Z196" s="103"/>
      <c r="AA196" s="103"/>
      <c r="AB196" s="103"/>
      <c r="AC196" s="103"/>
      <c r="AD196" s="103"/>
      <c r="AE196" s="101"/>
      <c r="AF196" s="101"/>
      <c r="AG196" s="101"/>
      <c r="AH196" s="101"/>
      <c r="AI196" s="101"/>
      <c r="AJ196" s="101"/>
      <c r="AK196" s="101"/>
      <c r="AL196" s="103"/>
      <c r="AM196" s="103"/>
      <c r="AN196" s="103"/>
      <c r="AO196" s="103"/>
      <c r="AP196" s="103"/>
      <c r="AQ196" s="103"/>
      <c r="AR196" s="103"/>
      <c r="AS196" s="101"/>
      <c r="AT196" s="101"/>
      <c r="AU196" s="101"/>
      <c r="AV196" s="101"/>
      <c r="AW196" s="101"/>
      <c r="AX196" s="101"/>
      <c r="AY196" s="101"/>
      <c r="AZ196" s="103"/>
      <c r="BA196" s="103"/>
      <c r="BB196" s="103"/>
      <c r="BC196" s="101"/>
      <c r="BD196" s="101"/>
      <c r="BE196" s="101"/>
      <c r="BF196" s="101"/>
      <c r="BG196" s="101"/>
      <c r="BK196" s="101"/>
      <c r="BL196" s="101"/>
      <c r="BM196" s="101"/>
      <c r="BN196" s="101"/>
      <c r="BO196" s="101"/>
      <c r="BP196" s="101"/>
      <c r="BQ196" s="101"/>
      <c r="BR196" s="104"/>
      <c r="BS196" s="104"/>
      <c r="BT196" s="104"/>
      <c r="BU196" s="104"/>
      <c r="BV196" s="104"/>
      <c r="BW196" s="104"/>
      <c r="BX196" s="104"/>
      <c r="BY196" s="104"/>
      <c r="BZ196" s="104"/>
      <c r="CA196" s="104"/>
      <c r="CB196" s="104"/>
      <c r="CC196" s="104"/>
      <c r="CD196" s="104"/>
      <c r="CE196" s="104"/>
      <c r="CF196" s="104"/>
      <c r="CG196" s="104"/>
      <c r="CH196" s="104"/>
      <c r="CI196" s="104"/>
      <c r="CJ196" s="104"/>
      <c r="CK196" s="104"/>
      <c r="CL196" s="104"/>
      <c r="CM196" s="104"/>
      <c r="CN196" s="98"/>
      <c r="CP196" s="101"/>
      <c r="CQ196" s="101"/>
      <c r="CR196" s="101"/>
      <c r="CS196" s="101"/>
      <c r="CT196" s="101"/>
      <c r="FJ196" s="103"/>
      <c r="FL196" s="103"/>
      <c r="FN196" s="103"/>
      <c r="FP196" s="103"/>
    </row>
    <row r="197" spans="2:172" x14ac:dyDescent="0.35">
      <c r="B197" s="97"/>
      <c r="G197" s="100"/>
      <c r="K197" s="98"/>
      <c r="L197" s="101"/>
      <c r="M197" s="101"/>
      <c r="N197" s="101"/>
      <c r="O197" s="101"/>
      <c r="P197" s="102"/>
      <c r="Q197" s="101"/>
      <c r="R197" s="98"/>
      <c r="S197" s="98"/>
      <c r="T197" s="98"/>
      <c r="U197" s="98"/>
      <c r="V197" s="98"/>
      <c r="W197" s="98"/>
      <c r="X197" s="103"/>
      <c r="Y197" s="103"/>
      <c r="Z197" s="103"/>
      <c r="AA197" s="103"/>
      <c r="AB197" s="103"/>
      <c r="AC197" s="103"/>
      <c r="AD197" s="103"/>
      <c r="AE197" s="101"/>
      <c r="AF197" s="101"/>
      <c r="AG197" s="101"/>
      <c r="AH197" s="101"/>
      <c r="AI197" s="101"/>
      <c r="AJ197" s="101"/>
      <c r="AK197" s="101"/>
      <c r="AL197" s="103"/>
      <c r="AM197" s="103"/>
      <c r="AN197" s="103"/>
      <c r="AO197" s="103"/>
      <c r="AP197" s="103"/>
      <c r="AQ197" s="103"/>
      <c r="AR197" s="103"/>
      <c r="AS197" s="101"/>
      <c r="AT197" s="101"/>
      <c r="AU197" s="101"/>
      <c r="AV197" s="101"/>
      <c r="AW197" s="101"/>
      <c r="AX197" s="101"/>
      <c r="AY197" s="101"/>
      <c r="AZ197" s="103"/>
      <c r="BA197" s="103"/>
      <c r="BB197" s="103"/>
      <c r="BC197" s="101"/>
      <c r="BD197" s="101"/>
      <c r="BE197" s="101"/>
      <c r="BF197" s="101"/>
      <c r="BG197" s="101"/>
      <c r="BK197" s="101"/>
      <c r="BL197" s="101"/>
      <c r="BM197" s="101"/>
      <c r="BN197" s="101"/>
      <c r="BO197" s="101"/>
      <c r="BP197" s="101"/>
      <c r="BQ197" s="101"/>
      <c r="BR197" s="104"/>
      <c r="BS197" s="104"/>
      <c r="BT197" s="104"/>
      <c r="BU197" s="104"/>
      <c r="BV197" s="104"/>
      <c r="BW197" s="104"/>
      <c r="BX197" s="104"/>
      <c r="BY197" s="104"/>
      <c r="BZ197" s="104"/>
      <c r="CA197" s="104"/>
      <c r="CB197" s="104"/>
      <c r="CC197" s="104"/>
      <c r="CD197" s="104"/>
      <c r="CE197" s="104"/>
      <c r="CF197" s="104"/>
      <c r="CG197" s="104"/>
      <c r="CH197" s="104"/>
      <c r="CI197" s="104"/>
      <c r="CJ197" s="104"/>
      <c r="CK197" s="104"/>
      <c r="CL197" s="104"/>
      <c r="CM197" s="104"/>
      <c r="CN197" s="98"/>
      <c r="CP197" s="101"/>
      <c r="CQ197" s="101"/>
      <c r="CR197" s="101"/>
      <c r="CS197" s="101"/>
      <c r="CT197" s="101"/>
      <c r="FJ197" s="103"/>
      <c r="FL197" s="103"/>
      <c r="FN197" s="103"/>
      <c r="FP197" s="103"/>
    </row>
    <row r="198" spans="2:172" x14ac:dyDescent="0.35">
      <c r="B198" s="97"/>
      <c r="G198" s="100"/>
      <c r="K198" s="98"/>
      <c r="L198" s="101"/>
      <c r="M198" s="101"/>
      <c r="N198" s="101"/>
      <c r="O198" s="101"/>
      <c r="P198" s="102"/>
      <c r="Q198" s="101"/>
      <c r="R198" s="98"/>
      <c r="S198" s="98"/>
      <c r="T198" s="98"/>
      <c r="U198" s="98"/>
      <c r="V198" s="98"/>
      <c r="W198" s="98"/>
      <c r="X198" s="103"/>
      <c r="Y198" s="103"/>
      <c r="Z198" s="103"/>
      <c r="AA198" s="103"/>
      <c r="AB198" s="103"/>
      <c r="AC198" s="103"/>
      <c r="AD198" s="103"/>
      <c r="AE198" s="101"/>
      <c r="AF198" s="101"/>
      <c r="AG198" s="101"/>
      <c r="AH198" s="101"/>
      <c r="AI198" s="101"/>
      <c r="AJ198" s="101"/>
      <c r="AK198" s="101"/>
      <c r="AL198" s="103"/>
      <c r="AM198" s="103"/>
      <c r="AN198" s="103"/>
      <c r="AO198" s="103"/>
      <c r="AP198" s="103"/>
      <c r="AQ198" s="103"/>
      <c r="AR198" s="103"/>
      <c r="AS198" s="101"/>
      <c r="AT198" s="101"/>
      <c r="AU198" s="101"/>
      <c r="AV198" s="101"/>
      <c r="AW198" s="101"/>
      <c r="AX198" s="101"/>
      <c r="AY198" s="101"/>
      <c r="AZ198" s="103"/>
      <c r="BA198" s="103"/>
      <c r="BB198" s="103"/>
      <c r="BC198" s="101"/>
      <c r="BD198" s="101"/>
      <c r="BE198" s="101"/>
      <c r="BF198" s="101"/>
      <c r="BG198" s="101"/>
      <c r="BK198" s="101"/>
      <c r="BL198" s="101"/>
      <c r="BM198" s="101"/>
      <c r="BN198" s="101"/>
      <c r="BO198" s="101"/>
      <c r="BP198" s="101"/>
      <c r="BQ198" s="101"/>
      <c r="BR198" s="104"/>
      <c r="BS198" s="104"/>
      <c r="BT198" s="104"/>
      <c r="BU198" s="104"/>
      <c r="BV198" s="104"/>
      <c r="BW198" s="104"/>
      <c r="BX198" s="104"/>
      <c r="BY198" s="104"/>
      <c r="BZ198" s="104"/>
      <c r="CA198" s="104"/>
      <c r="CB198" s="104"/>
      <c r="CC198" s="104"/>
      <c r="CD198" s="104"/>
      <c r="CE198" s="104"/>
      <c r="CF198" s="104"/>
      <c r="CG198" s="104"/>
      <c r="CH198" s="104"/>
      <c r="CI198" s="104"/>
      <c r="CJ198" s="104"/>
      <c r="CK198" s="104"/>
      <c r="CL198" s="104"/>
      <c r="CM198" s="104"/>
      <c r="CN198" s="98"/>
      <c r="CP198" s="101"/>
      <c r="CQ198" s="101"/>
      <c r="CR198" s="101"/>
      <c r="CS198" s="101"/>
      <c r="CT198" s="101"/>
      <c r="FJ198" s="103"/>
      <c r="FL198" s="103"/>
      <c r="FN198" s="103"/>
      <c r="FP198" s="103"/>
    </row>
    <row r="199" spans="2:172" x14ac:dyDescent="0.35">
      <c r="B199" s="97"/>
      <c r="G199" s="100"/>
      <c r="K199" s="98"/>
      <c r="L199" s="101"/>
      <c r="M199" s="101"/>
      <c r="N199" s="101"/>
      <c r="O199" s="101"/>
      <c r="P199" s="102"/>
      <c r="Q199" s="101"/>
      <c r="R199" s="98"/>
      <c r="S199" s="98"/>
      <c r="T199" s="98"/>
      <c r="U199" s="98"/>
      <c r="V199" s="98"/>
      <c r="W199" s="98"/>
      <c r="X199" s="103"/>
      <c r="Y199" s="103"/>
      <c r="Z199" s="103"/>
      <c r="AA199" s="103"/>
      <c r="AB199" s="103"/>
      <c r="AC199" s="103"/>
      <c r="AD199" s="103"/>
      <c r="AE199" s="101"/>
      <c r="AF199" s="101"/>
      <c r="AG199" s="101"/>
      <c r="AH199" s="101"/>
      <c r="AI199" s="101"/>
      <c r="AJ199" s="101"/>
      <c r="AK199" s="101"/>
      <c r="AL199" s="103"/>
      <c r="AM199" s="103"/>
      <c r="AN199" s="103"/>
      <c r="AO199" s="103"/>
      <c r="AP199" s="103"/>
      <c r="AQ199" s="103"/>
      <c r="AR199" s="103"/>
      <c r="AS199" s="101"/>
      <c r="AT199" s="101"/>
      <c r="AU199" s="101"/>
      <c r="AV199" s="101"/>
      <c r="AW199" s="101"/>
      <c r="AX199" s="101"/>
      <c r="AY199" s="101"/>
      <c r="AZ199" s="103"/>
      <c r="BA199" s="103"/>
      <c r="BB199" s="103"/>
      <c r="BC199" s="101"/>
      <c r="BD199" s="101"/>
      <c r="BE199" s="101"/>
      <c r="BF199" s="101"/>
      <c r="BG199" s="101"/>
      <c r="BK199" s="101"/>
      <c r="BL199" s="101"/>
      <c r="BM199" s="101"/>
      <c r="BN199" s="101"/>
      <c r="BO199" s="101"/>
      <c r="BP199" s="101"/>
      <c r="BQ199" s="101"/>
      <c r="BR199" s="104"/>
      <c r="BS199" s="104"/>
      <c r="BT199" s="104"/>
      <c r="BU199" s="104"/>
      <c r="BV199" s="104"/>
      <c r="BW199" s="104"/>
      <c r="BX199" s="104"/>
      <c r="BY199" s="104"/>
      <c r="BZ199" s="104"/>
      <c r="CA199" s="104"/>
      <c r="CB199" s="104"/>
      <c r="CC199" s="104"/>
      <c r="CD199" s="104"/>
      <c r="CE199" s="104"/>
      <c r="CF199" s="104"/>
      <c r="CG199" s="104"/>
      <c r="CH199" s="104"/>
      <c r="CI199" s="104"/>
      <c r="CJ199" s="104"/>
      <c r="CK199" s="104"/>
      <c r="CL199" s="104"/>
      <c r="CM199" s="104"/>
      <c r="CN199" s="98"/>
      <c r="CP199" s="101"/>
      <c r="CQ199" s="101"/>
      <c r="CR199" s="101"/>
      <c r="CS199" s="101"/>
      <c r="CT199" s="101"/>
      <c r="FJ199" s="103"/>
      <c r="FL199" s="103"/>
      <c r="FN199" s="103"/>
      <c r="FP199" s="103"/>
    </row>
    <row r="200" spans="2:172" x14ac:dyDescent="0.35">
      <c r="B200" s="97"/>
      <c r="G200" s="100"/>
      <c r="K200" s="98"/>
      <c r="L200" s="101"/>
      <c r="M200" s="101"/>
      <c r="N200" s="101"/>
      <c r="O200" s="101"/>
      <c r="P200" s="102"/>
      <c r="Q200" s="101"/>
      <c r="R200" s="98"/>
      <c r="S200" s="98"/>
      <c r="T200" s="98"/>
      <c r="U200" s="98"/>
      <c r="V200" s="98"/>
      <c r="W200" s="98"/>
      <c r="X200" s="103"/>
      <c r="Y200" s="103"/>
      <c r="Z200" s="103"/>
      <c r="AA200" s="103"/>
      <c r="AB200" s="103"/>
      <c r="AC200" s="103"/>
      <c r="AD200" s="103"/>
      <c r="AE200" s="101"/>
      <c r="AF200" s="101"/>
      <c r="AG200" s="101"/>
      <c r="AH200" s="101"/>
      <c r="AI200" s="101"/>
      <c r="AJ200" s="101"/>
      <c r="AK200" s="101"/>
      <c r="AL200" s="103"/>
      <c r="AM200" s="103"/>
      <c r="AN200" s="103"/>
      <c r="AO200" s="103"/>
      <c r="AP200" s="103"/>
      <c r="AQ200" s="103"/>
      <c r="AR200" s="103"/>
      <c r="AS200" s="101"/>
      <c r="AT200" s="101"/>
      <c r="AU200" s="101"/>
      <c r="AV200" s="101"/>
      <c r="AW200" s="101"/>
      <c r="AX200" s="101"/>
      <c r="AY200" s="101"/>
      <c r="AZ200" s="103"/>
      <c r="BA200" s="103"/>
      <c r="BB200" s="103"/>
      <c r="BC200" s="101"/>
      <c r="BD200" s="101"/>
      <c r="BE200" s="101"/>
      <c r="BF200" s="101"/>
      <c r="BG200" s="101"/>
      <c r="BK200" s="101"/>
      <c r="BL200" s="101"/>
      <c r="BM200" s="101"/>
      <c r="BN200" s="101"/>
      <c r="BO200" s="101"/>
      <c r="BP200" s="101"/>
      <c r="BQ200" s="101"/>
      <c r="BR200" s="104"/>
      <c r="BS200" s="104"/>
      <c r="BT200" s="104"/>
      <c r="BU200" s="104"/>
      <c r="BV200" s="104"/>
      <c r="BW200" s="104"/>
      <c r="BX200" s="104"/>
      <c r="BY200" s="104"/>
      <c r="BZ200" s="104"/>
      <c r="CA200" s="104"/>
      <c r="CB200" s="104"/>
      <c r="CC200" s="104"/>
      <c r="CD200" s="104"/>
      <c r="CE200" s="104"/>
      <c r="CF200" s="104"/>
      <c r="CG200" s="104"/>
      <c r="CH200" s="104"/>
      <c r="CI200" s="104"/>
      <c r="CJ200" s="104"/>
      <c r="CK200" s="104"/>
      <c r="CL200" s="104"/>
      <c r="CM200" s="104"/>
      <c r="CN200" s="98"/>
      <c r="CP200" s="101"/>
      <c r="CQ200" s="101"/>
      <c r="CR200" s="101"/>
      <c r="CS200" s="101"/>
      <c r="CT200" s="101"/>
      <c r="FJ200" s="103"/>
      <c r="FL200" s="103"/>
      <c r="FN200" s="103"/>
      <c r="FP200" s="103"/>
    </row>
    <row r="201" spans="2:172" x14ac:dyDescent="0.35">
      <c r="B201" s="97"/>
      <c r="G201" s="100"/>
      <c r="K201" s="98"/>
      <c r="L201" s="101"/>
      <c r="M201" s="101"/>
      <c r="N201" s="101"/>
      <c r="O201" s="101"/>
      <c r="P201" s="102"/>
      <c r="Q201" s="101"/>
      <c r="R201" s="98"/>
      <c r="S201" s="98"/>
      <c r="T201" s="98"/>
      <c r="U201" s="98"/>
      <c r="V201" s="98"/>
      <c r="W201" s="98"/>
      <c r="X201" s="103"/>
      <c r="Y201" s="103"/>
      <c r="Z201" s="103"/>
      <c r="AA201" s="103"/>
      <c r="AB201" s="103"/>
      <c r="AC201" s="103"/>
      <c r="AD201" s="103"/>
      <c r="AE201" s="101"/>
      <c r="AF201" s="101"/>
      <c r="AG201" s="101"/>
      <c r="AH201" s="101"/>
      <c r="AI201" s="101"/>
      <c r="AJ201" s="101"/>
      <c r="AK201" s="101"/>
      <c r="AL201" s="103"/>
      <c r="AM201" s="103"/>
      <c r="AN201" s="103"/>
      <c r="AO201" s="103"/>
      <c r="AP201" s="103"/>
      <c r="AQ201" s="103"/>
      <c r="AR201" s="103"/>
      <c r="AS201" s="101"/>
      <c r="AT201" s="101"/>
      <c r="AU201" s="101"/>
      <c r="AV201" s="101"/>
      <c r="AW201" s="101"/>
      <c r="AX201" s="101"/>
      <c r="AY201" s="101"/>
      <c r="AZ201" s="103"/>
      <c r="BA201" s="103"/>
      <c r="BB201" s="103"/>
      <c r="BC201" s="101"/>
      <c r="BD201" s="101"/>
      <c r="BE201" s="101"/>
      <c r="BF201" s="101"/>
      <c r="BG201" s="101"/>
      <c r="BK201" s="101"/>
      <c r="BL201" s="101"/>
      <c r="BM201" s="101"/>
      <c r="BN201" s="101"/>
      <c r="BO201" s="101"/>
      <c r="BP201" s="101"/>
      <c r="BQ201" s="101"/>
      <c r="BR201" s="104"/>
      <c r="BS201" s="104"/>
      <c r="BT201" s="104"/>
      <c r="BU201" s="104"/>
      <c r="BV201" s="104"/>
      <c r="BW201" s="104"/>
      <c r="BX201" s="104"/>
      <c r="BY201" s="104"/>
      <c r="BZ201" s="104"/>
      <c r="CA201" s="104"/>
      <c r="CB201" s="104"/>
      <c r="CC201" s="104"/>
      <c r="CD201" s="104"/>
      <c r="CE201" s="104"/>
      <c r="CF201" s="104"/>
      <c r="CG201" s="104"/>
      <c r="CH201" s="104"/>
      <c r="CI201" s="104"/>
      <c r="CJ201" s="104"/>
      <c r="CK201" s="104"/>
      <c r="CL201" s="104"/>
      <c r="CM201" s="104"/>
      <c r="CN201" s="98"/>
      <c r="CP201" s="101"/>
      <c r="CQ201" s="101"/>
      <c r="CR201" s="101"/>
      <c r="CS201" s="101"/>
      <c r="CT201" s="101"/>
      <c r="FJ201" s="103"/>
      <c r="FL201" s="103"/>
      <c r="FN201" s="103"/>
      <c r="FP201" s="103"/>
    </row>
    <row r="202" spans="2:172" x14ac:dyDescent="0.35">
      <c r="B202" s="97"/>
      <c r="G202" s="100"/>
      <c r="K202" s="98"/>
      <c r="L202" s="101"/>
      <c r="M202" s="101"/>
      <c r="N202" s="101"/>
      <c r="O202" s="101"/>
      <c r="P202" s="102"/>
      <c r="Q202" s="101"/>
      <c r="R202" s="98"/>
      <c r="S202" s="98"/>
      <c r="T202" s="98"/>
      <c r="U202" s="98"/>
      <c r="V202" s="98"/>
      <c r="W202" s="98"/>
      <c r="X202" s="103"/>
      <c r="Y202" s="103"/>
      <c r="Z202" s="103"/>
      <c r="AA202" s="103"/>
      <c r="AB202" s="103"/>
      <c r="AC202" s="103"/>
      <c r="AD202" s="103"/>
      <c r="AE202" s="101"/>
      <c r="AF202" s="101"/>
      <c r="AG202" s="101"/>
      <c r="AH202" s="101"/>
      <c r="AI202" s="101"/>
      <c r="AJ202" s="101"/>
      <c r="AK202" s="101"/>
      <c r="AL202" s="103"/>
      <c r="AM202" s="103"/>
      <c r="AN202" s="103"/>
      <c r="AO202" s="103"/>
      <c r="AP202" s="103"/>
      <c r="AQ202" s="103"/>
      <c r="AR202" s="103"/>
      <c r="AS202" s="101"/>
      <c r="AT202" s="101"/>
      <c r="AU202" s="101"/>
      <c r="AV202" s="101"/>
      <c r="AW202" s="101"/>
      <c r="AX202" s="101"/>
      <c r="AY202" s="101"/>
      <c r="AZ202" s="103"/>
      <c r="BA202" s="103"/>
      <c r="BB202" s="103"/>
      <c r="BC202" s="101"/>
      <c r="BD202" s="101"/>
      <c r="BE202" s="101"/>
      <c r="BF202" s="101"/>
      <c r="BG202" s="101"/>
      <c r="BK202" s="101"/>
      <c r="BL202" s="101"/>
      <c r="BM202" s="101"/>
      <c r="BN202" s="101"/>
      <c r="BO202" s="101"/>
      <c r="BP202" s="101"/>
      <c r="BQ202" s="101"/>
      <c r="BR202" s="104"/>
      <c r="BS202" s="104"/>
      <c r="BT202" s="104"/>
      <c r="BU202" s="104"/>
      <c r="BV202" s="104"/>
      <c r="BW202" s="104"/>
      <c r="BX202" s="104"/>
      <c r="BY202" s="104"/>
      <c r="BZ202" s="104"/>
      <c r="CA202" s="104"/>
      <c r="CB202" s="104"/>
      <c r="CC202" s="104"/>
      <c r="CD202" s="104"/>
      <c r="CE202" s="104"/>
      <c r="CF202" s="104"/>
      <c r="CG202" s="104"/>
      <c r="CH202" s="104"/>
      <c r="CI202" s="104"/>
      <c r="CJ202" s="104"/>
      <c r="CK202" s="104"/>
      <c r="CL202" s="104"/>
      <c r="CM202" s="104"/>
      <c r="CN202" s="98"/>
      <c r="CP202" s="101"/>
      <c r="CQ202" s="101"/>
      <c r="CR202" s="101"/>
      <c r="CS202" s="101"/>
      <c r="CT202" s="101"/>
      <c r="FJ202" s="103"/>
      <c r="FL202" s="103"/>
      <c r="FN202" s="103"/>
      <c r="FP202" s="103"/>
    </row>
    <row r="203" spans="2:172" x14ac:dyDescent="0.35">
      <c r="B203" s="97"/>
      <c r="G203" s="100"/>
      <c r="K203" s="98"/>
      <c r="L203" s="101"/>
      <c r="M203" s="101"/>
      <c r="N203" s="101"/>
      <c r="O203" s="101"/>
      <c r="P203" s="102"/>
      <c r="Q203" s="101"/>
      <c r="R203" s="98"/>
      <c r="S203" s="98"/>
      <c r="T203" s="98"/>
      <c r="U203" s="98"/>
      <c r="V203" s="98"/>
      <c r="W203" s="98"/>
      <c r="X203" s="103"/>
      <c r="Y203" s="103"/>
      <c r="Z203" s="103"/>
      <c r="AA203" s="103"/>
      <c r="AB203" s="103"/>
      <c r="AC203" s="103"/>
      <c r="AD203" s="103"/>
      <c r="AE203" s="101"/>
      <c r="AF203" s="101"/>
      <c r="AG203" s="101"/>
      <c r="AH203" s="101"/>
      <c r="AI203" s="101"/>
      <c r="AJ203" s="101"/>
      <c r="AK203" s="101"/>
      <c r="AL203" s="103"/>
      <c r="AM203" s="103"/>
      <c r="AN203" s="103"/>
      <c r="AO203" s="103"/>
      <c r="AP203" s="103"/>
      <c r="AQ203" s="103"/>
      <c r="AR203" s="103"/>
      <c r="AS203" s="101"/>
      <c r="AT203" s="101"/>
      <c r="AU203" s="101"/>
      <c r="AV203" s="101"/>
      <c r="AW203" s="101"/>
      <c r="AX203" s="101"/>
      <c r="AY203" s="101"/>
      <c r="AZ203" s="103"/>
      <c r="BA203" s="103"/>
      <c r="BB203" s="103"/>
      <c r="BC203" s="101"/>
      <c r="BD203" s="101"/>
      <c r="BE203" s="101"/>
      <c r="BF203" s="101"/>
      <c r="BG203" s="101"/>
      <c r="BK203" s="101"/>
      <c r="BL203" s="101"/>
      <c r="BM203" s="101"/>
      <c r="BN203" s="101"/>
      <c r="BO203" s="101"/>
      <c r="BP203" s="101"/>
      <c r="BQ203" s="101"/>
      <c r="BR203" s="104"/>
      <c r="BS203" s="104"/>
      <c r="BT203" s="104"/>
      <c r="BU203" s="104"/>
      <c r="BV203" s="104"/>
      <c r="BW203" s="104"/>
      <c r="BX203" s="104"/>
      <c r="BY203" s="104"/>
      <c r="BZ203" s="104"/>
      <c r="CA203" s="104"/>
      <c r="CB203" s="104"/>
      <c r="CC203" s="104"/>
      <c r="CD203" s="104"/>
      <c r="CE203" s="104"/>
      <c r="CF203" s="104"/>
      <c r="CG203" s="104"/>
      <c r="CH203" s="104"/>
      <c r="CI203" s="104"/>
      <c r="CJ203" s="104"/>
      <c r="CK203" s="104"/>
      <c r="CL203" s="104"/>
      <c r="CM203" s="104"/>
      <c r="CN203" s="98"/>
      <c r="CP203" s="101"/>
      <c r="CQ203" s="101"/>
      <c r="CR203" s="101"/>
      <c r="CS203" s="101"/>
      <c r="CT203" s="101"/>
      <c r="FJ203" s="103"/>
      <c r="FL203" s="103"/>
      <c r="FN203" s="103"/>
      <c r="FP203" s="103"/>
    </row>
    <row r="204" spans="2:172" x14ac:dyDescent="0.35">
      <c r="B204" s="97"/>
      <c r="G204" s="100"/>
      <c r="K204" s="98"/>
      <c r="L204" s="101"/>
      <c r="M204" s="101"/>
      <c r="N204" s="101"/>
      <c r="O204" s="101"/>
      <c r="P204" s="102"/>
      <c r="Q204" s="101"/>
      <c r="R204" s="98"/>
      <c r="S204" s="98"/>
      <c r="T204" s="98"/>
      <c r="U204" s="98"/>
      <c r="V204" s="98"/>
      <c r="W204" s="98"/>
      <c r="X204" s="103"/>
      <c r="Y204" s="103"/>
      <c r="Z204" s="103"/>
      <c r="AA204" s="103"/>
      <c r="AB204" s="103"/>
      <c r="AC204" s="103"/>
      <c r="AD204" s="103"/>
      <c r="AE204" s="101"/>
      <c r="AF204" s="101"/>
      <c r="AG204" s="101"/>
      <c r="AH204" s="101"/>
      <c r="AI204" s="101"/>
      <c r="AJ204" s="101"/>
      <c r="AK204" s="101"/>
      <c r="AL204" s="103"/>
      <c r="AM204" s="103"/>
      <c r="AN204" s="103"/>
      <c r="AO204" s="103"/>
      <c r="AP204" s="103"/>
      <c r="AQ204" s="103"/>
      <c r="AR204" s="103"/>
      <c r="AS204" s="101"/>
      <c r="AT204" s="101"/>
      <c r="AU204" s="101"/>
      <c r="AV204" s="101"/>
      <c r="AW204" s="101"/>
      <c r="AX204" s="101"/>
      <c r="AY204" s="101"/>
      <c r="AZ204" s="103"/>
      <c r="BA204" s="103"/>
      <c r="BB204" s="103"/>
      <c r="BC204" s="101"/>
      <c r="BD204" s="101"/>
      <c r="BE204" s="101"/>
      <c r="BF204" s="101"/>
      <c r="BG204" s="101"/>
      <c r="BK204" s="101"/>
      <c r="BL204" s="101"/>
      <c r="BM204" s="101"/>
      <c r="BN204" s="101"/>
      <c r="BO204" s="101"/>
      <c r="BP204" s="101"/>
      <c r="BQ204" s="101"/>
      <c r="BR204" s="104"/>
      <c r="BS204" s="104"/>
      <c r="BT204" s="104"/>
      <c r="BU204" s="104"/>
      <c r="BV204" s="104"/>
      <c r="BW204" s="104"/>
      <c r="BX204" s="104"/>
      <c r="BY204" s="104"/>
      <c r="BZ204" s="104"/>
      <c r="CA204" s="104"/>
      <c r="CB204" s="104"/>
      <c r="CC204" s="104"/>
      <c r="CD204" s="104"/>
      <c r="CE204" s="104"/>
      <c r="CF204" s="104"/>
      <c r="CG204" s="104"/>
      <c r="CH204" s="104"/>
      <c r="CI204" s="104"/>
      <c r="CJ204" s="104"/>
      <c r="CK204" s="104"/>
      <c r="CL204" s="104"/>
      <c r="CM204" s="104"/>
      <c r="CN204" s="98"/>
      <c r="CP204" s="101"/>
      <c r="CQ204" s="101"/>
      <c r="CR204" s="101"/>
      <c r="CS204" s="101"/>
      <c r="CT204" s="101"/>
      <c r="FJ204" s="103"/>
      <c r="FL204" s="103"/>
      <c r="FN204" s="103"/>
      <c r="FP204" s="103"/>
    </row>
    <row r="205" spans="2:172" x14ac:dyDescent="0.35">
      <c r="B205" s="97"/>
      <c r="G205" s="100"/>
      <c r="K205" s="98"/>
      <c r="L205" s="101"/>
      <c r="M205" s="101"/>
      <c r="N205" s="101"/>
      <c r="O205" s="101"/>
      <c r="P205" s="102"/>
      <c r="Q205" s="101"/>
      <c r="R205" s="98"/>
      <c r="S205" s="98"/>
      <c r="T205" s="98"/>
      <c r="U205" s="98"/>
      <c r="V205" s="98"/>
      <c r="W205" s="98"/>
      <c r="X205" s="103"/>
      <c r="Y205" s="103"/>
      <c r="Z205" s="103"/>
      <c r="AA205" s="103"/>
      <c r="AB205" s="103"/>
      <c r="AC205" s="103"/>
      <c r="AD205" s="103"/>
      <c r="AE205" s="101"/>
      <c r="AF205" s="101"/>
      <c r="AG205" s="101"/>
      <c r="AH205" s="101"/>
      <c r="AI205" s="101"/>
      <c r="AJ205" s="101"/>
      <c r="AK205" s="101"/>
      <c r="AL205" s="103"/>
      <c r="AM205" s="103"/>
      <c r="AN205" s="103"/>
      <c r="AO205" s="103"/>
      <c r="AP205" s="103"/>
      <c r="AQ205" s="103"/>
      <c r="AR205" s="103"/>
      <c r="AS205" s="101"/>
      <c r="AT205" s="101"/>
      <c r="AU205" s="101"/>
      <c r="AV205" s="101"/>
      <c r="AW205" s="101"/>
      <c r="AX205" s="101"/>
      <c r="AY205" s="101"/>
      <c r="AZ205" s="103"/>
      <c r="BA205" s="103"/>
      <c r="BB205" s="103"/>
      <c r="BC205" s="101"/>
      <c r="BD205" s="101"/>
      <c r="BE205" s="101"/>
      <c r="BF205" s="101"/>
      <c r="BG205" s="101"/>
      <c r="BK205" s="101"/>
      <c r="BL205" s="101"/>
      <c r="BM205" s="101"/>
      <c r="BN205" s="101"/>
      <c r="BO205" s="101"/>
      <c r="BP205" s="101"/>
      <c r="BQ205" s="101"/>
      <c r="BR205" s="104"/>
      <c r="BS205" s="104"/>
      <c r="BT205" s="104"/>
      <c r="BU205" s="104"/>
      <c r="BV205" s="104"/>
      <c r="BW205" s="104"/>
      <c r="BX205" s="104"/>
      <c r="BY205" s="104"/>
      <c r="BZ205" s="104"/>
      <c r="CA205" s="104"/>
      <c r="CB205" s="104"/>
      <c r="CC205" s="104"/>
      <c r="CD205" s="104"/>
      <c r="CE205" s="104"/>
      <c r="CF205" s="104"/>
      <c r="CG205" s="104"/>
      <c r="CH205" s="104"/>
      <c r="CI205" s="104"/>
      <c r="CJ205" s="104"/>
      <c r="CK205" s="104"/>
      <c r="CL205" s="104"/>
      <c r="CM205" s="104"/>
      <c r="CN205" s="98"/>
      <c r="CP205" s="101"/>
      <c r="CQ205" s="101"/>
      <c r="CR205" s="101"/>
      <c r="CS205" s="101"/>
      <c r="CT205" s="101"/>
      <c r="FJ205" s="103"/>
      <c r="FL205" s="103"/>
      <c r="FN205" s="103"/>
      <c r="FP205" s="103"/>
    </row>
    <row r="206" spans="2:172" x14ac:dyDescent="0.35">
      <c r="B206" s="97"/>
      <c r="G206" s="100"/>
      <c r="K206" s="98"/>
      <c r="L206" s="101"/>
      <c r="M206" s="101"/>
      <c r="N206" s="101"/>
      <c r="O206" s="101"/>
      <c r="P206" s="102"/>
      <c r="Q206" s="101"/>
      <c r="R206" s="98"/>
      <c r="S206" s="98"/>
      <c r="T206" s="98"/>
      <c r="U206" s="98"/>
      <c r="V206" s="98"/>
      <c r="W206" s="98"/>
      <c r="X206" s="103"/>
      <c r="Y206" s="103"/>
      <c r="Z206" s="103"/>
      <c r="AA206" s="103"/>
      <c r="AB206" s="103"/>
      <c r="AC206" s="103"/>
      <c r="AD206" s="103"/>
      <c r="AE206" s="101"/>
      <c r="AF206" s="101"/>
      <c r="AG206" s="101"/>
      <c r="AH206" s="101"/>
      <c r="AI206" s="101"/>
      <c r="AJ206" s="101"/>
      <c r="AK206" s="101"/>
      <c r="AL206" s="103"/>
      <c r="AM206" s="103"/>
      <c r="AN206" s="103"/>
      <c r="AO206" s="103"/>
      <c r="AP206" s="103"/>
      <c r="AQ206" s="103"/>
      <c r="AR206" s="103"/>
      <c r="AS206" s="101"/>
      <c r="AT206" s="101"/>
      <c r="AU206" s="101"/>
      <c r="AV206" s="101"/>
      <c r="AW206" s="101"/>
      <c r="AX206" s="101"/>
      <c r="AY206" s="101"/>
      <c r="AZ206" s="103"/>
      <c r="BA206" s="103"/>
      <c r="BB206" s="103"/>
      <c r="BC206" s="101"/>
      <c r="BD206" s="101"/>
      <c r="BE206" s="101"/>
      <c r="BF206" s="101"/>
      <c r="BG206" s="101"/>
      <c r="BK206" s="101"/>
      <c r="BL206" s="101"/>
      <c r="BM206" s="101"/>
      <c r="BN206" s="101"/>
      <c r="BO206" s="101"/>
      <c r="BP206" s="101"/>
      <c r="BQ206" s="101"/>
      <c r="BR206" s="104"/>
      <c r="BS206" s="104"/>
      <c r="BT206" s="104"/>
      <c r="BU206" s="104"/>
      <c r="BV206" s="104"/>
      <c r="BW206" s="104"/>
      <c r="BX206" s="104"/>
      <c r="BY206" s="104"/>
      <c r="BZ206" s="104"/>
      <c r="CA206" s="104"/>
      <c r="CB206" s="104"/>
      <c r="CC206" s="104"/>
      <c r="CD206" s="104"/>
      <c r="CE206" s="104"/>
      <c r="CF206" s="104"/>
      <c r="CG206" s="104"/>
      <c r="CH206" s="104"/>
      <c r="CI206" s="104"/>
      <c r="CJ206" s="104"/>
      <c r="CK206" s="104"/>
      <c r="CL206" s="104"/>
      <c r="CM206" s="104"/>
      <c r="CN206" s="98"/>
      <c r="CP206" s="101"/>
      <c r="CQ206" s="101"/>
      <c r="CR206" s="101"/>
      <c r="CS206" s="101"/>
      <c r="CT206" s="101"/>
      <c r="FJ206" s="103"/>
      <c r="FL206" s="103"/>
      <c r="FN206" s="103"/>
      <c r="FP206" s="103"/>
    </row>
    <row r="207" spans="2:172" x14ac:dyDescent="0.35">
      <c r="B207" s="97"/>
      <c r="G207" s="100"/>
      <c r="K207" s="98"/>
      <c r="L207" s="101"/>
      <c r="M207" s="101"/>
      <c r="N207" s="101"/>
      <c r="O207" s="101"/>
      <c r="P207" s="102"/>
      <c r="Q207" s="101"/>
      <c r="R207" s="98"/>
      <c r="S207" s="98"/>
      <c r="T207" s="98"/>
      <c r="U207" s="98"/>
      <c r="V207" s="98"/>
      <c r="W207" s="98"/>
      <c r="X207" s="103"/>
      <c r="Y207" s="103"/>
      <c r="Z207" s="103"/>
      <c r="AA207" s="103"/>
      <c r="AB207" s="103"/>
      <c r="AC207" s="103"/>
      <c r="AD207" s="103"/>
      <c r="AE207" s="101"/>
      <c r="AF207" s="101"/>
      <c r="AG207" s="101"/>
      <c r="AH207" s="101"/>
      <c r="AI207" s="101"/>
      <c r="AJ207" s="101"/>
      <c r="AK207" s="101"/>
      <c r="AL207" s="103"/>
      <c r="AM207" s="103"/>
      <c r="AN207" s="103"/>
      <c r="AO207" s="103"/>
      <c r="AP207" s="103"/>
      <c r="AQ207" s="103"/>
      <c r="AR207" s="103"/>
      <c r="AS207" s="101"/>
      <c r="AT207" s="101"/>
      <c r="AU207" s="101"/>
      <c r="AV207" s="101"/>
      <c r="AW207" s="101"/>
      <c r="AX207" s="101"/>
      <c r="AY207" s="101"/>
      <c r="AZ207" s="103"/>
      <c r="BA207" s="103"/>
      <c r="BB207" s="103"/>
      <c r="BC207" s="101"/>
      <c r="BD207" s="101"/>
      <c r="BE207" s="101"/>
      <c r="BF207" s="101"/>
      <c r="BG207" s="101"/>
      <c r="BK207" s="101"/>
      <c r="BL207" s="101"/>
      <c r="BM207" s="101"/>
      <c r="BN207" s="101"/>
      <c r="BO207" s="101"/>
      <c r="BP207" s="101"/>
      <c r="BQ207" s="101"/>
      <c r="BR207" s="104"/>
      <c r="BS207" s="104"/>
      <c r="BT207" s="104"/>
      <c r="BU207" s="104"/>
      <c r="BV207" s="104"/>
      <c r="BW207" s="104"/>
      <c r="BX207" s="104"/>
      <c r="BY207" s="104"/>
      <c r="BZ207" s="104"/>
      <c r="CA207" s="104"/>
      <c r="CB207" s="104"/>
      <c r="CC207" s="104"/>
      <c r="CD207" s="104"/>
      <c r="CE207" s="104"/>
      <c r="CF207" s="104"/>
      <c r="CG207" s="104"/>
      <c r="CH207" s="104"/>
      <c r="CI207" s="104"/>
      <c r="CJ207" s="104"/>
      <c r="CK207" s="104"/>
      <c r="CL207" s="104"/>
      <c r="CM207" s="104"/>
      <c r="CN207" s="98"/>
      <c r="CP207" s="101"/>
      <c r="CQ207" s="101"/>
      <c r="CR207" s="101"/>
      <c r="CS207" s="101"/>
      <c r="CT207" s="101"/>
      <c r="FJ207" s="103"/>
      <c r="FL207" s="103"/>
      <c r="FN207" s="103"/>
      <c r="FP207" s="103"/>
    </row>
    <row r="208" spans="2:172" x14ac:dyDescent="0.35">
      <c r="B208" s="97"/>
      <c r="G208" s="100"/>
      <c r="K208" s="98"/>
      <c r="L208" s="101"/>
      <c r="M208" s="101"/>
      <c r="N208" s="101"/>
      <c r="O208" s="101"/>
      <c r="P208" s="102"/>
      <c r="Q208" s="101"/>
      <c r="R208" s="98"/>
      <c r="S208" s="98"/>
      <c r="T208" s="98"/>
      <c r="U208" s="98"/>
      <c r="V208" s="98"/>
      <c r="W208" s="98"/>
      <c r="X208" s="103"/>
      <c r="Y208" s="103"/>
      <c r="Z208" s="103"/>
      <c r="AA208" s="103"/>
      <c r="AB208" s="103"/>
      <c r="AC208" s="103"/>
      <c r="AD208" s="103"/>
      <c r="AE208" s="101"/>
      <c r="AF208" s="101"/>
      <c r="AG208" s="101"/>
      <c r="AH208" s="101"/>
      <c r="AI208" s="101"/>
      <c r="AJ208" s="101"/>
      <c r="AK208" s="101"/>
      <c r="AL208" s="103"/>
      <c r="AM208" s="103"/>
      <c r="AN208" s="103"/>
      <c r="AO208" s="103"/>
      <c r="AP208" s="103"/>
      <c r="AQ208" s="103"/>
      <c r="AR208" s="103"/>
      <c r="AS208" s="101"/>
      <c r="AT208" s="101"/>
      <c r="AU208" s="101"/>
      <c r="AV208" s="101"/>
      <c r="AW208" s="101"/>
      <c r="AX208" s="101"/>
      <c r="AY208" s="101"/>
      <c r="AZ208" s="103"/>
      <c r="BA208" s="103"/>
      <c r="BB208" s="103"/>
      <c r="BC208" s="101"/>
      <c r="BD208" s="101"/>
      <c r="BE208" s="101"/>
      <c r="BF208" s="101"/>
      <c r="BG208" s="101"/>
      <c r="BK208" s="101"/>
      <c r="BL208" s="101"/>
      <c r="BM208" s="101"/>
      <c r="BN208" s="101"/>
      <c r="BO208" s="101"/>
      <c r="BP208" s="101"/>
      <c r="BQ208" s="101"/>
      <c r="BR208" s="104"/>
      <c r="BS208" s="104"/>
      <c r="BT208" s="104"/>
      <c r="BU208" s="104"/>
      <c r="BV208" s="104"/>
      <c r="BW208" s="104"/>
      <c r="BX208" s="104"/>
      <c r="BY208" s="104"/>
      <c r="BZ208" s="104"/>
      <c r="CA208" s="104"/>
      <c r="CB208" s="104"/>
      <c r="CC208" s="104"/>
      <c r="CD208" s="104"/>
      <c r="CE208" s="104"/>
      <c r="CF208" s="104"/>
      <c r="CG208" s="104"/>
      <c r="CH208" s="104"/>
      <c r="CI208" s="104"/>
      <c r="CJ208" s="104"/>
      <c r="CK208" s="104"/>
      <c r="CL208" s="104"/>
      <c r="CM208" s="104"/>
      <c r="CN208" s="98"/>
      <c r="CP208" s="101"/>
      <c r="CQ208" s="101"/>
      <c r="CR208" s="101"/>
      <c r="CS208" s="101"/>
      <c r="CT208" s="101"/>
      <c r="FJ208" s="103"/>
      <c r="FL208" s="103"/>
      <c r="FN208" s="103"/>
      <c r="FP208" s="103"/>
    </row>
    <row r="209" spans="2:172" x14ac:dyDescent="0.35">
      <c r="B209" s="97"/>
      <c r="G209" s="100"/>
      <c r="K209" s="98"/>
      <c r="L209" s="101"/>
      <c r="M209" s="101"/>
      <c r="N209" s="101"/>
      <c r="O209" s="101"/>
      <c r="P209" s="102"/>
      <c r="Q209" s="101"/>
      <c r="R209" s="98"/>
      <c r="S209" s="98"/>
      <c r="T209" s="98"/>
      <c r="U209" s="98"/>
      <c r="V209" s="98"/>
      <c r="W209" s="98"/>
      <c r="X209" s="103"/>
      <c r="Y209" s="103"/>
      <c r="Z209" s="103"/>
      <c r="AA209" s="103"/>
      <c r="AB209" s="103"/>
      <c r="AC209" s="103"/>
      <c r="AD209" s="103"/>
      <c r="AE209" s="101"/>
      <c r="AF209" s="101"/>
      <c r="AG209" s="101"/>
      <c r="AH209" s="101"/>
      <c r="AI209" s="101"/>
      <c r="AJ209" s="101"/>
      <c r="AK209" s="101"/>
      <c r="AL209" s="103"/>
      <c r="AM209" s="103"/>
      <c r="AN209" s="103"/>
      <c r="AO209" s="103"/>
      <c r="AP209" s="103"/>
      <c r="AQ209" s="103"/>
      <c r="AR209" s="103"/>
      <c r="AS209" s="101"/>
      <c r="AT209" s="101"/>
      <c r="AU209" s="101"/>
      <c r="AV209" s="101"/>
      <c r="AW209" s="101"/>
      <c r="AX209" s="101"/>
      <c r="AY209" s="101"/>
      <c r="AZ209" s="103"/>
      <c r="BA209" s="103"/>
      <c r="BB209" s="103"/>
      <c r="BC209" s="101"/>
      <c r="BD209" s="101"/>
      <c r="BE209" s="101"/>
      <c r="BF209" s="101"/>
      <c r="BG209" s="101"/>
      <c r="BK209" s="101"/>
      <c r="BL209" s="101"/>
      <c r="BM209" s="101"/>
      <c r="BN209" s="101"/>
      <c r="BO209" s="101"/>
      <c r="BP209" s="101"/>
      <c r="BQ209" s="101"/>
      <c r="BR209" s="104"/>
      <c r="BS209" s="104"/>
      <c r="BT209" s="104"/>
      <c r="BU209" s="104"/>
      <c r="BV209" s="104"/>
      <c r="BW209" s="104"/>
      <c r="BX209" s="104"/>
      <c r="BY209" s="104"/>
      <c r="BZ209" s="104"/>
      <c r="CA209" s="104"/>
      <c r="CB209" s="104"/>
      <c r="CC209" s="104"/>
      <c r="CD209" s="104"/>
      <c r="CE209" s="104"/>
      <c r="CF209" s="104"/>
      <c r="CG209" s="104"/>
      <c r="CH209" s="104"/>
      <c r="CI209" s="104"/>
      <c r="CJ209" s="104"/>
      <c r="CK209" s="104"/>
      <c r="CL209" s="104"/>
      <c r="CM209" s="104"/>
      <c r="CN209" s="98"/>
      <c r="CP209" s="101"/>
      <c r="CQ209" s="101"/>
      <c r="CR209" s="101"/>
      <c r="CS209" s="101"/>
      <c r="CT209" s="101"/>
      <c r="FJ209" s="103"/>
      <c r="FL209" s="103"/>
      <c r="FN209" s="103"/>
      <c r="FP209" s="103"/>
    </row>
    <row r="210" spans="2:172" x14ac:dyDescent="0.35">
      <c r="B210" s="97"/>
      <c r="G210" s="100"/>
      <c r="K210" s="98"/>
      <c r="L210" s="101"/>
      <c r="M210" s="101"/>
      <c r="N210" s="101"/>
      <c r="O210" s="101"/>
      <c r="P210" s="102"/>
      <c r="Q210" s="101"/>
      <c r="R210" s="98"/>
      <c r="S210" s="98"/>
      <c r="T210" s="98"/>
      <c r="U210" s="98"/>
      <c r="V210" s="98"/>
      <c r="W210" s="98"/>
      <c r="X210" s="103"/>
      <c r="Y210" s="103"/>
      <c r="Z210" s="103"/>
      <c r="AA210" s="103"/>
      <c r="AB210" s="103"/>
      <c r="AC210" s="103"/>
      <c r="AD210" s="103"/>
      <c r="AE210" s="101"/>
      <c r="AF210" s="101"/>
      <c r="AG210" s="101"/>
      <c r="AH210" s="101"/>
      <c r="AI210" s="101"/>
      <c r="AJ210" s="101"/>
      <c r="AK210" s="101"/>
      <c r="AL210" s="103"/>
      <c r="AM210" s="103"/>
      <c r="AN210" s="103"/>
      <c r="AO210" s="103"/>
      <c r="AP210" s="103"/>
      <c r="AQ210" s="103"/>
      <c r="AR210" s="103"/>
      <c r="AS210" s="101"/>
      <c r="AT210" s="101"/>
      <c r="AU210" s="101"/>
      <c r="AV210" s="101"/>
      <c r="AW210" s="101"/>
      <c r="AX210" s="101"/>
      <c r="AY210" s="101"/>
      <c r="AZ210" s="103"/>
      <c r="BA210" s="103"/>
      <c r="BB210" s="103"/>
      <c r="BC210" s="101"/>
      <c r="BD210" s="101"/>
      <c r="BE210" s="101"/>
      <c r="BF210" s="101"/>
      <c r="BG210" s="101"/>
      <c r="BK210" s="101"/>
      <c r="BL210" s="101"/>
      <c r="BM210" s="101"/>
      <c r="BN210" s="101"/>
      <c r="BO210" s="101"/>
      <c r="BP210" s="101"/>
      <c r="BQ210" s="101"/>
      <c r="BR210" s="104"/>
      <c r="BS210" s="104"/>
      <c r="BT210" s="104"/>
      <c r="BU210" s="104"/>
      <c r="BV210" s="104"/>
      <c r="BW210" s="104"/>
      <c r="BX210" s="104"/>
      <c r="BY210" s="104"/>
      <c r="BZ210" s="104"/>
      <c r="CA210" s="104"/>
      <c r="CB210" s="104"/>
      <c r="CC210" s="104"/>
      <c r="CD210" s="104"/>
      <c r="CE210" s="104"/>
      <c r="CF210" s="104"/>
      <c r="CG210" s="104"/>
      <c r="CH210" s="104"/>
      <c r="CI210" s="104"/>
      <c r="CJ210" s="104"/>
      <c r="CK210" s="104"/>
      <c r="CL210" s="104"/>
      <c r="CM210" s="104"/>
      <c r="CN210" s="98"/>
      <c r="CP210" s="101"/>
      <c r="CQ210" s="101"/>
      <c r="CR210" s="101"/>
      <c r="CS210" s="101"/>
      <c r="CT210" s="101"/>
      <c r="FJ210" s="103"/>
      <c r="FL210" s="103"/>
      <c r="FN210" s="103"/>
      <c r="FP210" s="103"/>
    </row>
    <row r="211" spans="2:172" x14ac:dyDescent="0.35">
      <c r="B211" s="97"/>
      <c r="G211" s="100"/>
      <c r="K211" s="98"/>
      <c r="L211" s="101"/>
      <c r="M211" s="101"/>
      <c r="N211" s="101"/>
      <c r="O211" s="101"/>
      <c r="P211" s="102"/>
      <c r="Q211" s="101"/>
      <c r="R211" s="98"/>
      <c r="S211" s="98"/>
      <c r="T211" s="98"/>
      <c r="U211" s="98"/>
      <c r="V211" s="98"/>
      <c r="W211" s="98"/>
      <c r="X211" s="103"/>
      <c r="Y211" s="103"/>
      <c r="Z211" s="103"/>
      <c r="AA211" s="103"/>
      <c r="AB211" s="103"/>
      <c r="AC211" s="103"/>
      <c r="AD211" s="103"/>
      <c r="AE211" s="101"/>
      <c r="AF211" s="101"/>
      <c r="AG211" s="101"/>
      <c r="AH211" s="101"/>
      <c r="AI211" s="101"/>
      <c r="AJ211" s="101"/>
      <c r="AK211" s="101"/>
      <c r="AL211" s="103"/>
      <c r="AM211" s="103"/>
      <c r="AN211" s="103"/>
      <c r="AO211" s="103"/>
      <c r="AP211" s="103"/>
      <c r="AQ211" s="103"/>
      <c r="AR211" s="103"/>
      <c r="AS211" s="101"/>
      <c r="AT211" s="101"/>
      <c r="AU211" s="101"/>
      <c r="AV211" s="101"/>
      <c r="AW211" s="101"/>
      <c r="AX211" s="101"/>
      <c r="AY211" s="101"/>
      <c r="AZ211" s="103"/>
      <c r="BA211" s="103"/>
      <c r="BB211" s="103"/>
      <c r="BC211" s="101"/>
      <c r="BD211" s="101"/>
      <c r="BE211" s="101"/>
      <c r="BF211" s="101"/>
      <c r="BG211" s="101"/>
      <c r="BK211" s="101"/>
      <c r="BL211" s="101"/>
      <c r="BM211" s="101"/>
      <c r="BN211" s="101"/>
      <c r="BO211" s="101"/>
      <c r="BP211" s="101"/>
      <c r="BQ211" s="101"/>
      <c r="BR211" s="104"/>
      <c r="BS211" s="104"/>
      <c r="BT211" s="104"/>
      <c r="BU211" s="104"/>
      <c r="BV211" s="104"/>
      <c r="BW211" s="104"/>
      <c r="BX211" s="104"/>
      <c r="BY211" s="104"/>
      <c r="BZ211" s="104"/>
      <c r="CA211" s="104"/>
      <c r="CB211" s="104"/>
      <c r="CC211" s="104"/>
      <c r="CD211" s="104"/>
      <c r="CE211" s="104"/>
      <c r="CF211" s="104"/>
      <c r="CG211" s="104"/>
      <c r="CH211" s="104"/>
      <c r="CI211" s="104"/>
      <c r="CJ211" s="104"/>
      <c r="CK211" s="104"/>
      <c r="CL211" s="104"/>
      <c r="CM211" s="104"/>
      <c r="CN211" s="98"/>
      <c r="CP211" s="101"/>
      <c r="CQ211" s="101"/>
      <c r="CR211" s="101"/>
      <c r="CS211" s="101"/>
      <c r="CT211" s="101"/>
      <c r="FJ211" s="103"/>
      <c r="FL211" s="103"/>
      <c r="FN211" s="103"/>
      <c r="FP211" s="103"/>
    </row>
    <row r="212" spans="2:172" x14ac:dyDescent="0.35">
      <c r="B212" s="97"/>
      <c r="G212" s="100"/>
      <c r="K212" s="98"/>
      <c r="L212" s="101"/>
      <c r="M212" s="101"/>
      <c r="N212" s="101"/>
      <c r="O212" s="101"/>
      <c r="P212" s="102"/>
      <c r="Q212" s="101"/>
      <c r="R212" s="98"/>
      <c r="S212" s="98"/>
      <c r="T212" s="98"/>
      <c r="U212" s="98"/>
      <c r="V212" s="98"/>
      <c r="W212" s="98"/>
      <c r="X212" s="103"/>
      <c r="Y212" s="103"/>
      <c r="Z212" s="103"/>
      <c r="AA212" s="103"/>
      <c r="AB212" s="103"/>
      <c r="AC212" s="103"/>
      <c r="AD212" s="103"/>
      <c r="AE212" s="101"/>
      <c r="AF212" s="101"/>
      <c r="AG212" s="101"/>
      <c r="AH212" s="101"/>
      <c r="AI212" s="101"/>
      <c r="AJ212" s="101"/>
      <c r="AK212" s="101"/>
      <c r="AL212" s="103"/>
      <c r="AM212" s="103"/>
      <c r="AN212" s="103"/>
      <c r="AO212" s="103"/>
      <c r="AP212" s="103"/>
      <c r="AQ212" s="103"/>
      <c r="AR212" s="103"/>
      <c r="AS212" s="101"/>
      <c r="AT212" s="101"/>
      <c r="AU212" s="101"/>
      <c r="AV212" s="101"/>
      <c r="AW212" s="101"/>
      <c r="AX212" s="101"/>
      <c r="AY212" s="101"/>
      <c r="AZ212" s="103"/>
      <c r="BA212" s="103"/>
      <c r="BB212" s="103"/>
      <c r="BC212" s="101"/>
      <c r="BD212" s="101"/>
      <c r="BE212" s="101"/>
      <c r="BF212" s="101"/>
      <c r="BG212" s="101"/>
      <c r="BK212" s="101"/>
      <c r="BL212" s="101"/>
      <c r="BM212" s="101"/>
      <c r="BN212" s="101"/>
      <c r="BO212" s="101"/>
      <c r="BP212" s="101"/>
      <c r="BQ212" s="101"/>
      <c r="BR212" s="104"/>
      <c r="BS212" s="104"/>
      <c r="BT212" s="104"/>
      <c r="BU212" s="104"/>
      <c r="BV212" s="104"/>
      <c r="BW212" s="104"/>
      <c r="BX212" s="104"/>
      <c r="BY212" s="104"/>
      <c r="BZ212" s="104"/>
      <c r="CA212" s="104"/>
      <c r="CB212" s="104"/>
      <c r="CC212" s="104"/>
      <c r="CD212" s="104"/>
      <c r="CE212" s="104"/>
      <c r="CF212" s="104"/>
      <c r="CG212" s="104"/>
      <c r="CH212" s="104"/>
      <c r="CI212" s="104"/>
      <c r="CJ212" s="104"/>
      <c r="CK212" s="104"/>
      <c r="CL212" s="104"/>
      <c r="CM212" s="104"/>
      <c r="CN212" s="98"/>
      <c r="CP212" s="101"/>
      <c r="CQ212" s="101"/>
      <c r="CR212" s="101"/>
      <c r="CS212" s="101"/>
      <c r="CT212" s="101"/>
      <c r="FJ212" s="103"/>
      <c r="FL212" s="103"/>
      <c r="FN212" s="103"/>
      <c r="FP212" s="103"/>
    </row>
    <row r="213" spans="2:172" x14ac:dyDescent="0.35">
      <c r="B213" s="97"/>
      <c r="G213" s="100"/>
      <c r="K213" s="98"/>
      <c r="L213" s="101"/>
      <c r="M213" s="101"/>
      <c r="N213" s="101"/>
      <c r="O213" s="101"/>
      <c r="P213" s="102"/>
      <c r="Q213" s="101"/>
      <c r="R213" s="98"/>
      <c r="S213" s="98"/>
      <c r="T213" s="98"/>
      <c r="U213" s="98"/>
      <c r="V213" s="98"/>
      <c r="W213" s="98"/>
      <c r="X213" s="103"/>
      <c r="Y213" s="103"/>
      <c r="Z213" s="103"/>
      <c r="AA213" s="103"/>
      <c r="AB213" s="103"/>
      <c r="AC213" s="103"/>
      <c r="AD213" s="103"/>
      <c r="AE213" s="101"/>
      <c r="AF213" s="101"/>
      <c r="AG213" s="101"/>
      <c r="AH213" s="101"/>
      <c r="AI213" s="101"/>
      <c r="AJ213" s="101"/>
      <c r="AK213" s="101"/>
      <c r="AL213" s="103"/>
      <c r="AM213" s="103"/>
      <c r="AN213" s="103"/>
      <c r="AO213" s="103"/>
      <c r="AP213" s="103"/>
      <c r="AQ213" s="103"/>
      <c r="AR213" s="103"/>
      <c r="AS213" s="101"/>
      <c r="AT213" s="101"/>
      <c r="AU213" s="101"/>
      <c r="AV213" s="101"/>
      <c r="AW213" s="101"/>
      <c r="AX213" s="101"/>
      <c r="AY213" s="101"/>
      <c r="AZ213" s="103"/>
      <c r="BA213" s="103"/>
      <c r="BB213" s="103"/>
      <c r="BC213" s="101"/>
      <c r="BD213" s="101"/>
      <c r="BE213" s="101"/>
      <c r="BF213" s="101"/>
      <c r="BG213" s="101"/>
      <c r="BK213" s="101"/>
      <c r="BL213" s="101"/>
      <c r="BM213" s="101"/>
      <c r="BN213" s="101"/>
      <c r="BO213" s="101"/>
      <c r="BP213" s="101"/>
      <c r="BQ213" s="101"/>
      <c r="BR213" s="104"/>
      <c r="BS213" s="104"/>
      <c r="BT213" s="104"/>
      <c r="BU213" s="104"/>
      <c r="BV213" s="104"/>
      <c r="BW213" s="104"/>
      <c r="BX213" s="104"/>
      <c r="BY213" s="104"/>
      <c r="BZ213" s="104"/>
      <c r="CA213" s="104"/>
      <c r="CB213" s="104"/>
      <c r="CC213" s="104"/>
      <c r="CD213" s="104"/>
      <c r="CE213" s="104"/>
      <c r="CF213" s="104"/>
      <c r="CG213" s="104"/>
      <c r="CH213" s="104"/>
      <c r="CI213" s="104"/>
      <c r="CJ213" s="104"/>
      <c r="CK213" s="104"/>
      <c r="CL213" s="104"/>
      <c r="CM213" s="104"/>
      <c r="CN213" s="98"/>
      <c r="CP213" s="101"/>
      <c r="CQ213" s="101"/>
      <c r="CR213" s="101"/>
      <c r="CS213" s="101"/>
      <c r="CT213" s="101"/>
      <c r="FJ213" s="103"/>
      <c r="FL213" s="103"/>
      <c r="FN213" s="103"/>
      <c r="FP213" s="103"/>
    </row>
    <row r="214" spans="2:172" x14ac:dyDescent="0.35">
      <c r="B214" s="97"/>
      <c r="G214" s="100"/>
      <c r="K214" s="98"/>
      <c r="L214" s="101"/>
      <c r="M214" s="101"/>
      <c r="N214" s="101"/>
      <c r="O214" s="101"/>
      <c r="P214" s="102"/>
      <c r="Q214" s="101"/>
      <c r="R214" s="98"/>
      <c r="S214" s="98"/>
      <c r="T214" s="98"/>
      <c r="U214" s="98"/>
      <c r="V214" s="98"/>
      <c r="W214" s="98"/>
      <c r="X214" s="103"/>
      <c r="Y214" s="103"/>
      <c r="Z214" s="103"/>
      <c r="AA214" s="103"/>
      <c r="AB214" s="103"/>
      <c r="AC214" s="103"/>
      <c r="AD214" s="103"/>
      <c r="AE214" s="101"/>
      <c r="AF214" s="101"/>
      <c r="AG214" s="101"/>
      <c r="AH214" s="101"/>
      <c r="AI214" s="101"/>
      <c r="AJ214" s="101"/>
      <c r="AK214" s="101"/>
      <c r="AL214" s="103"/>
      <c r="AM214" s="103"/>
      <c r="AN214" s="103"/>
      <c r="AO214" s="103"/>
      <c r="AP214" s="103"/>
      <c r="AQ214" s="103"/>
      <c r="AR214" s="103"/>
      <c r="AS214" s="101"/>
      <c r="AT214" s="101"/>
      <c r="AU214" s="101"/>
      <c r="AV214" s="101"/>
      <c r="AW214" s="101"/>
      <c r="AX214" s="101"/>
      <c r="AY214" s="101"/>
      <c r="AZ214" s="103"/>
      <c r="BA214" s="103"/>
      <c r="BB214" s="103"/>
      <c r="BC214" s="101"/>
      <c r="BD214" s="101"/>
      <c r="BE214" s="101"/>
      <c r="BF214" s="101"/>
      <c r="BG214" s="101"/>
      <c r="BK214" s="101"/>
      <c r="BL214" s="101"/>
      <c r="BM214" s="101"/>
      <c r="BN214" s="101"/>
      <c r="BO214" s="101"/>
      <c r="BP214" s="101"/>
      <c r="BQ214" s="101"/>
      <c r="BR214" s="104"/>
      <c r="BS214" s="104"/>
      <c r="BT214" s="104"/>
      <c r="BU214" s="104"/>
      <c r="BV214" s="104"/>
      <c r="BW214" s="104"/>
      <c r="BX214" s="104"/>
      <c r="BY214" s="104"/>
      <c r="BZ214" s="104"/>
      <c r="CA214" s="104"/>
      <c r="CB214" s="104"/>
      <c r="CC214" s="104"/>
      <c r="CD214" s="104"/>
      <c r="CE214" s="104"/>
      <c r="CF214" s="104"/>
      <c r="CG214" s="104"/>
      <c r="CH214" s="104"/>
      <c r="CI214" s="104"/>
      <c r="CJ214" s="104"/>
      <c r="CK214" s="104"/>
      <c r="CL214" s="104"/>
      <c r="CM214" s="104"/>
      <c r="CN214" s="98"/>
      <c r="CP214" s="101"/>
      <c r="CQ214" s="101"/>
      <c r="CR214" s="101"/>
      <c r="CS214" s="101"/>
      <c r="CT214" s="101"/>
      <c r="FJ214" s="103"/>
      <c r="FL214" s="103"/>
      <c r="FN214" s="103"/>
      <c r="FP214" s="103"/>
    </row>
    <row r="215" spans="2:172" x14ac:dyDescent="0.35">
      <c r="B215" s="97"/>
      <c r="G215" s="100"/>
      <c r="K215" s="98"/>
      <c r="L215" s="101"/>
      <c r="M215" s="101"/>
      <c r="N215" s="101"/>
      <c r="O215" s="101"/>
      <c r="P215" s="102"/>
      <c r="Q215" s="101"/>
      <c r="R215" s="98"/>
      <c r="S215" s="98"/>
      <c r="T215" s="98"/>
      <c r="U215" s="98"/>
      <c r="V215" s="98"/>
      <c r="W215" s="98"/>
      <c r="X215" s="103"/>
      <c r="Y215" s="103"/>
      <c r="Z215" s="103"/>
      <c r="AA215" s="103"/>
      <c r="AB215" s="103"/>
      <c r="AC215" s="103"/>
      <c r="AD215" s="103"/>
      <c r="AE215" s="101"/>
      <c r="AF215" s="101"/>
      <c r="AG215" s="101"/>
      <c r="AH215" s="101"/>
      <c r="AI215" s="101"/>
      <c r="AJ215" s="101"/>
      <c r="AK215" s="101"/>
      <c r="AL215" s="103"/>
      <c r="AM215" s="103"/>
      <c r="AN215" s="103"/>
      <c r="AO215" s="103"/>
      <c r="AP215" s="103"/>
      <c r="AQ215" s="103"/>
      <c r="AR215" s="103"/>
      <c r="AS215" s="101"/>
      <c r="AT215" s="101"/>
      <c r="AU215" s="101"/>
      <c r="AV215" s="101"/>
      <c r="AW215" s="101"/>
      <c r="AX215" s="101"/>
      <c r="AY215" s="101"/>
      <c r="AZ215" s="103"/>
      <c r="BA215" s="103"/>
      <c r="BB215" s="103"/>
      <c r="BC215" s="101"/>
      <c r="BD215" s="101"/>
      <c r="BE215" s="101"/>
      <c r="BF215" s="101"/>
      <c r="BG215" s="101"/>
      <c r="BK215" s="101"/>
      <c r="BL215" s="101"/>
      <c r="BM215" s="101"/>
      <c r="BN215" s="101"/>
      <c r="BO215" s="101"/>
      <c r="BP215" s="101"/>
      <c r="BQ215" s="101"/>
      <c r="BR215" s="104"/>
      <c r="BS215" s="104"/>
      <c r="BT215" s="104"/>
      <c r="BU215" s="104"/>
      <c r="BV215" s="104"/>
      <c r="BW215" s="104"/>
      <c r="BX215" s="104"/>
      <c r="BY215" s="104"/>
      <c r="BZ215" s="104"/>
      <c r="CA215" s="104"/>
      <c r="CB215" s="104"/>
      <c r="CC215" s="104"/>
      <c r="CD215" s="104"/>
      <c r="CE215" s="104"/>
      <c r="CF215" s="104"/>
      <c r="CG215" s="104"/>
      <c r="CH215" s="104"/>
      <c r="CI215" s="104"/>
      <c r="CJ215" s="104"/>
      <c r="CK215" s="104"/>
      <c r="CL215" s="104"/>
      <c r="CM215" s="104"/>
      <c r="CN215" s="98"/>
      <c r="CP215" s="101"/>
      <c r="CQ215" s="101"/>
      <c r="CR215" s="101"/>
      <c r="CS215" s="101"/>
      <c r="CT215" s="101"/>
      <c r="FJ215" s="103"/>
      <c r="FL215" s="103"/>
      <c r="FN215" s="103"/>
      <c r="FP215" s="103"/>
    </row>
    <row r="216" spans="2:172" x14ac:dyDescent="0.35">
      <c r="B216" s="97"/>
      <c r="G216" s="100"/>
      <c r="K216" s="98"/>
      <c r="L216" s="101"/>
      <c r="M216" s="101"/>
      <c r="N216" s="101"/>
      <c r="O216" s="101"/>
      <c r="P216" s="102"/>
      <c r="Q216" s="101"/>
      <c r="R216" s="98"/>
      <c r="S216" s="98"/>
      <c r="T216" s="98"/>
      <c r="U216" s="98"/>
      <c r="V216" s="98"/>
      <c r="W216" s="98"/>
      <c r="X216" s="103"/>
      <c r="Y216" s="103"/>
      <c r="Z216" s="103"/>
      <c r="AA216" s="103"/>
      <c r="AB216" s="103"/>
      <c r="AC216" s="103"/>
      <c r="AD216" s="103"/>
      <c r="AE216" s="101"/>
      <c r="AF216" s="101"/>
      <c r="AG216" s="101"/>
      <c r="AH216" s="101"/>
      <c r="AI216" s="101"/>
      <c r="AJ216" s="101"/>
      <c r="AK216" s="101"/>
      <c r="AL216" s="103"/>
      <c r="AM216" s="103"/>
      <c r="AN216" s="103"/>
      <c r="AO216" s="103"/>
      <c r="AP216" s="103"/>
      <c r="AQ216" s="103"/>
      <c r="AR216" s="103"/>
      <c r="AS216" s="101"/>
      <c r="AT216" s="101"/>
      <c r="AU216" s="101"/>
      <c r="AV216" s="101"/>
      <c r="AW216" s="101"/>
      <c r="AX216" s="101"/>
      <c r="AY216" s="101"/>
      <c r="AZ216" s="103"/>
      <c r="BA216" s="103"/>
      <c r="BB216" s="103"/>
      <c r="BC216" s="101"/>
      <c r="BD216" s="101"/>
      <c r="BE216" s="101"/>
      <c r="BF216" s="101"/>
      <c r="BG216" s="101"/>
      <c r="BK216" s="101"/>
      <c r="BL216" s="101"/>
      <c r="BM216" s="101"/>
      <c r="BN216" s="101"/>
      <c r="BO216" s="101"/>
      <c r="BP216" s="101"/>
      <c r="BQ216" s="101"/>
      <c r="BR216" s="104"/>
      <c r="BS216" s="104"/>
      <c r="BT216" s="104"/>
      <c r="BU216" s="104"/>
      <c r="BV216" s="104"/>
      <c r="BW216" s="104"/>
      <c r="BX216" s="104"/>
      <c r="BY216" s="104"/>
      <c r="BZ216" s="104"/>
      <c r="CA216" s="104"/>
      <c r="CB216" s="104"/>
      <c r="CC216" s="104"/>
      <c r="CD216" s="104"/>
      <c r="CE216" s="104"/>
      <c r="CF216" s="104"/>
      <c r="CG216" s="104"/>
      <c r="CH216" s="104"/>
      <c r="CI216" s="104"/>
      <c r="CJ216" s="104"/>
      <c r="CK216" s="104"/>
      <c r="CL216" s="104"/>
      <c r="CM216" s="104"/>
      <c r="CN216" s="98"/>
      <c r="CP216" s="101"/>
      <c r="CQ216" s="101"/>
      <c r="CR216" s="101"/>
      <c r="CS216" s="101"/>
      <c r="CT216" s="101"/>
      <c r="FJ216" s="103"/>
      <c r="FL216" s="103"/>
      <c r="FN216" s="103"/>
      <c r="FP216" s="103"/>
    </row>
    <row r="217" spans="2:172" x14ac:dyDescent="0.35">
      <c r="B217" s="97"/>
      <c r="G217" s="100"/>
      <c r="K217" s="98"/>
      <c r="L217" s="101"/>
      <c r="M217" s="101"/>
      <c r="N217" s="101"/>
      <c r="O217" s="101"/>
      <c r="P217" s="102"/>
      <c r="Q217" s="101"/>
      <c r="R217" s="98"/>
      <c r="S217" s="98"/>
      <c r="T217" s="98"/>
      <c r="U217" s="98"/>
      <c r="V217" s="98"/>
      <c r="W217" s="98"/>
      <c r="X217" s="103"/>
      <c r="Y217" s="103"/>
      <c r="Z217" s="103"/>
      <c r="AA217" s="103"/>
      <c r="AB217" s="103"/>
      <c r="AC217" s="103"/>
      <c r="AD217" s="103"/>
      <c r="AE217" s="101"/>
      <c r="AF217" s="101"/>
      <c r="AG217" s="101"/>
      <c r="AH217" s="101"/>
      <c r="AI217" s="101"/>
      <c r="AJ217" s="101"/>
      <c r="AK217" s="101"/>
      <c r="AL217" s="103"/>
      <c r="AM217" s="103"/>
      <c r="AN217" s="103"/>
      <c r="AO217" s="103"/>
      <c r="AP217" s="103"/>
      <c r="AQ217" s="103"/>
      <c r="AR217" s="103"/>
      <c r="AS217" s="101"/>
      <c r="AT217" s="101"/>
      <c r="AU217" s="101"/>
      <c r="AV217" s="101"/>
      <c r="AW217" s="101"/>
      <c r="AX217" s="101"/>
      <c r="AY217" s="101"/>
      <c r="AZ217" s="103"/>
      <c r="BA217" s="103"/>
      <c r="BB217" s="103"/>
      <c r="BC217" s="101"/>
      <c r="BD217" s="101"/>
      <c r="BE217" s="101"/>
      <c r="BF217" s="101"/>
      <c r="BG217" s="101"/>
      <c r="BK217" s="101"/>
      <c r="BL217" s="101"/>
      <c r="BM217" s="101"/>
      <c r="BN217" s="101"/>
      <c r="BO217" s="101"/>
      <c r="BP217" s="101"/>
      <c r="BQ217" s="101"/>
      <c r="BR217" s="104"/>
      <c r="BS217" s="104"/>
      <c r="BT217" s="104"/>
      <c r="BU217" s="104"/>
      <c r="BV217" s="104"/>
      <c r="BW217" s="104"/>
      <c r="BX217" s="104"/>
      <c r="BY217" s="104"/>
      <c r="BZ217" s="104"/>
      <c r="CA217" s="104"/>
      <c r="CB217" s="104"/>
      <c r="CC217" s="104"/>
      <c r="CD217" s="104"/>
      <c r="CE217" s="104"/>
      <c r="CF217" s="104"/>
      <c r="CG217" s="104"/>
      <c r="CH217" s="104"/>
      <c r="CI217" s="104"/>
      <c r="CJ217" s="104"/>
      <c r="CK217" s="104"/>
      <c r="CL217" s="104"/>
      <c r="CM217" s="104"/>
      <c r="CN217" s="98"/>
      <c r="CP217" s="101"/>
      <c r="CQ217" s="101"/>
      <c r="CR217" s="101"/>
      <c r="CS217" s="101"/>
      <c r="CT217" s="101"/>
      <c r="FJ217" s="103"/>
      <c r="FL217" s="103"/>
      <c r="FN217" s="103"/>
      <c r="FP217" s="103"/>
    </row>
    <row r="218" spans="2:172" x14ac:dyDescent="0.35">
      <c r="B218" s="97"/>
      <c r="G218" s="100"/>
      <c r="K218" s="98"/>
      <c r="L218" s="101"/>
      <c r="M218" s="101"/>
      <c r="N218" s="101"/>
      <c r="O218" s="101"/>
      <c r="P218" s="102"/>
      <c r="Q218" s="101"/>
      <c r="R218" s="98"/>
      <c r="S218" s="98"/>
      <c r="T218" s="98"/>
      <c r="U218" s="98"/>
      <c r="V218" s="98"/>
      <c r="W218" s="98"/>
      <c r="X218" s="103"/>
      <c r="Y218" s="103"/>
      <c r="Z218" s="103"/>
      <c r="AA218" s="103"/>
      <c r="AB218" s="103"/>
      <c r="AC218" s="103"/>
      <c r="AD218" s="103"/>
      <c r="AE218" s="101"/>
      <c r="AF218" s="101"/>
      <c r="AG218" s="101"/>
      <c r="AH218" s="101"/>
      <c r="AI218" s="101"/>
      <c r="AJ218" s="101"/>
      <c r="AK218" s="101"/>
      <c r="AL218" s="103"/>
      <c r="AM218" s="103"/>
      <c r="AN218" s="103"/>
      <c r="AO218" s="103"/>
      <c r="AP218" s="103"/>
      <c r="AQ218" s="103"/>
      <c r="AR218" s="103"/>
      <c r="AS218" s="101"/>
      <c r="AT218" s="101"/>
      <c r="AU218" s="101"/>
      <c r="AV218" s="101"/>
      <c r="AW218" s="101"/>
      <c r="AX218" s="101"/>
      <c r="AY218" s="101"/>
      <c r="AZ218" s="103"/>
      <c r="BA218" s="103"/>
      <c r="BB218" s="103"/>
      <c r="BC218" s="101"/>
      <c r="BD218" s="101"/>
      <c r="BE218" s="101"/>
      <c r="BF218" s="101"/>
      <c r="BG218" s="101"/>
      <c r="BK218" s="101"/>
      <c r="BL218" s="101"/>
      <c r="BM218" s="101"/>
      <c r="BN218" s="101"/>
      <c r="BO218" s="101"/>
      <c r="BP218" s="101"/>
      <c r="BQ218" s="101"/>
      <c r="BR218" s="104"/>
      <c r="BS218" s="104"/>
      <c r="BT218" s="104"/>
      <c r="BU218" s="104"/>
      <c r="BV218" s="104"/>
      <c r="BW218" s="104"/>
      <c r="BX218" s="104"/>
      <c r="BY218" s="104"/>
      <c r="BZ218" s="104"/>
      <c r="CA218" s="104"/>
      <c r="CB218" s="104"/>
      <c r="CC218" s="104"/>
      <c r="CD218" s="104"/>
      <c r="CE218" s="104"/>
      <c r="CF218" s="104"/>
      <c r="CG218" s="104"/>
      <c r="CH218" s="104"/>
      <c r="CI218" s="104"/>
      <c r="CJ218" s="104"/>
      <c r="CK218" s="104"/>
      <c r="CL218" s="104"/>
      <c r="CM218" s="104"/>
      <c r="CN218" s="98"/>
      <c r="CP218" s="101"/>
      <c r="CQ218" s="101"/>
      <c r="CR218" s="101"/>
      <c r="CS218" s="101"/>
      <c r="CT218" s="101"/>
      <c r="FJ218" s="103"/>
      <c r="FL218" s="103"/>
      <c r="FN218" s="103"/>
      <c r="FP218" s="103"/>
    </row>
    <row r="219" spans="2:172" x14ac:dyDescent="0.35">
      <c r="B219" s="97"/>
      <c r="G219" s="100"/>
      <c r="K219" s="98"/>
      <c r="L219" s="101"/>
      <c r="M219" s="101"/>
      <c r="N219" s="101"/>
      <c r="O219" s="101"/>
      <c r="P219" s="102"/>
      <c r="Q219" s="101"/>
      <c r="R219" s="98"/>
      <c r="S219" s="98"/>
      <c r="T219" s="98"/>
      <c r="U219" s="98"/>
      <c r="V219" s="98"/>
      <c r="W219" s="98"/>
      <c r="X219" s="103"/>
      <c r="Y219" s="103"/>
      <c r="Z219" s="103"/>
      <c r="AA219" s="103"/>
      <c r="AB219" s="103"/>
      <c r="AC219" s="103"/>
      <c r="AD219" s="103"/>
      <c r="AE219" s="101"/>
      <c r="AF219" s="101"/>
      <c r="AG219" s="101"/>
      <c r="AH219" s="101"/>
      <c r="AI219" s="101"/>
      <c r="AJ219" s="101"/>
      <c r="AK219" s="101"/>
      <c r="AL219" s="103"/>
      <c r="AM219" s="103"/>
      <c r="AN219" s="103"/>
      <c r="AO219" s="103"/>
      <c r="AP219" s="103"/>
      <c r="AQ219" s="103"/>
      <c r="AR219" s="103"/>
      <c r="AS219" s="101"/>
      <c r="AT219" s="101"/>
      <c r="AU219" s="101"/>
      <c r="AV219" s="101"/>
      <c r="AW219" s="101"/>
      <c r="AX219" s="101"/>
      <c r="AY219" s="101"/>
      <c r="AZ219" s="103"/>
      <c r="BA219" s="103"/>
      <c r="BB219" s="103"/>
      <c r="BC219" s="101"/>
      <c r="BD219" s="101"/>
      <c r="BE219" s="101"/>
      <c r="BF219" s="101"/>
      <c r="BG219" s="101"/>
      <c r="BK219" s="101"/>
      <c r="BL219" s="101"/>
      <c r="BM219" s="101"/>
      <c r="BN219" s="101"/>
      <c r="BO219" s="101"/>
      <c r="BP219" s="101"/>
      <c r="BQ219" s="101"/>
      <c r="BR219" s="104"/>
      <c r="BS219" s="104"/>
      <c r="BT219" s="104"/>
      <c r="BU219" s="104"/>
      <c r="BV219" s="104"/>
      <c r="BW219" s="104"/>
      <c r="BX219" s="104"/>
      <c r="BY219" s="104"/>
      <c r="BZ219" s="104"/>
      <c r="CA219" s="104"/>
      <c r="CB219" s="104"/>
      <c r="CC219" s="104"/>
      <c r="CD219" s="104"/>
      <c r="CE219" s="104"/>
      <c r="CF219" s="104"/>
      <c r="CG219" s="104"/>
      <c r="CH219" s="104"/>
      <c r="CI219" s="104"/>
      <c r="CJ219" s="104"/>
      <c r="CK219" s="104"/>
      <c r="CL219" s="104"/>
      <c r="CM219" s="104"/>
      <c r="CN219" s="98"/>
      <c r="CP219" s="101"/>
      <c r="CQ219" s="101"/>
      <c r="CR219" s="101"/>
      <c r="CS219" s="101"/>
      <c r="CT219" s="101"/>
      <c r="FJ219" s="103"/>
      <c r="FL219" s="103"/>
      <c r="FN219" s="103"/>
      <c r="FP219" s="103"/>
    </row>
    <row r="220" spans="2:172" x14ac:dyDescent="0.35">
      <c r="B220" s="97"/>
      <c r="G220" s="100"/>
      <c r="K220" s="98"/>
      <c r="L220" s="101"/>
      <c r="M220" s="101"/>
      <c r="N220" s="101"/>
      <c r="O220" s="101"/>
      <c r="P220" s="102"/>
      <c r="Q220" s="101"/>
      <c r="R220" s="98"/>
      <c r="S220" s="98"/>
      <c r="T220" s="98"/>
      <c r="U220" s="98"/>
      <c r="V220" s="98"/>
      <c r="W220" s="98"/>
      <c r="X220" s="103"/>
      <c r="Y220" s="103"/>
      <c r="Z220" s="103"/>
      <c r="AA220" s="103"/>
      <c r="AB220" s="103"/>
      <c r="AC220" s="103"/>
      <c r="AD220" s="103"/>
      <c r="AE220" s="101"/>
      <c r="AF220" s="101"/>
      <c r="AG220" s="101"/>
      <c r="AH220" s="101"/>
      <c r="AI220" s="101"/>
      <c r="AJ220" s="101"/>
      <c r="AK220" s="101"/>
      <c r="AL220" s="103"/>
      <c r="AM220" s="103"/>
      <c r="AN220" s="103"/>
      <c r="AO220" s="103"/>
      <c r="AP220" s="103"/>
      <c r="AQ220" s="103"/>
      <c r="AR220" s="103"/>
      <c r="AS220" s="101"/>
      <c r="AT220" s="101"/>
      <c r="AU220" s="101"/>
      <c r="AV220" s="101"/>
      <c r="AW220" s="101"/>
      <c r="AX220" s="101"/>
      <c r="AY220" s="101"/>
      <c r="AZ220" s="103"/>
      <c r="BA220" s="103"/>
      <c r="BB220" s="103"/>
      <c r="BC220" s="101"/>
      <c r="BD220" s="101"/>
      <c r="BE220" s="101"/>
      <c r="BF220" s="101"/>
      <c r="BG220" s="101"/>
      <c r="BK220" s="101"/>
      <c r="BL220" s="101"/>
      <c r="BM220" s="101"/>
      <c r="BN220" s="101"/>
      <c r="BO220" s="101"/>
      <c r="BP220" s="101"/>
      <c r="BQ220" s="101"/>
      <c r="BR220" s="104"/>
      <c r="BS220" s="104"/>
      <c r="BT220" s="104"/>
      <c r="BU220" s="104"/>
      <c r="BV220" s="104"/>
      <c r="BW220" s="104"/>
      <c r="BX220" s="104"/>
      <c r="BY220" s="104"/>
      <c r="BZ220" s="104"/>
      <c r="CA220" s="104"/>
      <c r="CB220" s="104"/>
      <c r="CC220" s="104"/>
      <c r="CD220" s="104"/>
      <c r="CE220" s="104"/>
      <c r="CF220" s="104"/>
      <c r="CG220" s="104"/>
      <c r="CH220" s="104"/>
      <c r="CI220" s="104"/>
      <c r="CJ220" s="104"/>
      <c r="CK220" s="104"/>
      <c r="CL220" s="104"/>
      <c r="CM220" s="104"/>
      <c r="CN220" s="98"/>
      <c r="CP220" s="101"/>
      <c r="CQ220" s="101"/>
      <c r="CR220" s="101"/>
      <c r="CS220" s="101"/>
      <c r="CT220" s="101"/>
      <c r="FJ220" s="103"/>
      <c r="FL220" s="103"/>
      <c r="FN220" s="103"/>
      <c r="FP220" s="103"/>
    </row>
    <row r="221" spans="2:172" x14ac:dyDescent="0.35">
      <c r="B221" s="97"/>
      <c r="G221" s="100"/>
      <c r="K221" s="98"/>
      <c r="L221" s="101"/>
      <c r="M221" s="101"/>
      <c r="N221" s="101"/>
      <c r="O221" s="101"/>
      <c r="P221" s="102"/>
      <c r="Q221" s="101"/>
      <c r="R221" s="98"/>
      <c r="S221" s="98"/>
      <c r="T221" s="98"/>
      <c r="U221" s="98"/>
      <c r="V221" s="98"/>
      <c r="W221" s="98"/>
      <c r="X221" s="103"/>
      <c r="Y221" s="103"/>
      <c r="Z221" s="103"/>
      <c r="AA221" s="103"/>
      <c r="AB221" s="103"/>
      <c r="AC221" s="103"/>
      <c r="AD221" s="103"/>
      <c r="AE221" s="101"/>
      <c r="AF221" s="101"/>
      <c r="AG221" s="101"/>
      <c r="AH221" s="101"/>
      <c r="AI221" s="101"/>
      <c r="AJ221" s="101"/>
      <c r="AK221" s="101"/>
      <c r="AL221" s="103"/>
      <c r="AM221" s="103"/>
      <c r="AN221" s="103"/>
      <c r="AO221" s="103"/>
      <c r="AP221" s="103"/>
      <c r="AQ221" s="103"/>
      <c r="AR221" s="103"/>
      <c r="AS221" s="101"/>
      <c r="AT221" s="101"/>
      <c r="AU221" s="101"/>
      <c r="AV221" s="101"/>
      <c r="AW221" s="101"/>
      <c r="AX221" s="101"/>
      <c r="AY221" s="101"/>
      <c r="AZ221" s="103"/>
      <c r="BA221" s="103"/>
      <c r="BB221" s="103"/>
      <c r="BC221" s="101"/>
      <c r="BD221" s="101"/>
      <c r="BE221" s="101"/>
      <c r="BF221" s="101"/>
      <c r="BG221" s="101"/>
      <c r="BK221" s="101"/>
      <c r="BL221" s="101"/>
      <c r="BM221" s="101"/>
      <c r="BN221" s="101"/>
      <c r="BO221" s="101"/>
      <c r="BP221" s="101"/>
      <c r="BQ221" s="101"/>
      <c r="BR221" s="104"/>
      <c r="BS221" s="104"/>
      <c r="BT221" s="104"/>
      <c r="BU221" s="104"/>
      <c r="BV221" s="104"/>
      <c r="BW221" s="104"/>
      <c r="BX221" s="104"/>
      <c r="BY221" s="104"/>
      <c r="BZ221" s="104"/>
      <c r="CA221" s="104"/>
      <c r="CB221" s="104"/>
      <c r="CC221" s="104"/>
      <c r="CD221" s="104"/>
      <c r="CE221" s="104"/>
      <c r="CF221" s="104"/>
      <c r="CG221" s="104"/>
      <c r="CH221" s="104"/>
      <c r="CI221" s="104"/>
      <c r="CJ221" s="104"/>
      <c r="CK221" s="104"/>
      <c r="CL221" s="104"/>
      <c r="CM221" s="104"/>
      <c r="CN221" s="98"/>
      <c r="CP221" s="101"/>
      <c r="CQ221" s="101"/>
      <c r="CR221" s="101"/>
      <c r="CS221" s="101"/>
      <c r="CT221" s="101"/>
      <c r="FJ221" s="103"/>
      <c r="FL221" s="103"/>
      <c r="FN221" s="103"/>
      <c r="FP221" s="103"/>
    </row>
    <row r="222" spans="2:172" x14ac:dyDescent="0.35">
      <c r="B222" s="97"/>
      <c r="G222" s="100"/>
      <c r="K222" s="98"/>
      <c r="L222" s="101"/>
      <c r="M222" s="101"/>
      <c r="N222" s="101"/>
      <c r="O222" s="101"/>
      <c r="P222" s="102"/>
      <c r="Q222" s="101"/>
      <c r="R222" s="98"/>
      <c r="S222" s="98"/>
      <c r="T222" s="98"/>
      <c r="U222" s="98"/>
      <c r="V222" s="98"/>
      <c r="W222" s="98"/>
      <c r="X222" s="103"/>
      <c r="Y222" s="103"/>
      <c r="Z222" s="103"/>
      <c r="AA222" s="103"/>
      <c r="AB222" s="103"/>
      <c r="AC222" s="103"/>
      <c r="AD222" s="103"/>
      <c r="AE222" s="101"/>
      <c r="AF222" s="101"/>
      <c r="AG222" s="101"/>
      <c r="AH222" s="101"/>
      <c r="AI222" s="101"/>
      <c r="AJ222" s="101"/>
      <c r="AK222" s="101"/>
      <c r="AL222" s="103"/>
      <c r="AM222" s="103"/>
      <c r="AN222" s="103"/>
      <c r="AO222" s="103"/>
      <c r="AP222" s="103"/>
      <c r="AQ222" s="103"/>
      <c r="AR222" s="103"/>
      <c r="AS222" s="101"/>
      <c r="AT222" s="101"/>
      <c r="AU222" s="101"/>
      <c r="AV222" s="101"/>
      <c r="AW222" s="101"/>
      <c r="AX222" s="101"/>
      <c r="AY222" s="101"/>
      <c r="AZ222" s="103"/>
      <c r="BA222" s="103"/>
      <c r="BB222" s="103"/>
      <c r="BC222" s="101"/>
      <c r="BD222" s="101"/>
      <c r="BE222" s="101"/>
      <c r="BF222" s="101"/>
      <c r="BG222" s="101"/>
      <c r="BK222" s="101"/>
      <c r="BL222" s="101"/>
      <c r="BM222" s="101"/>
      <c r="BN222" s="101"/>
      <c r="BO222" s="101"/>
      <c r="BP222" s="101"/>
      <c r="BQ222" s="101"/>
      <c r="BR222" s="104"/>
      <c r="BS222" s="104"/>
      <c r="BT222" s="104"/>
      <c r="BU222" s="104"/>
      <c r="BV222" s="104"/>
      <c r="BW222" s="104"/>
      <c r="BX222" s="104"/>
      <c r="BY222" s="104"/>
      <c r="BZ222" s="104"/>
      <c r="CA222" s="104"/>
      <c r="CB222" s="104"/>
      <c r="CC222" s="104"/>
      <c r="CD222" s="104"/>
      <c r="CE222" s="104"/>
      <c r="CF222" s="104"/>
      <c r="CG222" s="104"/>
      <c r="CH222" s="104"/>
      <c r="CI222" s="104"/>
      <c r="CJ222" s="104"/>
      <c r="CK222" s="104"/>
      <c r="CL222" s="104"/>
      <c r="CM222" s="104"/>
      <c r="CN222" s="98"/>
      <c r="CP222" s="101"/>
      <c r="CQ222" s="101"/>
      <c r="CR222" s="101"/>
      <c r="CS222" s="101"/>
      <c r="CT222" s="101"/>
      <c r="FJ222" s="103"/>
      <c r="FL222" s="103"/>
      <c r="FN222" s="103"/>
      <c r="FP222" s="103"/>
    </row>
    <row r="223" spans="2:172" x14ac:dyDescent="0.35">
      <c r="B223" s="97"/>
      <c r="G223" s="100"/>
      <c r="K223" s="98"/>
      <c r="L223" s="101"/>
      <c r="M223" s="101"/>
      <c r="N223" s="101"/>
      <c r="O223" s="101"/>
      <c r="P223" s="102"/>
      <c r="Q223" s="101"/>
      <c r="R223" s="98"/>
      <c r="S223" s="98"/>
      <c r="T223" s="98"/>
      <c r="U223" s="98"/>
      <c r="V223" s="98"/>
      <c r="W223" s="98"/>
      <c r="X223" s="103"/>
      <c r="Y223" s="103"/>
      <c r="Z223" s="103"/>
      <c r="AA223" s="103"/>
      <c r="AB223" s="103"/>
      <c r="AC223" s="103"/>
      <c r="AD223" s="103"/>
      <c r="AE223" s="101"/>
      <c r="AF223" s="101"/>
      <c r="AG223" s="101"/>
      <c r="AH223" s="101"/>
      <c r="AI223" s="101"/>
      <c r="AJ223" s="101"/>
      <c r="AK223" s="101"/>
      <c r="AL223" s="103"/>
      <c r="AM223" s="103"/>
      <c r="AN223" s="103"/>
      <c r="AO223" s="103"/>
      <c r="AP223" s="103"/>
      <c r="AQ223" s="103"/>
      <c r="AR223" s="103"/>
      <c r="AS223" s="101"/>
      <c r="AT223" s="101"/>
      <c r="AU223" s="101"/>
      <c r="AV223" s="101"/>
      <c r="AW223" s="101"/>
      <c r="AX223" s="101"/>
      <c r="AY223" s="101"/>
      <c r="AZ223" s="103"/>
      <c r="BA223" s="103"/>
      <c r="BB223" s="103"/>
      <c r="BC223" s="101"/>
      <c r="BD223" s="101"/>
      <c r="BE223" s="101"/>
      <c r="BF223" s="101"/>
      <c r="BG223" s="101"/>
      <c r="BK223" s="101"/>
      <c r="BL223" s="101"/>
      <c r="BM223" s="101"/>
      <c r="BN223" s="101"/>
      <c r="BO223" s="101"/>
      <c r="BP223" s="101"/>
      <c r="BQ223" s="101"/>
      <c r="BR223" s="104"/>
      <c r="BS223" s="104"/>
      <c r="BT223" s="104"/>
      <c r="BU223" s="104"/>
      <c r="BV223" s="104"/>
      <c r="BW223" s="104"/>
      <c r="BX223" s="104"/>
      <c r="BY223" s="104"/>
      <c r="BZ223" s="104"/>
      <c r="CA223" s="104"/>
      <c r="CB223" s="104"/>
      <c r="CC223" s="104"/>
      <c r="CD223" s="104"/>
      <c r="CE223" s="104"/>
      <c r="CF223" s="104"/>
      <c r="CG223" s="104"/>
      <c r="CH223" s="104"/>
      <c r="CI223" s="104"/>
      <c r="CJ223" s="104"/>
      <c r="CK223" s="104"/>
      <c r="CL223" s="104"/>
      <c r="CM223" s="104"/>
      <c r="CN223" s="98"/>
      <c r="CP223" s="101"/>
      <c r="CQ223" s="101"/>
      <c r="CR223" s="101"/>
      <c r="CS223" s="101"/>
      <c r="CT223" s="101"/>
      <c r="FJ223" s="103"/>
      <c r="FL223" s="103"/>
      <c r="FN223" s="103"/>
      <c r="FP223" s="103"/>
    </row>
    <row r="224" spans="2:172" x14ac:dyDescent="0.35">
      <c r="B224" s="97"/>
      <c r="G224" s="100"/>
      <c r="K224" s="98"/>
      <c r="L224" s="101"/>
      <c r="M224" s="101"/>
      <c r="N224" s="101"/>
      <c r="O224" s="101"/>
      <c r="P224" s="102"/>
      <c r="Q224" s="101"/>
      <c r="R224" s="98"/>
      <c r="S224" s="98"/>
      <c r="T224" s="98"/>
      <c r="U224" s="98"/>
      <c r="V224" s="98"/>
      <c r="W224" s="98"/>
      <c r="X224" s="103"/>
      <c r="Y224" s="103"/>
      <c r="Z224" s="103"/>
      <c r="AA224" s="103"/>
      <c r="AB224" s="103"/>
      <c r="AC224" s="103"/>
      <c r="AD224" s="103"/>
      <c r="AE224" s="101"/>
      <c r="AF224" s="101"/>
      <c r="AG224" s="101"/>
      <c r="AH224" s="101"/>
      <c r="AI224" s="101"/>
      <c r="AJ224" s="101"/>
      <c r="AK224" s="101"/>
      <c r="AL224" s="103"/>
      <c r="AM224" s="103"/>
      <c r="AN224" s="103"/>
      <c r="AO224" s="103"/>
      <c r="AP224" s="103"/>
      <c r="AQ224" s="103"/>
      <c r="AR224" s="103"/>
      <c r="AS224" s="101"/>
      <c r="AT224" s="101"/>
      <c r="AU224" s="101"/>
      <c r="AV224" s="101"/>
      <c r="AW224" s="101"/>
      <c r="AX224" s="101"/>
      <c r="AY224" s="101"/>
      <c r="AZ224" s="103"/>
      <c r="BA224" s="103"/>
      <c r="BB224" s="103"/>
      <c r="BC224" s="101"/>
      <c r="BD224" s="101"/>
      <c r="BE224" s="101"/>
      <c r="BF224" s="101"/>
      <c r="BG224" s="101"/>
      <c r="BK224" s="101"/>
      <c r="BL224" s="101"/>
      <c r="BM224" s="101"/>
      <c r="BN224" s="101"/>
      <c r="BO224" s="101"/>
      <c r="BP224" s="101"/>
      <c r="BQ224" s="101"/>
      <c r="BR224" s="104"/>
      <c r="BS224" s="104"/>
      <c r="BT224" s="104"/>
      <c r="BU224" s="104"/>
      <c r="BV224" s="104"/>
      <c r="BW224" s="104"/>
      <c r="BX224" s="104"/>
      <c r="BY224" s="104"/>
      <c r="BZ224" s="104"/>
      <c r="CA224" s="104"/>
      <c r="CB224" s="104"/>
      <c r="CC224" s="104"/>
      <c r="CD224" s="104"/>
      <c r="CE224" s="104"/>
      <c r="CF224" s="104"/>
      <c r="CG224" s="104"/>
      <c r="CH224" s="104"/>
      <c r="CI224" s="104"/>
      <c r="CJ224" s="104"/>
      <c r="CK224" s="104"/>
      <c r="CL224" s="104"/>
      <c r="CM224" s="104"/>
      <c r="CN224" s="98"/>
      <c r="CP224" s="101"/>
      <c r="CQ224" s="101"/>
      <c r="CR224" s="101"/>
      <c r="CS224" s="101"/>
      <c r="CT224" s="101"/>
      <c r="FJ224" s="103"/>
      <c r="FL224" s="103"/>
      <c r="FN224" s="103"/>
      <c r="FP224" s="103"/>
    </row>
    <row r="225" spans="2:172" x14ac:dyDescent="0.35">
      <c r="B225" s="97"/>
      <c r="G225" s="100"/>
      <c r="K225" s="98"/>
      <c r="L225" s="101"/>
      <c r="M225" s="101"/>
      <c r="N225" s="101"/>
      <c r="O225" s="101"/>
      <c r="P225" s="102"/>
      <c r="Q225" s="101"/>
      <c r="R225" s="98"/>
      <c r="S225" s="98"/>
      <c r="T225" s="98"/>
      <c r="U225" s="98"/>
      <c r="V225" s="98"/>
      <c r="W225" s="98"/>
      <c r="X225" s="103"/>
      <c r="Y225" s="103"/>
      <c r="Z225" s="103"/>
      <c r="AA225" s="103"/>
      <c r="AB225" s="103"/>
      <c r="AC225" s="103"/>
      <c r="AD225" s="103"/>
      <c r="AE225" s="101"/>
      <c r="AF225" s="101"/>
      <c r="AG225" s="101"/>
      <c r="AH225" s="101"/>
      <c r="AI225" s="101"/>
      <c r="AJ225" s="101"/>
      <c r="AK225" s="101"/>
      <c r="AL225" s="103"/>
      <c r="AM225" s="103"/>
      <c r="AN225" s="103"/>
      <c r="AO225" s="103"/>
      <c r="AP225" s="103"/>
      <c r="AQ225" s="103"/>
      <c r="AR225" s="103"/>
      <c r="AS225" s="101"/>
      <c r="AT225" s="101"/>
      <c r="AU225" s="101"/>
      <c r="AV225" s="101"/>
      <c r="AW225" s="101"/>
      <c r="AX225" s="101"/>
      <c r="AY225" s="101"/>
      <c r="AZ225" s="103"/>
      <c r="BA225" s="103"/>
      <c r="BB225" s="103"/>
      <c r="BC225" s="101"/>
      <c r="BD225" s="101"/>
      <c r="BE225" s="101"/>
      <c r="BF225" s="101"/>
      <c r="BG225" s="101"/>
      <c r="BK225" s="101"/>
      <c r="BL225" s="101"/>
      <c r="BM225" s="101"/>
      <c r="BN225" s="101"/>
      <c r="BO225" s="101"/>
      <c r="BP225" s="101"/>
      <c r="BQ225" s="101"/>
      <c r="BR225" s="104"/>
      <c r="BS225" s="104"/>
      <c r="BT225" s="104"/>
      <c r="BU225" s="104"/>
      <c r="BV225" s="104"/>
      <c r="BW225" s="104"/>
      <c r="BX225" s="104"/>
      <c r="BY225" s="104"/>
      <c r="BZ225" s="104"/>
      <c r="CA225" s="104"/>
      <c r="CB225" s="104"/>
      <c r="CC225" s="104"/>
      <c r="CD225" s="104"/>
      <c r="CE225" s="104"/>
      <c r="CF225" s="104"/>
      <c r="CG225" s="104"/>
      <c r="CH225" s="104"/>
      <c r="CI225" s="104"/>
      <c r="CJ225" s="104"/>
      <c r="CK225" s="104"/>
      <c r="CL225" s="104"/>
      <c r="CM225" s="104"/>
      <c r="CN225" s="98"/>
      <c r="CP225" s="101"/>
      <c r="CQ225" s="101"/>
      <c r="CR225" s="101"/>
      <c r="CS225" s="101"/>
      <c r="CT225" s="101"/>
      <c r="FJ225" s="103"/>
      <c r="FL225" s="103"/>
      <c r="FN225" s="103"/>
      <c r="FP225" s="103"/>
    </row>
    <row r="226" spans="2:172" x14ac:dyDescent="0.35">
      <c r="B226" s="97"/>
      <c r="G226" s="100"/>
      <c r="K226" s="98"/>
      <c r="L226" s="101"/>
      <c r="M226" s="101"/>
      <c r="N226" s="101"/>
      <c r="O226" s="101"/>
      <c r="P226" s="102"/>
      <c r="Q226" s="101"/>
      <c r="R226" s="98"/>
      <c r="S226" s="98"/>
      <c r="T226" s="98"/>
      <c r="U226" s="98"/>
      <c r="V226" s="98"/>
      <c r="W226" s="98"/>
      <c r="X226" s="103"/>
      <c r="Y226" s="103"/>
      <c r="Z226" s="103"/>
      <c r="AA226" s="103"/>
      <c r="AB226" s="103"/>
      <c r="AC226" s="103"/>
      <c r="AD226" s="103"/>
      <c r="AE226" s="101"/>
      <c r="AF226" s="101"/>
      <c r="AG226" s="101"/>
      <c r="AH226" s="101"/>
      <c r="AI226" s="101"/>
      <c r="AJ226" s="101"/>
      <c r="AK226" s="101"/>
      <c r="AL226" s="103"/>
      <c r="AM226" s="103"/>
      <c r="AN226" s="103"/>
      <c r="AO226" s="103"/>
      <c r="AP226" s="103"/>
      <c r="AQ226" s="103"/>
      <c r="AR226" s="103"/>
      <c r="AS226" s="101"/>
      <c r="AT226" s="101"/>
      <c r="AU226" s="101"/>
      <c r="AV226" s="101"/>
      <c r="AW226" s="101"/>
      <c r="AX226" s="101"/>
      <c r="AY226" s="101"/>
      <c r="AZ226" s="103"/>
      <c r="BA226" s="103"/>
      <c r="BB226" s="103"/>
      <c r="BC226" s="101"/>
      <c r="BD226" s="101"/>
      <c r="BE226" s="101"/>
      <c r="BF226" s="101"/>
      <c r="BG226" s="101"/>
      <c r="BK226" s="101"/>
      <c r="BL226" s="101"/>
      <c r="BM226" s="101"/>
      <c r="BN226" s="101"/>
      <c r="BO226" s="101"/>
      <c r="BP226" s="101"/>
      <c r="BQ226" s="101"/>
      <c r="BR226" s="104"/>
      <c r="BS226" s="104"/>
      <c r="BT226" s="104"/>
      <c r="BU226" s="104"/>
      <c r="BV226" s="104"/>
      <c r="BW226" s="104"/>
      <c r="BX226" s="104"/>
      <c r="BY226" s="104"/>
      <c r="BZ226" s="104"/>
      <c r="CA226" s="104"/>
      <c r="CB226" s="104"/>
      <c r="CC226" s="104"/>
      <c r="CD226" s="104"/>
      <c r="CE226" s="104"/>
      <c r="CF226" s="104"/>
      <c r="CG226" s="104"/>
      <c r="CH226" s="104"/>
      <c r="CI226" s="104"/>
      <c r="CJ226" s="104"/>
      <c r="CK226" s="104"/>
      <c r="CL226" s="104"/>
      <c r="CM226" s="104"/>
      <c r="CN226" s="98"/>
      <c r="CP226" s="101"/>
      <c r="CQ226" s="101"/>
      <c r="CR226" s="101"/>
      <c r="CS226" s="101"/>
      <c r="CT226" s="101"/>
      <c r="FJ226" s="103"/>
      <c r="FL226" s="103"/>
      <c r="FN226" s="103"/>
      <c r="FP226" s="103"/>
    </row>
    <row r="227" spans="2:172" x14ac:dyDescent="0.35">
      <c r="B227" s="97"/>
      <c r="G227" s="100"/>
      <c r="K227" s="98"/>
      <c r="L227" s="101"/>
      <c r="M227" s="101"/>
      <c r="N227" s="101"/>
      <c r="O227" s="101"/>
      <c r="P227" s="102"/>
      <c r="Q227" s="101"/>
      <c r="R227" s="98"/>
      <c r="S227" s="98"/>
      <c r="T227" s="98"/>
      <c r="U227" s="98"/>
      <c r="V227" s="98"/>
      <c r="W227" s="98"/>
      <c r="X227" s="103"/>
      <c r="Y227" s="103"/>
      <c r="Z227" s="103"/>
      <c r="AA227" s="103"/>
      <c r="AB227" s="103"/>
      <c r="AC227" s="103"/>
      <c r="AD227" s="103"/>
      <c r="AE227" s="101"/>
      <c r="AF227" s="101"/>
      <c r="AG227" s="101"/>
      <c r="AH227" s="101"/>
      <c r="AI227" s="101"/>
      <c r="AJ227" s="101"/>
      <c r="AK227" s="101"/>
      <c r="AL227" s="103"/>
      <c r="AM227" s="103"/>
      <c r="AN227" s="103"/>
      <c r="AO227" s="103"/>
      <c r="AP227" s="103"/>
      <c r="AQ227" s="103"/>
      <c r="AR227" s="103"/>
      <c r="AS227" s="101"/>
      <c r="AT227" s="101"/>
      <c r="AU227" s="101"/>
      <c r="AV227" s="101"/>
      <c r="AW227" s="101"/>
      <c r="AX227" s="101"/>
      <c r="AY227" s="101"/>
      <c r="AZ227" s="103"/>
      <c r="BA227" s="103"/>
      <c r="BB227" s="103"/>
      <c r="BC227" s="101"/>
      <c r="BD227" s="101"/>
      <c r="BE227" s="101"/>
      <c r="BF227" s="101"/>
      <c r="BG227" s="101"/>
      <c r="BK227" s="101"/>
      <c r="BL227" s="101"/>
      <c r="BM227" s="101"/>
      <c r="BN227" s="101"/>
      <c r="BO227" s="101"/>
      <c r="BP227" s="101"/>
      <c r="BQ227" s="101"/>
      <c r="BR227" s="104"/>
      <c r="BS227" s="104"/>
      <c r="BT227" s="104"/>
      <c r="BU227" s="104"/>
      <c r="BV227" s="104"/>
      <c r="BW227" s="104"/>
      <c r="BX227" s="104"/>
      <c r="BY227" s="104"/>
      <c r="BZ227" s="104"/>
      <c r="CA227" s="104"/>
      <c r="CB227" s="104"/>
      <c r="CC227" s="104"/>
      <c r="CD227" s="104"/>
      <c r="CE227" s="104"/>
      <c r="CF227" s="104"/>
      <c r="CG227" s="104"/>
      <c r="CH227" s="104"/>
      <c r="CI227" s="104"/>
      <c r="CJ227" s="104"/>
      <c r="CK227" s="104"/>
      <c r="CL227" s="104"/>
      <c r="CM227" s="104"/>
      <c r="CN227" s="98"/>
      <c r="CP227" s="101"/>
      <c r="CQ227" s="101"/>
      <c r="CR227" s="101"/>
      <c r="CS227" s="101"/>
      <c r="CT227" s="101"/>
      <c r="FJ227" s="103"/>
      <c r="FL227" s="103"/>
      <c r="FN227" s="103"/>
      <c r="FP227" s="103"/>
    </row>
    <row r="228" spans="2:172" x14ac:dyDescent="0.35">
      <c r="B228" s="97"/>
      <c r="G228" s="100"/>
      <c r="K228" s="98"/>
      <c r="L228" s="101"/>
      <c r="M228" s="101"/>
      <c r="N228" s="101"/>
      <c r="O228" s="101"/>
      <c r="P228" s="102"/>
      <c r="Q228" s="101"/>
      <c r="R228" s="98"/>
      <c r="S228" s="98"/>
      <c r="T228" s="98"/>
      <c r="U228" s="98"/>
      <c r="V228" s="98"/>
      <c r="W228" s="98"/>
      <c r="X228" s="103"/>
      <c r="Y228" s="103"/>
      <c r="Z228" s="103"/>
      <c r="AA228" s="103"/>
      <c r="AB228" s="103"/>
      <c r="AC228" s="103"/>
      <c r="AD228" s="103"/>
      <c r="AE228" s="101"/>
      <c r="AF228" s="101"/>
      <c r="AG228" s="101"/>
      <c r="AH228" s="101"/>
      <c r="AI228" s="101"/>
      <c r="AJ228" s="101"/>
      <c r="AK228" s="101"/>
      <c r="AL228" s="103"/>
      <c r="AM228" s="103"/>
      <c r="AN228" s="103"/>
      <c r="AO228" s="103"/>
      <c r="AP228" s="103"/>
      <c r="AQ228" s="103"/>
      <c r="AR228" s="103"/>
      <c r="AS228" s="101"/>
      <c r="AT228" s="101"/>
      <c r="AU228" s="101"/>
      <c r="AV228" s="101"/>
      <c r="AW228" s="101"/>
      <c r="AX228" s="101"/>
      <c r="AY228" s="101"/>
      <c r="AZ228" s="103"/>
      <c r="BA228" s="103"/>
      <c r="BB228" s="103"/>
      <c r="BC228" s="101"/>
      <c r="BD228" s="101"/>
      <c r="BE228" s="101"/>
      <c r="BF228" s="101"/>
      <c r="BG228" s="101"/>
      <c r="BK228" s="101"/>
      <c r="BL228" s="101"/>
      <c r="BM228" s="101"/>
      <c r="BN228" s="101"/>
      <c r="BO228" s="101"/>
      <c r="BP228" s="101"/>
      <c r="BQ228" s="101"/>
      <c r="BR228" s="104"/>
      <c r="BS228" s="104"/>
      <c r="BT228" s="104"/>
      <c r="BU228" s="104"/>
      <c r="BV228" s="104"/>
      <c r="BW228" s="104"/>
      <c r="BX228" s="104"/>
      <c r="BY228" s="104"/>
      <c r="BZ228" s="104"/>
      <c r="CA228" s="104"/>
      <c r="CB228" s="104"/>
      <c r="CC228" s="104"/>
      <c r="CD228" s="104"/>
      <c r="CE228" s="104"/>
      <c r="CF228" s="104"/>
      <c r="CG228" s="104"/>
      <c r="CH228" s="104"/>
      <c r="CI228" s="104"/>
      <c r="CJ228" s="104"/>
      <c r="CK228" s="104"/>
      <c r="CL228" s="104"/>
      <c r="CM228" s="104"/>
      <c r="CN228" s="98"/>
      <c r="CP228" s="101"/>
      <c r="CQ228" s="101"/>
      <c r="CR228" s="101"/>
      <c r="CS228" s="101"/>
      <c r="CT228" s="101"/>
      <c r="FJ228" s="103"/>
      <c r="FL228" s="103"/>
      <c r="FN228" s="103"/>
      <c r="FP228" s="103"/>
    </row>
    <row r="229" spans="2:172" x14ac:dyDescent="0.35">
      <c r="B229" s="97"/>
      <c r="G229" s="100"/>
      <c r="K229" s="98"/>
      <c r="L229" s="101"/>
      <c r="M229" s="101"/>
      <c r="N229" s="101"/>
      <c r="O229" s="101"/>
      <c r="P229" s="102"/>
      <c r="Q229" s="101"/>
      <c r="R229" s="98"/>
      <c r="S229" s="98"/>
      <c r="T229" s="98"/>
      <c r="U229" s="98"/>
      <c r="V229" s="98"/>
      <c r="W229" s="98"/>
      <c r="X229" s="103"/>
      <c r="Y229" s="103"/>
      <c r="Z229" s="103"/>
      <c r="AA229" s="103"/>
      <c r="AB229" s="103"/>
      <c r="AC229" s="103"/>
      <c r="AD229" s="103"/>
      <c r="AE229" s="101"/>
      <c r="AF229" s="101"/>
      <c r="AG229" s="101"/>
      <c r="AH229" s="101"/>
      <c r="AI229" s="101"/>
      <c r="AJ229" s="101"/>
      <c r="AK229" s="101"/>
      <c r="AL229" s="103"/>
      <c r="AM229" s="103"/>
      <c r="AN229" s="103"/>
      <c r="AO229" s="103"/>
      <c r="AP229" s="103"/>
      <c r="AQ229" s="103"/>
      <c r="AR229" s="103"/>
      <c r="AS229" s="101"/>
      <c r="AT229" s="101"/>
      <c r="AU229" s="101"/>
      <c r="AV229" s="101"/>
      <c r="AW229" s="101"/>
      <c r="AX229" s="101"/>
      <c r="AY229" s="101"/>
      <c r="AZ229" s="103"/>
      <c r="BA229" s="103"/>
      <c r="BB229" s="103"/>
      <c r="BC229" s="101"/>
      <c r="BD229" s="101"/>
      <c r="BE229" s="101"/>
      <c r="BF229" s="101"/>
      <c r="BG229" s="101"/>
      <c r="BK229" s="101"/>
      <c r="BL229" s="101"/>
      <c r="BM229" s="101"/>
      <c r="BN229" s="101"/>
      <c r="BO229" s="101"/>
      <c r="BP229" s="101"/>
      <c r="BQ229" s="101"/>
      <c r="BR229" s="104"/>
      <c r="BS229" s="104"/>
      <c r="BT229" s="104"/>
      <c r="BU229" s="104"/>
      <c r="BV229" s="104"/>
      <c r="BW229" s="104"/>
      <c r="BX229" s="104"/>
      <c r="BY229" s="104"/>
      <c r="BZ229" s="104"/>
      <c r="CA229" s="104"/>
      <c r="CB229" s="104"/>
      <c r="CC229" s="104"/>
      <c r="CD229" s="104"/>
      <c r="CE229" s="104"/>
      <c r="CF229" s="104"/>
      <c r="CG229" s="104"/>
      <c r="CH229" s="104"/>
      <c r="CI229" s="104"/>
      <c r="CJ229" s="104"/>
      <c r="CK229" s="104"/>
      <c r="CL229" s="104"/>
      <c r="CM229" s="104"/>
      <c r="CN229" s="98"/>
      <c r="CP229" s="101"/>
      <c r="CQ229" s="101"/>
      <c r="CR229" s="101"/>
      <c r="CS229" s="101"/>
      <c r="CT229" s="101"/>
      <c r="FJ229" s="103"/>
      <c r="FL229" s="103"/>
      <c r="FN229" s="103"/>
      <c r="FP229" s="103"/>
    </row>
    <row r="230" spans="2:172" x14ac:dyDescent="0.35">
      <c r="B230" s="97"/>
      <c r="G230" s="100"/>
      <c r="K230" s="98"/>
      <c r="L230" s="101"/>
      <c r="M230" s="101"/>
      <c r="N230" s="101"/>
      <c r="O230" s="101"/>
      <c r="P230" s="102"/>
      <c r="Q230" s="101"/>
      <c r="R230" s="98"/>
      <c r="S230" s="98"/>
      <c r="T230" s="98"/>
      <c r="U230" s="98"/>
      <c r="V230" s="98"/>
      <c r="W230" s="98"/>
      <c r="X230" s="103"/>
      <c r="Y230" s="103"/>
      <c r="Z230" s="103"/>
      <c r="AA230" s="103"/>
      <c r="AB230" s="103"/>
      <c r="AC230" s="103"/>
      <c r="AD230" s="103"/>
      <c r="AE230" s="101"/>
      <c r="AF230" s="101"/>
      <c r="AG230" s="101"/>
      <c r="AH230" s="101"/>
      <c r="AI230" s="101"/>
      <c r="AJ230" s="101"/>
      <c r="AK230" s="101"/>
      <c r="AL230" s="103"/>
      <c r="AM230" s="103"/>
      <c r="AN230" s="103"/>
      <c r="AO230" s="103"/>
      <c r="AP230" s="103"/>
      <c r="AQ230" s="103"/>
      <c r="AR230" s="103"/>
      <c r="AS230" s="101"/>
      <c r="AT230" s="101"/>
      <c r="AU230" s="101"/>
      <c r="AV230" s="101"/>
      <c r="AW230" s="101"/>
      <c r="AX230" s="101"/>
      <c r="AY230" s="101"/>
      <c r="AZ230" s="103"/>
      <c r="BA230" s="103"/>
      <c r="BB230" s="103"/>
      <c r="BC230" s="101"/>
      <c r="BD230" s="101"/>
      <c r="BE230" s="101"/>
      <c r="BF230" s="101"/>
      <c r="BG230" s="101"/>
      <c r="BK230" s="101"/>
      <c r="BL230" s="101"/>
      <c r="BM230" s="101"/>
      <c r="BN230" s="101"/>
      <c r="BO230" s="101"/>
      <c r="BP230" s="101"/>
      <c r="BQ230" s="101"/>
      <c r="BR230" s="104"/>
      <c r="BS230" s="104"/>
      <c r="BT230" s="104"/>
      <c r="BU230" s="104"/>
      <c r="BV230" s="104"/>
      <c r="BW230" s="104"/>
      <c r="BX230" s="104"/>
      <c r="BY230" s="104"/>
      <c r="BZ230" s="104"/>
      <c r="CA230" s="104"/>
      <c r="CB230" s="104"/>
      <c r="CC230" s="104"/>
      <c r="CD230" s="104"/>
      <c r="CE230" s="104"/>
      <c r="CF230" s="104"/>
      <c r="CG230" s="104"/>
      <c r="CH230" s="104"/>
      <c r="CI230" s="104"/>
      <c r="CJ230" s="104"/>
      <c r="CK230" s="104"/>
      <c r="CL230" s="104"/>
      <c r="CM230" s="104"/>
      <c r="CN230" s="98"/>
      <c r="CP230" s="101"/>
      <c r="CQ230" s="101"/>
      <c r="CR230" s="101"/>
      <c r="CS230" s="101"/>
      <c r="CT230" s="101"/>
      <c r="FJ230" s="103"/>
      <c r="FL230" s="103"/>
      <c r="FN230" s="103"/>
      <c r="FP230" s="103"/>
    </row>
    <row r="231" spans="2:172" x14ac:dyDescent="0.35">
      <c r="B231" s="97"/>
      <c r="G231" s="100"/>
      <c r="K231" s="98"/>
      <c r="L231" s="101"/>
      <c r="M231" s="101"/>
      <c r="N231" s="101"/>
      <c r="O231" s="101"/>
      <c r="P231" s="102"/>
      <c r="Q231" s="101"/>
      <c r="R231" s="98"/>
      <c r="S231" s="98"/>
      <c r="T231" s="98"/>
      <c r="U231" s="98"/>
      <c r="V231" s="98"/>
      <c r="W231" s="98"/>
      <c r="X231" s="103"/>
      <c r="Y231" s="103"/>
      <c r="Z231" s="103"/>
      <c r="AA231" s="103"/>
      <c r="AB231" s="103"/>
      <c r="AC231" s="103"/>
      <c r="AD231" s="103"/>
      <c r="AE231" s="101"/>
      <c r="AF231" s="101"/>
      <c r="AG231" s="101"/>
      <c r="AH231" s="101"/>
      <c r="AI231" s="101"/>
      <c r="AJ231" s="101"/>
      <c r="AK231" s="101"/>
      <c r="AL231" s="103"/>
      <c r="AM231" s="103"/>
      <c r="AN231" s="103"/>
      <c r="AO231" s="103"/>
      <c r="AP231" s="103"/>
      <c r="AQ231" s="103"/>
      <c r="AR231" s="103"/>
      <c r="AS231" s="101"/>
      <c r="AT231" s="101"/>
      <c r="AU231" s="101"/>
      <c r="AV231" s="101"/>
      <c r="AW231" s="101"/>
      <c r="AX231" s="101"/>
      <c r="AY231" s="101"/>
      <c r="AZ231" s="103"/>
      <c r="BA231" s="103"/>
      <c r="BB231" s="103"/>
      <c r="BC231" s="101"/>
      <c r="BD231" s="101"/>
      <c r="BE231" s="101"/>
      <c r="BF231" s="101"/>
      <c r="BG231" s="101"/>
      <c r="BK231" s="101"/>
      <c r="BL231" s="101"/>
      <c r="BM231" s="101"/>
      <c r="BN231" s="101"/>
      <c r="BO231" s="101"/>
      <c r="BP231" s="101"/>
      <c r="BQ231" s="101"/>
      <c r="BR231" s="104"/>
      <c r="BS231" s="104"/>
      <c r="BT231" s="104"/>
      <c r="BU231" s="104"/>
      <c r="BV231" s="104"/>
      <c r="BW231" s="104"/>
      <c r="BX231" s="104"/>
      <c r="BY231" s="104"/>
      <c r="BZ231" s="104"/>
      <c r="CA231" s="104"/>
      <c r="CB231" s="104"/>
      <c r="CC231" s="104"/>
      <c r="CD231" s="104"/>
      <c r="CE231" s="104"/>
      <c r="CF231" s="104"/>
      <c r="CG231" s="104"/>
      <c r="CH231" s="104"/>
      <c r="CI231" s="104"/>
      <c r="CJ231" s="104"/>
      <c r="CK231" s="104"/>
      <c r="CL231" s="104"/>
      <c r="CM231" s="104"/>
      <c r="CN231" s="98"/>
      <c r="CP231" s="101"/>
      <c r="CQ231" s="101"/>
      <c r="CR231" s="101"/>
      <c r="CS231" s="101"/>
      <c r="CT231" s="101"/>
      <c r="FJ231" s="103"/>
      <c r="FL231" s="103"/>
      <c r="FN231" s="103"/>
      <c r="FP231" s="103"/>
    </row>
    <row r="232" spans="2:172" x14ac:dyDescent="0.35">
      <c r="B232" s="97"/>
      <c r="G232" s="100"/>
      <c r="K232" s="98"/>
      <c r="L232" s="101"/>
      <c r="M232" s="101"/>
      <c r="N232" s="101"/>
      <c r="O232" s="101"/>
      <c r="P232" s="102"/>
      <c r="Q232" s="101"/>
      <c r="R232" s="98"/>
      <c r="S232" s="98"/>
      <c r="T232" s="98"/>
      <c r="U232" s="98"/>
      <c r="V232" s="98"/>
      <c r="W232" s="98"/>
      <c r="X232" s="103"/>
      <c r="Y232" s="103"/>
      <c r="Z232" s="103"/>
      <c r="AA232" s="103"/>
      <c r="AB232" s="103"/>
      <c r="AC232" s="103"/>
      <c r="AD232" s="103"/>
      <c r="AE232" s="101"/>
      <c r="AF232" s="101"/>
      <c r="AG232" s="101"/>
      <c r="AH232" s="101"/>
      <c r="AI232" s="101"/>
      <c r="AJ232" s="101"/>
      <c r="AK232" s="101"/>
      <c r="AL232" s="103"/>
      <c r="AM232" s="103"/>
      <c r="AN232" s="103"/>
      <c r="AO232" s="103"/>
      <c r="AP232" s="103"/>
      <c r="AQ232" s="103"/>
      <c r="AR232" s="103"/>
      <c r="AS232" s="101"/>
      <c r="AT232" s="101"/>
      <c r="AU232" s="101"/>
      <c r="AV232" s="101"/>
      <c r="AW232" s="101"/>
      <c r="AX232" s="101"/>
      <c r="AY232" s="101"/>
      <c r="AZ232" s="103"/>
      <c r="BA232" s="103"/>
      <c r="BB232" s="103"/>
      <c r="BC232" s="101"/>
      <c r="BD232" s="101"/>
      <c r="BE232" s="101"/>
      <c r="BF232" s="101"/>
      <c r="BG232" s="101"/>
      <c r="BK232" s="101"/>
      <c r="BL232" s="101"/>
      <c r="BM232" s="101"/>
      <c r="BN232" s="101"/>
      <c r="BO232" s="101"/>
      <c r="BP232" s="101"/>
      <c r="BQ232" s="101"/>
      <c r="BR232" s="104"/>
      <c r="BS232" s="104"/>
      <c r="BT232" s="104"/>
      <c r="BU232" s="104"/>
      <c r="BV232" s="104"/>
      <c r="BW232" s="104"/>
      <c r="BX232" s="104"/>
      <c r="BY232" s="104"/>
      <c r="BZ232" s="104"/>
      <c r="CA232" s="104"/>
      <c r="CB232" s="104"/>
      <c r="CC232" s="104"/>
      <c r="CD232" s="104"/>
      <c r="CE232" s="104"/>
      <c r="CF232" s="104"/>
      <c r="CG232" s="104"/>
      <c r="CH232" s="104"/>
      <c r="CI232" s="104"/>
      <c r="CJ232" s="104"/>
      <c r="CK232" s="104"/>
      <c r="CL232" s="104"/>
      <c r="CM232" s="104"/>
      <c r="CN232" s="98"/>
      <c r="CP232" s="101"/>
      <c r="CQ232" s="101"/>
      <c r="CR232" s="101"/>
      <c r="CS232" s="101"/>
      <c r="CT232" s="101"/>
      <c r="FJ232" s="103"/>
      <c r="FL232" s="103"/>
      <c r="FN232" s="103"/>
      <c r="FP232" s="103"/>
    </row>
    <row r="233" spans="2:172" x14ac:dyDescent="0.35">
      <c r="B233" s="97"/>
      <c r="G233" s="100"/>
      <c r="K233" s="98"/>
      <c r="L233" s="101"/>
      <c r="M233" s="101"/>
      <c r="N233" s="101"/>
      <c r="O233" s="101"/>
      <c r="P233" s="102"/>
      <c r="Q233" s="101"/>
      <c r="R233" s="98"/>
      <c r="S233" s="98"/>
      <c r="T233" s="98"/>
      <c r="U233" s="98"/>
      <c r="V233" s="98"/>
      <c r="W233" s="98"/>
      <c r="X233" s="103"/>
      <c r="Y233" s="103"/>
      <c r="Z233" s="103"/>
      <c r="AA233" s="103"/>
      <c r="AB233" s="103"/>
      <c r="AC233" s="103"/>
      <c r="AD233" s="103"/>
      <c r="AE233" s="101"/>
      <c r="AF233" s="101"/>
      <c r="AG233" s="101"/>
      <c r="AH233" s="101"/>
      <c r="AI233" s="101"/>
      <c r="AJ233" s="101"/>
      <c r="AK233" s="101"/>
      <c r="AL233" s="103"/>
      <c r="AM233" s="103"/>
      <c r="AN233" s="103"/>
      <c r="AO233" s="103"/>
      <c r="AP233" s="103"/>
      <c r="AQ233" s="103"/>
      <c r="AR233" s="103"/>
      <c r="AS233" s="101"/>
      <c r="AT233" s="101"/>
      <c r="AU233" s="101"/>
      <c r="AV233" s="101"/>
      <c r="AW233" s="101"/>
      <c r="AX233" s="101"/>
      <c r="AY233" s="101"/>
      <c r="AZ233" s="103"/>
      <c r="BA233" s="103"/>
      <c r="BB233" s="103"/>
      <c r="BC233" s="101"/>
      <c r="BD233" s="101"/>
      <c r="BE233" s="101"/>
      <c r="BF233" s="101"/>
      <c r="BG233" s="101"/>
      <c r="BK233" s="101"/>
      <c r="BL233" s="101"/>
      <c r="BM233" s="101"/>
      <c r="BN233" s="101"/>
      <c r="BO233" s="101"/>
      <c r="BP233" s="101"/>
      <c r="BQ233" s="101"/>
      <c r="BR233" s="104"/>
      <c r="BS233" s="104"/>
      <c r="BT233" s="104"/>
      <c r="BU233" s="104"/>
      <c r="BV233" s="104"/>
      <c r="BW233" s="104"/>
      <c r="BX233" s="104"/>
      <c r="BY233" s="104"/>
      <c r="BZ233" s="104"/>
      <c r="CA233" s="104"/>
      <c r="CB233" s="104"/>
      <c r="CC233" s="104"/>
      <c r="CD233" s="104"/>
      <c r="CE233" s="104"/>
      <c r="CF233" s="104"/>
      <c r="CG233" s="104"/>
      <c r="CH233" s="104"/>
      <c r="CI233" s="104"/>
      <c r="CJ233" s="104"/>
      <c r="CK233" s="104"/>
      <c r="CL233" s="104"/>
      <c r="CM233" s="104"/>
      <c r="CN233" s="98"/>
      <c r="CP233" s="101"/>
      <c r="CQ233" s="101"/>
      <c r="CR233" s="101"/>
      <c r="CS233" s="101"/>
      <c r="CT233" s="101"/>
      <c r="FJ233" s="103"/>
      <c r="FL233" s="103"/>
      <c r="FN233" s="103"/>
      <c r="FP233" s="103"/>
    </row>
    <row r="234" spans="2:172" x14ac:dyDescent="0.35">
      <c r="B234" s="97"/>
      <c r="G234" s="100"/>
      <c r="K234" s="98"/>
      <c r="L234" s="101"/>
      <c r="M234" s="101"/>
      <c r="N234" s="101"/>
      <c r="O234" s="101"/>
      <c r="P234" s="102"/>
      <c r="Q234" s="101"/>
      <c r="R234" s="98"/>
      <c r="S234" s="98"/>
      <c r="T234" s="98"/>
      <c r="U234" s="98"/>
      <c r="V234" s="98"/>
      <c r="W234" s="98"/>
      <c r="X234" s="103"/>
      <c r="Y234" s="103"/>
      <c r="Z234" s="103"/>
      <c r="AA234" s="103"/>
      <c r="AB234" s="103"/>
      <c r="AC234" s="103"/>
      <c r="AD234" s="103"/>
      <c r="AE234" s="101"/>
      <c r="AF234" s="101"/>
      <c r="AG234" s="101"/>
      <c r="AH234" s="101"/>
      <c r="AI234" s="101"/>
      <c r="AJ234" s="101"/>
      <c r="AK234" s="101"/>
      <c r="AL234" s="103"/>
      <c r="AM234" s="103"/>
      <c r="AN234" s="103"/>
      <c r="AO234" s="103"/>
      <c r="AP234" s="103"/>
      <c r="AQ234" s="103"/>
      <c r="AR234" s="103"/>
      <c r="AS234" s="101"/>
      <c r="AT234" s="101"/>
      <c r="AU234" s="101"/>
      <c r="AV234" s="101"/>
      <c r="AW234" s="101"/>
      <c r="AX234" s="101"/>
      <c r="AY234" s="101"/>
      <c r="AZ234" s="103"/>
      <c r="BA234" s="103"/>
      <c r="BB234" s="103"/>
      <c r="BC234" s="101"/>
      <c r="BD234" s="101"/>
      <c r="BE234" s="101"/>
      <c r="BF234" s="101"/>
      <c r="BG234" s="101"/>
      <c r="BK234" s="101"/>
      <c r="BL234" s="101"/>
      <c r="BM234" s="101"/>
      <c r="BN234" s="101"/>
      <c r="BO234" s="101"/>
      <c r="BP234" s="101"/>
      <c r="BQ234" s="101"/>
      <c r="BR234" s="104"/>
      <c r="BS234" s="104"/>
      <c r="BT234" s="104"/>
      <c r="BU234" s="104"/>
      <c r="BV234" s="104"/>
      <c r="BW234" s="104"/>
      <c r="BX234" s="104"/>
      <c r="BY234" s="104"/>
      <c r="BZ234" s="104"/>
      <c r="CA234" s="104"/>
      <c r="CB234" s="104"/>
      <c r="CC234" s="104"/>
      <c r="CD234" s="104"/>
      <c r="CE234" s="104"/>
      <c r="CF234" s="104"/>
      <c r="CG234" s="104"/>
      <c r="CH234" s="104"/>
      <c r="CI234" s="104"/>
      <c r="CJ234" s="104"/>
      <c r="CK234" s="104"/>
      <c r="CL234" s="104"/>
      <c r="CM234" s="104"/>
      <c r="CN234" s="98"/>
      <c r="CP234" s="101"/>
      <c r="CQ234" s="101"/>
      <c r="CR234" s="101"/>
      <c r="CS234" s="101"/>
      <c r="CT234" s="101"/>
      <c r="FJ234" s="103"/>
      <c r="FL234" s="103"/>
      <c r="FN234" s="103"/>
      <c r="FP234" s="103"/>
    </row>
    <row r="235" spans="2:172" x14ac:dyDescent="0.35">
      <c r="B235" s="97"/>
      <c r="G235" s="100"/>
      <c r="K235" s="98"/>
      <c r="L235" s="101"/>
      <c r="M235" s="101"/>
      <c r="N235" s="101"/>
      <c r="O235" s="101"/>
      <c r="P235" s="102"/>
      <c r="Q235" s="101"/>
      <c r="R235" s="98"/>
      <c r="S235" s="98"/>
      <c r="T235" s="98"/>
      <c r="U235" s="98"/>
      <c r="V235" s="98"/>
      <c r="W235" s="98"/>
      <c r="X235" s="103"/>
      <c r="Y235" s="103"/>
      <c r="Z235" s="103"/>
      <c r="AA235" s="103"/>
      <c r="AB235" s="103"/>
      <c r="AC235" s="103"/>
      <c r="AD235" s="103"/>
      <c r="AE235" s="101"/>
      <c r="AF235" s="101"/>
      <c r="AG235" s="101"/>
      <c r="AH235" s="101"/>
      <c r="AI235" s="101"/>
      <c r="AJ235" s="101"/>
      <c r="AK235" s="101"/>
      <c r="AL235" s="103"/>
      <c r="AM235" s="103"/>
      <c r="AN235" s="103"/>
      <c r="AO235" s="103"/>
      <c r="AP235" s="103"/>
      <c r="AQ235" s="103"/>
      <c r="AR235" s="103"/>
      <c r="AS235" s="101"/>
      <c r="AT235" s="101"/>
      <c r="AU235" s="101"/>
      <c r="AV235" s="101"/>
      <c r="AW235" s="101"/>
      <c r="AX235" s="101"/>
      <c r="AY235" s="101"/>
      <c r="AZ235" s="103"/>
      <c r="BA235" s="103"/>
      <c r="BB235" s="103"/>
      <c r="BC235" s="101"/>
      <c r="BD235" s="101"/>
      <c r="BE235" s="101"/>
      <c r="BF235" s="101"/>
      <c r="BG235" s="101"/>
      <c r="BK235" s="101"/>
      <c r="BL235" s="101"/>
      <c r="BM235" s="101"/>
      <c r="BN235" s="101"/>
      <c r="BO235" s="101"/>
      <c r="BP235" s="101"/>
      <c r="BQ235" s="101"/>
      <c r="BR235" s="104"/>
      <c r="BS235" s="104"/>
      <c r="BT235" s="104"/>
      <c r="BU235" s="104"/>
      <c r="BV235" s="104"/>
      <c r="BW235" s="104"/>
      <c r="BX235" s="104"/>
      <c r="BY235" s="104"/>
      <c r="BZ235" s="104"/>
      <c r="CA235" s="104"/>
      <c r="CB235" s="104"/>
      <c r="CC235" s="104"/>
      <c r="CD235" s="104"/>
      <c r="CE235" s="104"/>
      <c r="CF235" s="104"/>
      <c r="CG235" s="104"/>
      <c r="CH235" s="104"/>
      <c r="CI235" s="104"/>
      <c r="CJ235" s="104"/>
      <c r="CK235" s="104"/>
      <c r="CL235" s="104"/>
      <c r="CM235" s="104"/>
      <c r="CN235" s="98"/>
      <c r="CP235" s="101"/>
      <c r="CQ235" s="101"/>
      <c r="CR235" s="101"/>
      <c r="CS235" s="101"/>
      <c r="CT235" s="101"/>
      <c r="FJ235" s="103"/>
      <c r="FL235" s="103"/>
      <c r="FN235" s="103"/>
      <c r="FP235" s="103"/>
    </row>
    <row r="236" spans="2:172" x14ac:dyDescent="0.35">
      <c r="B236" s="97"/>
      <c r="G236" s="100"/>
      <c r="K236" s="98"/>
      <c r="L236" s="101"/>
      <c r="M236" s="101"/>
      <c r="N236" s="101"/>
      <c r="O236" s="101"/>
      <c r="P236" s="102"/>
      <c r="Q236" s="101"/>
      <c r="R236" s="98"/>
      <c r="S236" s="98"/>
      <c r="T236" s="98"/>
      <c r="U236" s="98"/>
      <c r="V236" s="98"/>
      <c r="W236" s="98"/>
      <c r="X236" s="103"/>
      <c r="Y236" s="103"/>
      <c r="Z236" s="103"/>
      <c r="AA236" s="103"/>
      <c r="AB236" s="103"/>
      <c r="AC236" s="103"/>
      <c r="AD236" s="103"/>
      <c r="AE236" s="101"/>
      <c r="AF236" s="101"/>
      <c r="AG236" s="101"/>
      <c r="AH236" s="101"/>
      <c r="AI236" s="101"/>
      <c r="AJ236" s="101"/>
      <c r="AK236" s="101"/>
      <c r="AL236" s="103"/>
      <c r="AM236" s="103"/>
      <c r="AN236" s="103"/>
      <c r="AO236" s="103"/>
      <c r="AP236" s="103"/>
      <c r="AQ236" s="103"/>
      <c r="AR236" s="103"/>
      <c r="AS236" s="101"/>
      <c r="AT236" s="101"/>
      <c r="AU236" s="101"/>
      <c r="AV236" s="101"/>
      <c r="AW236" s="101"/>
      <c r="AX236" s="101"/>
      <c r="AY236" s="101"/>
      <c r="AZ236" s="103"/>
      <c r="BA236" s="103"/>
      <c r="BB236" s="103"/>
      <c r="BC236" s="101"/>
      <c r="BD236" s="101"/>
      <c r="BE236" s="101"/>
      <c r="BF236" s="101"/>
      <c r="BG236" s="101"/>
      <c r="BK236" s="101"/>
      <c r="BL236" s="101"/>
      <c r="BM236" s="101"/>
      <c r="BN236" s="101"/>
      <c r="BO236" s="101"/>
      <c r="BP236" s="101"/>
      <c r="BQ236" s="101"/>
      <c r="BR236" s="104"/>
      <c r="BS236" s="104"/>
      <c r="BT236" s="104"/>
      <c r="BU236" s="104"/>
      <c r="BV236" s="104"/>
      <c r="BW236" s="104"/>
      <c r="BX236" s="104"/>
      <c r="BY236" s="104"/>
      <c r="BZ236" s="104"/>
      <c r="CA236" s="104"/>
      <c r="CB236" s="104"/>
      <c r="CC236" s="104"/>
      <c r="CD236" s="104"/>
      <c r="CE236" s="104"/>
      <c r="CF236" s="104"/>
      <c r="CG236" s="104"/>
      <c r="CH236" s="104"/>
      <c r="CI236" s="104"/>
      <c r="CJ236" s="104"/>
      <c r="CK236" s="104"/>
      <c r="CL236" s="104"/>
      <c r="CM236" s="104"/>
      <c r="CN236" s="98"/>
      <c r="CP236" s="101"/>
      <c r="CQ236" s="101"/>
      <c r="CR236" s="101"/>
      <c r="CS236" s="101"/>
      <c r="CT236" s="101"/>
      <c r="FJ236" s="103"/>
      <c r="FL236" s="103"/>
      <c r="FN236" s="103"/>
      <c r="FP236" s="103"/>
    </row>
    <row r="237" spans="2:172" x14ac:dyDescent="0.35">
      <c r="B237" s="97"/>
      <c r="G237" s="100"/>
      <c r="K237" s="98"/>
      <c r="L237" s="101"/>
      <c r="M237" s="101"/>
      <c r="N237" s="101"/>
      <c r="O237" s="101"/>
      <c r="P237" s="102"/>
      <c r="Q237" s="101"/>
      <c r="R237" s="98"/>
      <c r="S237" s="98"/>
      <c r="T237" s="98"/>
      <c r="U237" s="98"/>
      <c r="V237" s="98"/>
      <c r="W237" s="98"/>
      <c r="X237" s="103"/>
      <c r="Y237" s="103"/>
      <c r="Z237" s="103"/>
      <c r="AA237" s="103"/>
      <c r="AB237" s="103"/>
      <c r="AC237" s="103"/>
      <c r="AD237" s="103"/>
      <c r="AE237" s="101"/>
      <c r="AF237" s="101"/>
      <c r="AG237" s="101"/>
      <c r="AH237" s="101"/>
      <c r="AI237" s="101"/>
      <c r="AJ237" s="101"/>
      <c r="AK237" s="101"/>
      <c r="AL237" s="103"/>
      <c r="AM237" s="103"/>
      <c r="AN237" s="103"/>
      <c r="AO237" s="103"/>
      <c r="AP237" s="103"/>
      <c r="AQ237" s="103"/>
      <c r="AR237" s="103"/>
      <c r="AS237" s="101"/>
      <c r="AT237" s="101"/>
      <c r="AU237" s="101"/>
      <c r="AV237" s="101"/>
      <c r="AW237" s="101"/>
      <c r="AX237" s="101"/>
      <c r="AY237" s="101"/>
      <c r="AZ237" s="103"/>
      <c r="BA237" s="103"/>
      <c r="BB237" s="103"/>
      <c r="BC237" s="101"/>
      <c r="BD237" s="101"/>
      <c r="BE237" s="101"/>
      <c r="BF237" s="101"/>
      <c r="BG237" s="101"/>
      <c r="BK237" s="101"/>
      <c r="BL237" s="101"/>
      <c r="BM237" s="101"/>
      <c r="BN237" s="101"/>
      <c r="BO237" s="101"/>
      <c r="BP237" s="101"/>
      <c r="BQ237" s="101"/>
      <c r="BR237" s="104"/>
      <c r="BS237" s="104"/>
      <c r="BT237" s="104"/>
      <c r="BU237" s="104"/>
      <c r="BV237" s="104"/>
      <c r="BW237" s="104"/>
      <c r="BX237" s="104"/>
      <c r="BY237" s="104"/>
      <c r="BZ237" s="104"/>
      <c r="CA237" s="104"/>
      <c r="CB237" s="104"/>
      <c r="CC237" s="104"/>
      <c r="CD237" s="104"/>
      <c r="CE237" s="104"/>
      <c r="CF237" s="104"/>
      <c r="CG237" s="104"/>
      <c r="CH237" s="104"/>
      <c r="CI237" s="104"/>
      <c r="CJ237" s="104"/>
      <c r="CK237" s="104"/>
      <c r="CL237" s="104"/>
      <c r="CM237" s="104"/>
      <c r="CN237" s="98"/>
      <c r="CP237" s="101"/>
      <c r="CQ237" s="101"/>
      <c r="CR237" s="101"/>
      <c r="CS237" s="101"/>
      <c r="CT237" s="101"/>
      <c r="FJ237" s="103"/>
      <c r="FL237" s="103"/>
      <c r="FN237" s="103"/>
      <c r="FP237" s="103"/>
    </row>
    <row r="238" spans="2:172" x14ac:dyDescent="0.35">
      <c r="B238" s="97"/>
      <c r="G238" s="100"/>
      <c r="K238" s="98"/>
      <c r="L238" s="101"/>
      <c r="M238" s="101"/>
      <c r="N238" s="101"/>
      <c r="O238" s="101"/>
      <c r="P238" s="102"/>
      <c r="Q238" s="101"/>
      <c r="R238" s="98"/>
      <c r="S238" s="98"/>
      <c r="T238" s="98"/>
      <c r="U238" s="98"/>
      <c r="V238" s="98"/>
      <c r="W238" s="98"/>
      <c r="X238" s="103"/>
      <c r="Y238" s="103"/>
      <c r="Z238" s="103"/>
      <c r="AA238" s="103"/>
      <c r="AB238" s="103"/>
      <c r="AC238" s="103"/>
      <c r="AD238" s="103"/>
      <c r="AE238" s="101"/>
      <c r="AF238" s="101"/>
      <c r="AG238" s="101"/>
      <c r="AH238" s="101"/>
      <c r="AI238" s="101"/>
      <c r="AJ238" s="101"/>
      <c r="AK238" s="101"/>
      <c r="AL238" s="103"/>
      <c r="AM238" s="103"/>
      <c r="AN238" s="103"/>
      <c r="AO238" s="103"/>
      <c r="AP238" s="103"/>
      <c r="AQ238" s="103"/>
      <c r="AR238" s="103"/>
      <c r="AS238" s="101"/>
      <c r="AT238" s="101"/>
      <c r="AU238" s="101"/>
      <c r="AV238" s="101"/>
      <c r="AW238" s="101"/>
      <c r="AX238" s="101"/>
      <c r="AY238" s="101"/>
      <c r="AZ238" s="103"/>
      <c r="BA238" s="103"/>
      <c r="BB238" s="103"/>
      <c r="BC238" s="101"/>
      <c r="BD238" s="101"/>
      <c r="BE238" s="101"/>
      <c r="BF238" s="101"/>
      <c r="BG238" s="101"/>
      <c r="BK238" s="101"/>
      <c r="BL238" s="101"/>
      <c r="BM238" s="101"/>
      <c r="BN238" s="101"/>
      <c r="BO238" s="101"/>
      <c r="BP238" s="101"/>
      <c r="BQ238" s="101"/>
      <c r="BR238" s="104"/>
      <c r="BS238" s="104"/>
      <c r="BT238" s="104"/>
      <c r="BU238" s="104"/>
      <c r="BV238" s="104"/>
      <c r="BW238" s="104"/>
      <c r="BX238" s="104"/>
      <c r="BY238" s="104"/>
      <c r="BZ238" s="104"/>
      <c r="CA238" s="104"/>
      <c r="CB238" s="104"/>
      <c r="CC238" s="104"/>
      <c r="CD238" s="104"/>
      <c r="CE238" s="104"/>
      <c r="CF238" s="104"/>
      <c r="CG238" s="104"/>
      <c r="CH238" s="104"/>
      <c r="CI238" s="104"/>
      <c r="CJ238" s="104"/>
      <c r="CK238" s="104"/>
      <c r="CL238" s="104"/>
      <c r="CM238" s="104"/>
      <c r="CN238" s="98"/>
      <c r="CP238" s="101"/>
      <c r="CQ238" s="101"/>
      <c r="CR238" s="101"/>
      <c r="CS238" s="101"/>
      <c r="CT238" s="101"/>
      <c r="FJ238" s="103"/>
      <c r="FL238" s="103"/>
      <c r="FN238" s="103"/>
      <c r="FP238" s="103"/>
    </row>
    <row r="239" spans="2:172" x14ac:dyDescent="0.35">
      <c r="B239" s="97"/>
      <c r="G239" s="100"/>
      <c r="K239" s="98"/>
      <c r="L239" s="101"/>
      <c r="M239" s="101"/>
      <c r="N239" s="101"/>
      <c r="O239" s="101"/>
      <c r="P239" s="102"/>
      <c r="Q239" s="101"/>
      <c r="R239" s="98"/>
      <c r="S239" s="98"/>
      <c r="T239" s="98"/>
      <c r="U239" s="98"/>
      <c r="V239" s="98"/>
      <c r="W239" s="98"/>
      <c r="X239" s="103"/>
      <c r="Y239" s="103"/>
      <c r="Z239" s="103"/>
      <c r="AA239" s="103"/>
      <c r="AB239" s="103"/>
      <c r="AC239" s="103"/>
      <c r="AD239" s="103"/>
      <c r="AE239" s="101"/>
      <c r="AF239" s="101"/>
      <c r="AG239" s="101"/>
      <c r="AH239" s="101"/>
      <c r="AI239" s="101"/>
      <c r="AJ239" s="101"/>
      <c r="AK239" s="101"/>
      <c r="AL239" s="103"/>
      <c r="AM239" s="103"/>
      <c r="AN239" s="103"/>
      <c r="AO239" s="103"/>
      <c r="AP239" s="103"/>
      <c r="AQ239" s="103"/>
      <c r="AR239" s="103"/>
      <c r="AS239" s="101"/>
      <c r="AT239" s="101"/>
      <c r="AU239" s="101"/>
      <c r="AV239" s="101"/>
      <c r="AW239" s="101"/>
      <c r="AX239" s="101"/>
      <c r="AY239" s="101"/>
      <c r="AZ239" s="103"/>
      <c r="BA239" s="103"/>
      <c r="BB239" s="103"/>
      <c r="BC239" s="101"/>
      <c r="BD239" s="101"/>
      <c r="BE239" s="101"/>
      <c r="BF239" s="101"/>
      <c r="BG239" s="101"/>
      <c r="BK239" s="101"/>
      <c r="BL239" s="101"/>
      <c r="BM239" s="101"/>
      <c r="BN239" s="101"/>
      <c r="BO239" s="101"/>
      <c r="BP239" s="101"/>
      <c r="BQ239" s="101"/>
      <c r="BR239" s="104"/>
      <c r="BS239" s="104"/>
      <c r="BT239" s="104"/>
      <c r="BU239" s="104"/>
      <c r="BV239" s="104"/>
      <c r="BW239" s="104"/>
      <c r="BX239" s="104"/>
      <c r="BY239" s="104"/>
      <c r="BZ239" s="104"/>
      <c r="CA239" s="104"/>
      <c r="CB239" s="104"/>
      <c r="CC239" s="104"/>
      <c r="CD239" s="104"/>
      <c r="CE239" s="104"/>
      <c r="CF239" s="104"/>
      <c r="CG239" s="104"/>
      <c r="CH239" s="104"/>
      <c r="CI239" s="104"/>
      <c r="CJ239" s="104"/>
      <c r="CK239" s="104"/>
      <c r="CL239" s="104"/>
      <c r="CM239" s="104"/>
      <c r="CN239" s="98"/>
      <c r="CP239" s="101"/>
      <c r="CQ239" s="101"/>
      <c r="CR239" s="101"/>
      <c r="CS239" s="101"/>
      <c r="CT239" s="101"/>
      <c r="FJ239" s="103"/>
      <c r="FL239" s="103"/>
      <c r="FN239" s="103"/>
      <c r="FP239" s="103"/>
    </row>
    <row r="240" spans="2:172" x14ac:dyDescent="0.35">
      <c r="B240" s="97"/>
      <c r="G240" s="100"/>
      <c r="K240" s="98"/>
      <c r="L240" s="101"/>
      <c r="M240" s="101"/>
      <c r="N240" s="101"/>
      <c r="O240" s="101"/>
      <c r="P240" s="102"/>
      <c r="Q240" s="101"/>
      <c r="R240" s="98"/>
      <c r="S240" s="98"/>
      <c r="T240" s="98"/>
      <c r="U240" s="98"/>
      <c r="V240" s="98"/>
      <c r="W240" s="98"/>
      <c r="X240" s="103"/>
      <c r="Y240" s="103"/>
      <c r="Z240" s="103"/>
      <c r="AA240" s="103"/>
      <c r="AB240" s="103"/>
      <c r="AC240" s="103"/>
      <c r="AD240" s="103"/>
      <c r="AE240" s="101"/>
      <c r="AF240" s="101"/>
      <c r="AG240" s="101"/>
      <c r="AH240" s="101"/>
      <c r="AI240" s="101"/>
      <c r="AJ240" s="101"/>
      <c r="AK240" s="101"/>
      <c r="AL240" s="103"/>
      <c r="AM240" s="103"/>
      <c r="AN240" s="103"/>
      <c r="AO240" s="103"/>
      <c r="AP240" s="103"/>
      <c r="AQ240" s="103"/>
      <c r="AR240" s="103"/>
      <c r="AS240" s="101"/>
      <c r="AT240" s="101"/>
      <c r="AU240" s="101"/>
      <c r="AV240" s="101"/>
      <c r="AW240" s="101"/>
      <c r="AX240" s="101"/>
      <c r="AY240" s="101"/>
      <c r="AZ240" s="103"/>
      <c r="BA240" s="103"/>
      <c r="BB240" s="103"/>
      <c r="BC240" s="101"/>
      <c r="BD240" s="101"/>
      <c r="BE240" s="101"/>
      <c r="BF240" s="101"/>
      <c r="BG240" s="101"/>
      <c r="BK240" s="101"/>
      <c r="BL240" s="101"/>
      <c r="BM240" s="101"/>
      <c r="BN240" s="101"/>
      <c r="BO240" s="101"/>
      <c r="BP240" s="101"/>
      <c r="BQ240" s="101"/>
      <c r="BR240" s="104"/>
      <c r="BS240" s="104"/>
      <c r="BT240" s="104"/>
      <c r="BU240" s="104"/>
      <c r="BV240" s="104"/>
      <c r="BW240" s="104"/>
      <c r="BX240" s="104"/>
      <c r="BY240" s="104"/>
      <c r="BZ240" s="104"/>
      <c r="CA240" s="104"/>
      <c r="CB240" s="104"/>
      <c r="CC240" s="104"/>
      <c r="CD240" s="104"/>
      <c r="CE240" s="104"/>
      <c r="CF240" s="104"/>
      <c r="CG240" s="104"/>
      <c r="CH240" s="104"/>
      <c r="CI240" s="104"/>
      <c r="CJ240" s="104"/>
      <c r="CK240" s="104"/>
      <c r="CL240" s="104"/>
      <c r="CM240" s="104"/>
      <c r="CN240" s="98"/>
      <c r="CP240" s="101"/>
      <c r="CQ240" s="101"/>
      <c r="CR240" s="101"/>
      <c r="CS240" s="101"/>
      <c r="CT240" s="101"/>
      <c r="FJ240" s="103"/>
      <c r="FL240" s="103"/>
      <c r="FN240" s="103"/>
      <c r="FP240" s="103"/>
    </row>
    <row r="241" spans="2:172" x14ac:dyDescent="0.35">
      <c r="B241" s="97"/>
      <c r="G241" s="100"/>
      <c r="K241" s="98"/>
      <c r="L241" s="101"/>
      <c r="M241" s="101"/>
      <c r="N241" s="101"/>
      <c r="O241" s="101"/>
      <c r="P241" s="102"/>
      <c r="Q241" s="101"/>
      <c r="R241" s="98"/>
      <c r="S241" s="98"/>
      <c r="T241" s="98"/>
      <c r="U241" s="98"/>
      <c r="V241" s="98"/>
      <c r="W241" s="98"/>
      <c r="X241" s="103"/>
      <c r="Y241" s="103"/>
      <c r="Z241" s="103"/>
      <c r="AA241" s="103"/>
      <c r="AB241" s="103"/>
      <c r="AC241" s="103"/>
      <c r="AD241" s="103"/>
      <c r="AE241" s="101"/>
      <c r="AF241" s="101"/>
      <c r="AG241" s="101"/>
      <c r="AH241" s="101"/>
      <c r="AI241" s="101"/>
      <c r="AJ241" s="101"/>
      <c r="AK241" s="101"/>
      <c r="AL241" s="103"/>
      <c r="AM241" s="103"/>
      <c r="AN241" s="103"/>
      <c r="AO241" s="103"/>
      <c r="AP241" s="103"/>
      <c r="AQ241" s="103"/>
      <c r="AR241" s="103"/>
      <c r="AS241" s="101"/>
      <c r="AT241" s="101"/>
      <c r="AU241" s="101"/>
      <c r="AV241" s="101"/>
      <c r="AW241" s="101"/>
      <c r="AX241" s="101"/>
      <c r="AY241" s="101"/>
      <c r="AZ241" s="103"/>
      <c r="BA241" s="103"/>
      <c r="BB241" s="103"/>
      <c r="BC241" s="101"/>
      <c r="BD241" s="101"/>
      <c r="BE241" s="101"/>
      <c r="BF241" s="101"/>
      <c r="BG241" s="101"/>
      <c r="BK241" s="101"/>
      <c r="BL241" s="101"/>
      <c r="BM241" s="101"/>
      <c r="BN241" s="101"/>
      <c r="BO241" s="101"/>
      <c r="BP241" s="101"/>
      <c r="BQ241" s="101"/>
      <c r="BR241" s="104"/>
      <c r="BS241" s="104"/>
      <c r="BT241" s="104"/>
      <c r="BU241" s="104"/>
      <c r="BV241" s="104"/>
      <c r="BW241" s="104"/>
      <c r="BX241" s="104"/>
      <c r="BY241" s="104"/>
      <c r="BZ241" s="104"/>
      <c r="CA241" s="104"/>
      <c r="CB241" s="104"/>
      <c r="CC241" s="104"/>
      <c r="CD241" s="104"/>
      <c r="CE241" s="104"/>
      <c r="CF241" s="104"/>
      <c r="CG241" s="104"/>
      <c r="CH241" s="104"/>
      <c r="CI241" s="104"/>
      <c r="CJ241" s="104"/>
      <c r="CK241" s="104"/>
      <c r="CL241" s="104"/>
      <c r="CM241" s="104"/>
      <c r="CN241" s="98"/>
      <c r="CP241" s="101"/>
      <c r="CQ241" s="101"/>
      <c r="CR241" s="101"/>
      <c r="CS241" s="101"/>
      <c r="CT241" s="101"/>
      <c r="FJ241" s="103"/>
      <c r="FL241" s="103"/>
      <c r="FN241" s="103"/>
      <c r="FP241" s="103"/>
    </row>
    <row r="242" spans="2:172" x14ac:dyDescent="0.35">
      <c r="B242" s="97"/>
      <c r="G242" s="100"/>
      <c r="K242" s="98"/>
      <c r="L242" s="101"/>
      <c r="M242" s="101"/>
      <c r="N242" s="101"/>
      <c r="O242" s="101"/>
      <c r="P242" s="102"/>
      <c r="Q242" s="101"/>
      <c r="R242" s="98"/>
      <c r="S242" s="98"/>
      <c r="T242" s="98"/>
      <c r="U242" s="98"/>
      <c r="V242" s="98"/>
      <c r="W242" s="98"/>
      <c r="X242" s="103"/>
      <c r="Y242" s="103"/>
      <c r="Z242" s="103"/>
      <c r="AA242" s="103"/>
      <c r="AB242" s="103"/>
      <c r="AC242" s="103"/>
      <c r="AD242" s="103"/>
      <c r="AE242" s="101"/>
      <c r="AF242" s="101"/>
      <c r="AG242" s="101"/>
      <c r="AH242" s="101"/>
      <c r="AI242" s="101"/>
      <c r="AJ242" s="101"/>
      <c r="AK242" s="101"/>
      <c r="AL242" s="103"/>
      <c r="AM242" s="103"/>
      <c r="AN242" s="103"/>
      <c r="AO242" s="103"/>
      <c r="AP242" s="103"/>
      <c r="AQ242" s="103"/>
      <c r="AR242" s="103"/>
      <c r="AS242" s="101"/>
      <c r="AT242" s="101"/>
      <c r="AU242" s="101"/>
      <c r="AV242" s="101"/>
      <c r="AW242" s="101"/>
      <c r="AX242" s="101"/>
      <c r="AY242" s="101"/>
      <c r="AZ242" s="103"/>
      <c r="BA242" s="103"/>
      <c r="BB242" s="103"/>
      <c r="BC242" s="101"/>
      <c r="BD242" s="101"/>
      <c r="BE242" s="101"/>
      <c r="BF242" s="101"/>
      <c r="BG242" s="101"/>
      <c r="BK242" s="101"/>
      <c r="BL242" s="101"/>
      <c r="BM242" s="101"/>
      <c r="BN242" s="101"/>
      <c r="BO242" s="101"/>
      <c r="BP242" s="101"/>
      <c r="BQ242" s="101"/>
      <c r="BR242" s="104"/>
      <c r="BS242" s="104"/>
      <c r="BT242" s="104"/>
      <c r="BU242" s="104"/>
      <c r="BV242" s="104"/>
      <c r="BW242" s="104"/>
      <c r="BX242" s="104"/>
      <c r="BY242" s="104"/>
      <c r="BZ242" s="104"/>
      <c r="CA242" s="104"/>
      <c r="CB242" s="104"/>
      <c r="CC242" s="104"/>
      <c r="CD242" s="104"/>
      <c r="CE242" s="104"/>
      <c r="CF242" s="104"/>
      <c r="CG242" s="104"/>
      <c r="CH242" s="104"/>
      <c r="CI242" s="104"/>
      <c r="CJ242" s="104"/>
      <c r="CK242" s="104"/>
      <c r="CL242" s="104"/>
      <c r="CM242" s="104"/>
      <c r="CN242" s="98"/>
      <c r="CP242" s="101"/>
      <c r="CQ242" s="101"/>
      <c r="CR242" s="101"/>
      <c r="CS242" s="101"/>
      <c r="CT242" s="101"/>
      <c r="FJ242" s="103"/>
      <c r="FL242" s="103"/>
      <c r="FN242" s="103"/>
      <c r="FP242" s="103"/>
    </row>
    <row r="243" spans="2:172" x14ac:dyDescent="0.35">
      <c r="B243" s="97"/>
      <c r="G243" s="100"/>
      <c r="K243" s="98"/>
      <c r="L243" s="101"/>
      <c r="M243" s="101"/>
      <c r="N243" s="101"/>
      <c r="O243" s="101"/>
      <c r="P243" s="102"/>
      <c r="Q243" s="101"/>
      <c r="R243" s="98"/>
      <c r="S243" s="98"/>
      <c r="T243" s="98"/>
      <c r="U243" s="98"/>
      <c r="V243" s="98"/>
      <c r="W243" s="98"/>
      <c r="X243" s="103"/>
      <c r="Y243" s="103"/>
      <c r="Z243" s="103"/>
      <c r="AA243" s="103"/>
      <c r="AB243" s="103"/>
      <c r="AC243" s="103"/>
      <c r="AD243" s="103"/>
      <c r="AE243" s="101"/>
      <c r="AF243" s="101"/>
      <c r="AG243" s="101"/>
      <c r="AH243" s="101"/>
      <c r="AI243" s="101"/>
      <c r="AJ243" s="101"/>
      <c r="AK243" s="101"/>
      <c r="AL243" s="103"/>
      <c r="AM243" s="103"/>
      <c r="AN243" s="103"/>
      <c r="AO243" s="103"/>
      <c r="AP243" s="103"/>
      <c r="AQ243" s="103"/>
      <c r="AR243" s="103"/>
      <c r="AS243" s="101"/>
      <c r="AT243" s="101"/>
      <c r="AU243" s="101"/>
      <c r="AV243" s="101"/>
      <c r="AW243" s="101"/>
      <c r="AX243" s="101"/>
      <c r="AY243" s="101"/>
      <c r="AZ243" s="103"/>
      <c r="BA243" s="103"/>
      <c r="BB243" s="103"/>
      <c r="BC243" s="101"/>
      <c r="BD243" s="101"/>
      <c r="BE243" s="101"/>
      <c r="BF243" s="101"/>
      <c r="BG243" s="101"/>
      <c r="BK243" s="101"/>
      <c r="BL243" s="101"/>
      <c r="BM243" s="101"/>
      <c r="BN243" s="101"/>
      <c r="BO243" s="101"/>
      <c r="BP243" s="101"/>
      <c r="BQ243" s="101"/>
      <c r="BR243" s="104"/>
      <c r="BS243" s="104"/>
      <c r="BT243" s="104"/>
      <c r="BU243" s="104"/>
      <c r="BV243" s="104"/>
      <c r="BW243" s="104"/>
      <c r="BX243" s="104"/>
      <c r="BY243" s="104"/>
      <c r="BZ243" s="104"/>
      <c r="CA243" s="104"/>
      <c r="CB243" s="104"/>
      <c r="CC243" s="104"/>
      <c r="CD243" s="104"/>
      <c r="CE243" s="104"/>
      <c r="CF243" s="104"/>
      <c r="CG243" s="104"/>
      <c r="CH243" s="104"/>
      <c r="CI243" s="104"/>
      <c r="CJ243" s="104"/>
      <c r="CK243" s="104"/>
      <c r="CL243" s="104"/>
      <c r="CM243" s="104"/>
      <c r="CN243" s="98"/>
      <c r="CP243" s="101"/>
      <c r="CQ243" s="101"/>
      <c r="CR243" s="101"/>
      <c r="CS243" s="101"/>
      <c r="CT243" s="101"/>
      <c r="FJ243" s="103"/>
      <c r="FL243" s="103"/>
      <c r="FN243" s="103"/>
      <c r="FP243" s="103"/>
    </row>
    <row r="244" spans="2:172" x14ac:dyDescent="0.35">
      <c r="B244" s="97"/>
      <c r="G244" s="100"/>
      <c r="K244" s="98"/>
      <c r="L244" s="101"/>
      <c r="M244" s="101"/>
      <c r="N244" s="101"/>
      <c r="O244" s="101"/>
      <c r="P244" s="102"/>
      <c r="Q244" s="101"/>
      <c r="R244" s="98"/>
      <c r="S244" s="98"/>
      <c r="T244" s="98"/>
      <c r="U244" s="98"/>
      <c r="V244" s="98"/>
      <c r="W244" s="98"/>
      <c r="X244" s="103"/>
      <c r="Y244" s="103"/>
      <c r="Z244" s="103"/>
      <c r="AA244" s="103"/>
      <c r="AB244" s="103"/>
      <c r="AC244" s="103"/>
      <c r="AD244" s="103"/>
      <c r="AE244" s="101"/>
      <c r="AF244" s="101"/>
      <c r="AG244" s="101"/>
      <c r="AH244" s="101"/>
      <c r="AI244" s="101"/>
      <c r="AJ244" s="101"/>
      <c r="AK244" s="101"/>
      <c r="AL244" s="103"/>
      <c r="AM244" s="103"/>
      <c r="AN244" s="103"/>
      <c r="AO244" s="103"/>
      <c r="AP244" s="103"/>
      <c r="AQ244" s="103"/>
      <c r="AR244" s="103"/>
      <c r="AS244" s="101"/>
      <c r="AT244" s="101"/>
      <c r="AU244" s="101"/>
      <c r="AV244" s="101"/>
      <c r="AW244" s="101"/>
      <c r="AX244" s="101"/>
      <c r="AY244" s="101"/>
      <c r="AZ244" s="103"/>
      <c r="BA244" s="103"/>
      <c r="BB244" s="103"/>
      <c r="BC244" s="101"/>
      <c r="BD244" s="101"/>
      <c r="BE244" s="101"/>
      <c r="BF244" s="101"/>
      <c r="BG244" s="101"/>
      <c r="BK244" s="101"/>
      <c r="BL244" s="101"/>
      <c r="BM244" s="101"/>
      <c r="BN244" s="101"/>
      <c r="BO244" s="101"/>
      <c r="BP244" s="101"/>
      <c r="BQ244" s="101"/>
      <c r="BR244" s="104"/>
      <c r="BS244" s="104"/>
      <c r="BT244" s="104"/>
      <c r="BU244" s="104"/>
      <c r="BV244" s="104"/>
      <c r="BW244" s="104"/>
      <c r="BX244" s="104"/>
      <c r="BY244" s="104"/>
      <c r="BZ244" s="104"/>
      <c r="CA244" s="104"/>
      <c r="CB244" s="104"/>
      <c r="CC244" s="104"/>
      <c r="CD244" s="104"/>
      <c r="CE244" s="104"/>
      <c r="CF244" s="104"/>
      <c r="CG244" s="104"/>
      <c r="CH244" s="104"/>
      <c r="CI244" s="104"/>
      <c r="CJ244" s="104"/>
      <c r="CK244" s="104"/>
      <c r="CL244" s="104"/>
      <c r="CM244" s="104"/>
      <c r="CN244" s="98"/>
      <c r="CP244" s="101"/>
      <c r="CQ244" s="101"/>
      <c r="CR244" s="101"/>
      <c r="CS244" s="101"/>
      <c r="CT244" s="101"/>
      <c r="FJ244" s="103"/>
      <c r="FL244" s="103"/>
      <c r="FN244" s="103"/>
      <c r="FP244" s="103"/>
    </row>
    <row r="245" spans="2:172" x14ac:dyDescent="0.35">
      <c r="B245" s="97"/>
      <c r="G245" s="100"/>
      <c r="K245" s="98"/>
      <c r="L245" s="101"/>
      <c r="M245" s="101"/>
      <c r="N245" s="101"/>
      <c r="O245" s="101"/>
      <c r="P245" s="102"/>
      <c r="Q245" s="101"/>
      <c r="R245" s="98"/>
      <c r="S245" s="98"/>
      <c r="T245" s="98"/>
      <c r="U245" s="98"/>
      <c r="V245" s="98"/>
      <c r="W245" s="98"/>
      <c r="X245" s="103"/>
      <c r="Y245" s="103"/>
      <c r="Z245" s="103"/>
      <c r="AA245" s="103"/>
      <c r="AB245" s="103"/>
      <c r="AC245" s="103"/>
      <c r="AD245" s="103"/>
      <c r="AE245" s="101"/>
      <c r="AF245" s="101"/>
      <c r="AG245" s="101"/>
      <c r="AH245" s="101"/>
      <c r="AI245" s="101"/>
      <c r="AJ245" s="101"/>
      <c r="AK245" s="101"/>
      <c r="AL245" s="103"/>
      <c r="AM245" s="103"/>
      <c r="AN245" s="103"/>
      <c r="AO245" s="103"/>
      <c r="AP245" s="103"/>
      <c r="AQ245" s="103"/>
      <c r="AR245" s="103"/>
      <c r="AS245" s="101"/>
      <c r="AT245" s="101"/>
      <c r="AU245" s="101"/>
      <c r="AV245" s="101"/>
      <c r="AW245" s="101"/>
      <c r="AX245" s="101"/>
      <c r="AY245" s="101"/>
      <c r="AZ245" s="103"/>
      <c r="BA245" s="103"/>
      <c r="BB245" s="103"/>
      <c r="BC245" s="101"/>
      <c r="BD245" s="101"/>
      <c r="BE245" s="101"/>
      <c r="BF245" s="101"/>
      <c r="BG245" s="101"/>
      <c r="BK245" s="101"/>
      <c r="BL245" s="101"/>
      <c r="BM245" s="101"/>
      <c r="BN245" s="101"/>
      <c r="BO245" s="101"/>
      <c r="BP245" s="101"/>
      <c r="BQ245" s="101"/>
      <c r="BR245" s="104"/>
      <c r="BS245" s="104"/>
      <c r="BT245" s="104"/>
      <c r="BU245" s="104"/>
      <c r="BV245" s="104"/>
      <c r="BW245" s="104"/>
      <c r="BX245" s="104"/>
      <c r="BY245" s="104"/>
      <c r="BZ245" s="104"/>
      <c r="CA245" s="104"/>
      <c r="CB245" s="104"/>
      <c r="CC245" s="104"/>
      <c r="CD245" s="104"/>
      <c r="CE245" s="104"/>
      <c r="CF245" s="104"/>
      <c r="CG245" s="104"/>
      <c r="CH245" s="104"/>
      <c r="CI245" s="104"/>
      <c r="CJ245" s="104"/>
      <c r="CK245" s="104"/>
      <c r="CL245" s="104"/>
      <c r="CM245" s="104"/>
      <c r="CN245" s="98"/>
      <c r="CP245" s="101"/>
      <c r="CQ245" s="101"/>
      <c r="CR245" s="101"/>
      <c r="CS245" s="101"/>
      <c r="CT245" s="101"/>
      <c r="FJ245" s="103"/>
      <c r="FL245" s="103"/>
      <c r="FN245" s="103"/>
      <c r="FP245" s="103"/>
    </row>
    <row r="246" spans="2:172" x14ac:dyDescent="0.35">
      <c r="B246" s="97"/>
      <c r="G246" s="100"/>
      <c r="K246" s="98"/>
      <c r="L246" s="101"/>
      <c r="M246" s="101"/>
      <c r="N246" s="101"/>
      <c r="O246" s="101"/>
      <c r="P246" s="102"/>
      <c r="Q246" s="101"/>
      <c r="R246" s="98"/>
      <c r="S246" s="98"/>
      <c r="T246" s="98"/>
      <c r="U246" s="98"/>
      <c r="V246" s="98"/>
      <c r="W246" s="98"/>
      <c r="X246" s="103"/>
      <c r="Y246" s="103"/>
      <c r="Z246" s="103"/>
      <c r="AA246" s="103"/>
      <c r="AB246" s="103"/>
      <c r="AC246" s="103"/>
      <c r="AD246" s="103"/>
      <c r="AE246" s="101"/>
      <c r="AF246" s="101"/>
      <c r="AG246" s="101"/>
      <c r="AH246" s="101"/>
      <c r="AI246" s="101"/>
      <c r="AJ246" s="101"/>
      <c r="AK246" s="101"/>
      <c r="AL246" s="103"/>
      <c r="AM246" s="103"/>
      <c r="AN246" s="103"/>
      <c r="AO246" s="103"/>
      <c r="AP246" s="103"/>
      <c r="AQ246" s="103"/>
      <c r="AR246" s="103"/>
      <c r="AS246" s="101"/>
      <c r="AT246" s="101"/>
      <c r="AU246" s="101"/>
      <c r="AV246" s="101"/>
      <c r="AW246" s="101"/>
      <c r="AX246" s="101"/>
      <c r="AY246" s="101"/>
      <c r="AZ246" s="103"/>
      <c r="BA246" s="103"/>
      <c r="BB246" s="103"/>
      <c r="BC246" s="101"/>
      <c r="BD246" s="101"/>
      <c r="BE246" s="101"/>
      <c r="BF246" s="101"/>
      <c r="BG246" s="101"/>
      <c r="BK246" s="101"/>
      <c r="BL246" s="101"/>
      <c r="BM246" s="101"/>
      <c r="BN246" s="101"/>
      <c r="BO246" s="101"/>
      <c r="BP246" s="101"/>
      <c r="BQ246" s="101"/>
      <c r="BR246" s="104"/>
      <c r="BS246" s="104"/>
      <c r="BT246" s="104"/>
      <c r="BU246" s="104"/>
      <c r="BV246" s="104"/>
      <c r="BW246" s="104"/>
      <c r="BX246" s="104"/>
      <c r="BY246" s="104"/>
      <c r="BZ246" s="104"/>
      <c r="CA246" s="104"/>
      <c r="CB246" s="104"/>
      <c r="CC246" s="104"/>
      <c r="CD246" s="104"/>
      <c r="CE246" s="104"/>
      <c r="CF246" s="104"/>
      <c r="CG246" s="104"/>
      <c r="CH246" s="104"/>
      <c r="CI246" s="104"/>
      <c r="CJ246" s="104"/>
      <c r="CK246" s="104"/>
      <c r="CL246" s="104"/>
      <c r="CM246" s="104"/>
      <c r="CN246" s="98"/>
      <c r="CP246" s="101"/>
      <c r="CQ246" s="101"/>
      <c r="CR246" s="101"/>
      <c r="CS246" s="101"/>
      <c r="CT246" s="101"/>
      <c r="FJ246" s="103"/>
      <c r="FL246" s="103"/>
      <c r="FN246" s="103"/>
      <c r="FP246" s="103"/>
    </row>
    <row r="247" spans="2:172" x14ac:dyDescent="0.35">
      <c r="B247" s="97"/>
      <c r="G247" s="100"/>
      <c r="K247" s="98"/>
      <c r="L247" s="101"/>
      <c r="M247" s="101"/>
      <c r="N247" s="101"/>
      <c r="O247" s="101"/>
      <c r="P247" s="102"/>
      <c r="Q247" s="101"/>
      <c r="R247" s="98"/>
      <c r="S247" s="98"/>
      <c r="T247" s="98"/>
      <c r="U247" s="98"/>
      <c r="V247" s="98"/>
      <c r="W247" s="98"/>
      <c r="X247" s="103"/>
      <c r="Y247" s="103"/>
      <c r="Z247" s="103"/>
      <c r="AA247" s="103"/>
      <c r="AB247" s="103"/>
      <c r="AC247" s="103"/>
      <c r="AD247" s="103"/>
      <c r="AE247" s="101"/>
      <c r="AF247" s="101"/>
      <c r="AG247" s="101"/>
      <c r="AH247" s="101"/>
      <c r="AI247" s="101"/>
      <c r="AJ247" s="101"/>
      <c r="AK247" s="101"/>
      <c r="AL247" s="103"/>
      <c r="AM247" s="103"/>
      <c r="AN247" s="103"/>
      <c r="AO247" s="103"/>
      <c r="AP247" s="103"/>
      <c r="AQ247" s="103"/>
      <c r="AR247" s="103"/>
      <c r="AS247" s="101"/>
      <c r="AT247" s="101"/>
      <c r="AU247" s="101"/>
      <c r="AV247" s="101"/>
      <c r="AW247" s="101"/>
      <c r="AX247" s="101"/>
      <c r="AY247" s="101"/>
      <c r="AZ247" s="103"/>
      <c r="BA247" s="103"/>
      <c r="BB247" s="103"/>
      <c r="BC247" s="101"/>
      <c r="BD247" s="101"/>
      <c r="BE247" s="101"/>
      <c r="BF247" s="101"/>
      <c r="BG247" s="101"/>
      <c r="BK247" s="101"/>
      <c r="BL247" s="101"/>
      <c r="BM247" s="101"/>
      <c r="BN247" s="101"/>
      <c r="BO247" s="101"/>
      <c r="BP247" s="101"/>
      <c r="BQ247" s="101"/>
      <c r="BR247" s="104"/>
      <c r="BS247" s="104"/>
      <c r="BT247" s="104"/>
      <c r="BU247" s="104"/>
      <c r="BV247" s="104"/>
      <c r="BW247" s="104"/>
      <c r="BX247" s="104"/>
      <c r="BY247" s="104"/>
      <c r="BZ247" s="104"/>
      <c r="CA247" s="104"/>
      <c r="CB247" s="104"/>
      <c r="CC247" s="104"/>
      <c r="CD247" s="104"/>
      <c r="CE247" s="104"/>
      <c r="CF247" s="104"/>
      <c r="CG247" s="104"/>
      <c r="CH247" s="104"/>
      <c r="CI247" s="104"/>
      <c r="CJ247" s="104"/>
      <c r="CK247" s="104"/>
      <c r="CL247" s="104"/>
      <c r="CM247" s="104"/>
      <c r="CN247" s="98"/>
      <c r="CP247" s="101"/>
      <c r="CQ247" s="101"/>
      <c r="CR247" s="101"/>
      <c r="CS247" s="101"/>
      <c r="CT247" s="101"/>
      <c r="FJ247" s="103"/>
      <c r="FL247" s="103"/>
      <c r="FN247" s="103"/>
      <c r="FP247" s="103"/>
    </row>
    <row r="248" spans="2:172" x14ac:dyDescent="0.35">
      <c r="B248" s="97"/>
      <c r="G248" s="100"/>
      <c r="K248" s="98"/>
      <c r="L248" s="101"/>
      <c r="M248" s="101"/>
      <c r="N248" s="101"/>
      <c r="O248" s="101"/>
      <c r="P248" s="102"/>
      <c r="Q248" s="101"/>
      <c r="R248" s="98"/>
      <c r="S248" s="98"/>
      <c r="T248" s="98"/>
      <c r="U248" s="98"/>
      <c r="V248" s="98"/>
      <c r="W248" s="98"/>
      <c r="X248" s="103"/>
      <c r="Y248" s="103"/>
      <c r="Z248" s="103"/>
      <c r="AA248" s="103"/>
      <c r="AB248" s="103"/>
      <c r="AC248" s="103"/>
      <c r="AD248" s="103"/>
      <c r="AE248" s="101"/>
      <c r="AF248" s="101"/>
      <c r="AG248" s="101"/>
      <c r="AH248" s="101"/>
      <c r="AI248" s="101"/>
      <c r="AJ248" s="101"/>
      <c r="AK248" s="101"/>
      <c r="AL248" s="103"/>
      <c r="AM248" s="103"/>
      <c r="AN248" s="103"/>
      <c r="AO248" s="103"/>
      <c r="AP248" s="103"/>
      <c r="AQ248" s="103"/>
      <c r="AR248" s="103"/>
      <c r="AS248" s="101"/>
      <c r="AT248" s="101"/>
      <c r="AU248" s="101"/>
      <c r="AV248" s="101"/>
      <c r="AW248" s="101"/>
      <c r="AX248" s="101"/>
      <c r="AY248" s="101"/>
      <c r="AZ248" s="103"/>
      <c r="BA248" s="103"/>
      <c r="BB248" s="103"/>
      <c r="BC248" s="101"/>
      <c r="BD248" s="101"/>
      <c r="BE248" s="101"/>
      <c r="BF248" s="101"/>
      <c r="BG248" s="101"/>
      <c r="BK248" s="101"/>
      <c r="BL248" s="101"/>
      <c r="BM248" s="101"/>
      <c r="BN248" s="101"/>
      <c r="BO248" s="101"/>
      <c r="BP248" s="101"/>
      <c r="BQ248" s="101"/>
      <c r="BR248" s="104"/>
      <c r="BS248" s="104"/>
      <c r="BT248" s="104"/>
      <c r="BU248" s="104"/>
      <c r="BV248" s="104"/>
      <c r="BW248" s="104"/>
      <c r="BX248" s="104"/>
      <c r="BY248" s="104"/>
      <c r="BZ248" s="104"/>
      <c r="CA248" s="104"/>
      <c r="CB248" s="104"/>
      <c r="CC248" s="104"/>
      <c r="CD248" s="104"/>
      <c r="CE248" s="104"/>
      <c r="CF248" s="104"/>
      <c r="CG248" s="104"/>
      <c r="CH248" s="104"/>
      <c r="CI248" s="104"/>
      <c r="CJ248" s="104"/>
      <c r="CK248" s="104"/>
      <c r="CL248" s="104"/>
      <c r="CM248" s="104"/>
      <c r="CN248" s="98"/>
      <c r="CP248" s="101"/>
      <c r="CQ248" s="101"/>
      <c r="CR248" s="101"/>
      <c r="CS248" s="101"/>
      <c r="CT248" s="101"/>
      <c r="FJ248" s="103"/>
      <c r="FL248" s="103"/>
      <c r="FN248" s="103"/>
      <c r="FP248" s="103"/>
    </row>
    <row r="249" spans="2:172" x14ac:dyDescent="0.35">
      <c r="B249" s="97"/>
      <c r="G249" s="100"/>
      <c r="K249" s="98"/>
      <c r="L249" s="101"/>
      <c r="M249" s="101"/>
      <c r="N249" s="101"/>
      <c r="O249" s="101"/>
      <c r="P249" s="102"/>
      <c r="Q249" s="101"/>
      <c r="R249" s="98"/>
      <c r="S249" s="98"/>
      <c r="T249" s="98"/>
      <c r="U249" s="98"/>
      <c r="V249" s="98"/>
      <c r="W249" s="98"/>
      <c r="X249" s="103"/>
      <c r="Y249" s="103"/>
      <c r="Z249" s="103"/>
      <c r="AA249" s="103"/>
      <c r="AB249" s="103"/>
      <c r="AC249" s="103"/>
      <c r="AD249" s="103"/>
      <c r="AE249" s="101"/>
      <c r="AF249" s="101"/>
      <c r="AG249" s="101"/>
      <c r="AH249" s="101"/>
      <c r="AI249" s="101"/>
      <c r="AJ249" s="101"/>
      <c r="AK249" s="101"/>
      <c r="AL249" s="103"/>
      <c r="AM249" s="103"/>
      <c r="AN249" s="103"/>
      <c r="AO249" s="103"/>
      <c r="AP249" s="103"/>
      <c r="AQ249" s="103"/>
      <c r="AR249" s="103"/>
      <c r="AS249" s="101"/>
      <c r="AT249" s="101"/>
      <c r="AU249" s="101"/>
      <c r="AV249" s="101"/>
      <c r="AW249" s="101"/>
      <c r="AX249" s="101"/>
      <c r="AY249" s="101"/>
      <c r="AZ249" s="103"/>
      <c r="BA249" s="103"/>
      <c r="BB249" s="103"/>
      <c r="BC249" s="101"/>
      <c r="BD249" s="101"/>
      <c r="BE249" s="101"/>
      <c r="BF249" s="101"/>
      <c r="BG249" s="101"/>
      <c r="BK249" s="101"/>
      <c r="BL249" s="101"/>
      <c r="BM249" s="101"/>
      <c r="BN249" s="101"/>
      <c r="BO249" s="101"/>
      <c r="BP249" s="101"/>
      <c r="BQ249" s="101"/>
      <c r="BR249" s="104"/>
      <c r="BS249" s="104"/>
      <c r="BT249" s="104"/>
      <c r="BU249" s="104"/>
      <c r="BV249" s="104"/>
      <c r="BW249" s="104"/>
      <c r="BX249" s="104"/>
      <c r="BY249" s="104"/>
      <c r="BZ249" s="104"/>
      <c r="CA249" s="104"/>
      <c r="CB249" s="104"/>
      <c r="CC249" s="104"/>
      <c r="CD249" s="104"/>
      <c r="CE249" s="104"/>
      <c r="CF249" s="104"/>
      <c r="CG249" s="104"/>
      <c r="CH249" s="104"/>
      <c r="CI249" s="104"/>
      <c r="CJ249" s="104"/>
      <c r="CK249" s="104"/>
      <c r="CL249" s="104"/>
      <c r="CM249" s="104"/>
      <c r="CN249" s="98"/>
      <c r="CP249" s="101"/>
      <c r="CQ249" s="101"/>
      <c r="CR249" s="101"/>
      <c r="CS249" s="101"/>
      <c r="CT249" s="101"/>
      <c r="FJ249" s="103"/>
      <c r="FL249" s="103"/>
      <c r="FN249" s="103"/>
      <c r="FP249" s="103"/>
    </row>
    <row r="250" spans="2:172" x14ac:dyDescent="0.35">
      <c r="B250" s="97"/>
      <c r="G250" s="100"/>
      <c r="K250" s="98"/>
      <c r="L250" s="101"/>
      <c r="M250" s="101"/>
      <c r="N250" s="101"/>
      <c r="O250" s="101"/>
      <c r="P250" s="102"/>
      <c r="Q250" s="101"/>
      <c r="R250" s="98"/>
      <c r="S250" s="98"/>
      <c r="T250" s="98"/>
      <c r="U250" s="98"/>
      <c r="V250" s="98"/>
      <c r="W250" s="98"/>
      <c r="X250" s="103"/>
      <c r="Y250" s="103"/>
      <c r="Z250" s="103"/>
      <c r="AA250" s="103"/>
      <c r="AB250" s="103"/>
      <c r="AC250" s="103"/>
      <c r="AD250" s="103"/>
      <c r="AE250" s="101"/>
      <c r="AF250" s="101"/>
      <c r="AG250" s="101"/>
      <c r="AH250" s="101"/>
      <c r="AI250" s="101"/>
      <c r="AJ250" s="101"/>
      <c r="AK250" s="101"/>
      <c r="AL250" s="103"/>
      <c r="AM250" s="103"/>
      <c r="AN250" s="103"/>
      <c r="AO250" s="103"/>
      <c r="AP250" s="103"/>
      <c r="AQ250" s="103"/>
      <c r="AR250" s="103"/>
      <c r="AS250" s="101"/>
      <c r="AT250" s="101"/>
      <c r="AU250" s="101"/>
      <c r="AV250" s="101"/>
      <c r="AW250" s="101"/>
      <c r="AX250" s="101"/>
      <c r="AY250" s="101"/>
      <c r="AZ250" s="103"/>
      <c r="BA250" s="103"/>
      <c r="BB250" s="103"/>
      <c r="BC250" s="101"/>
      <c r="BD250" s="101"/>
      <c r="BE250" s="101"/>
      <c r="BF250" s="101"/>
      <c r="BG250" s="101"/>
      <c r="BK250" s="101"/>
      <c r="BL250" s="101"/>
      <c r="BM250" s="101"/>
      <c r="BN250" s="101"/>
      <c r="BO250" s="101"/>
      <c r="BP250" s="101"/>
      <c r="BQ250" s="101"/>
      <c r="BR250" s="104"/>
      <c r="BS250" s="104"/>
      <c r="BT250" s="104"/>
      <c r="BU250" s="104"/>
      <c r="BV250" s="104"/>
      <c r="BW250" s="104"/>
      <c r="BX250" s="104"/>
      <c r="BY250" s="104"/>
      <c r="BZ250" s="104"/>
      <c r="CA250" s="104"/>
      <c r="CB250" s="104"/>
      <c r="CC250" s="104"/>
      <c r="CD250" s="104"/>
      <c r="CE250" s="104"/>
      <c r="CF250" s="104"/>
      <c r="CG250" s="104"/>
      <c r="CH250" s="104"/>
      <c r="CI250" s="104"/>
      <c r="CJ250" s="104"/>
      <c r="CK250" s="104"/>
      <c r="CL250" s="104"/>
      <c r="CM250" s="104"/>
      <c r="CN250" s="98"/>
      <c r="CP250" s="101"/>
      <c r="CQ250" s="101"/>
      <c r="CR250" s="101"/>
      <c r="CS250" s="101"/>
      <c r="CT250" s="101"/>
      <c r="FJ250" s="103"/>
      <c r="FL250" s="103"/>
      <c r="FN250" s="103"/>
      <c r="FP250" s="103"/>
    </row>
    <row r="251" spans="2:172" x14ac:dyDescent="0.35">
      <c r="B251" s="97"/>
      <c r="G251" s="100"/>
      <c r="K251" s="98"/>
      <c r="L251" s="101"/>
      <c r="M251" s="101"/>
      <c r="N251" s="101"/>
      <c r="O251" s="101"/>
      <c r="P251" s="102"/>
      <c r="Q251" s="101"/>
      <c r="R251" s="98"/>
      <c r="S251" s="98"/>
      <c r="T251" s="98"/>
      <c r="U251" s="98"/>
      <c r="V251" s="98"/>
      <c r="W251" s="98"/>
      <c r="X251" s="103"/>
      <c r="Y251" s="103"/>
      <c r="Z251" s="103"/>
      <c r="AA251" s="103"/>
      <c r="AB251" s="103"/>
      <c r="AC251" s="103"/>
      <c r="AD251" s="103"/>
      <c r="AE251" s="101"/>
      <c r="AF251" s="101"/>
      <c r="AG251" s="101"/>
      <c r="AH251" s="101"/>
      <c r="AI251" s="101"/>
      <c r="AJ251" s="101"/>
      <c r="AK251" s="101"/>
      <c r="AL251" s="103"/>
      <c r="AM251" s="103"/>
      <c r="AN251" s="103"/>
      <c r="AO251" s="103"/>
      <c r="AP251" s="103"/>
      <c r="AQ251" s="103"/>
      <c r="AR251" s="103"/>
      <c r="AS251" s="101"/>
      <c r="AT251" s="101"/>
      <c r="AU251" s="101"/>
      <c r="AV251" s="101"/>
      <c r="AW251" s="101"/>
      <c r="AX251" s="101"/>
      <c r="AY251" s="101"/>
      <c r="AZ251" s="103"/>
      <c r="BA251" s="103"/>
      <c r="BB251" s="103"/>
      <c r="BC251" s="101"/>
      <c r="BD251" s="101"/>
      <c r="BE251" s="101"/>
      <c r="BF251" s="101"/>
      <c r="BG251" s="101"/>
      <c r="BK251" s="101"/>
      <c r="BL251" s="101"/>
      <c r="BM251" s="101"/>
      <c r="BN251" s="101"/>
      <c r="BO251" s="101"/>
      <c r="BP251" s="101"/>
      <c r="BQ251" s="101"/>
      <c r="BR251" s="104"/>
      <c r="BS251" s="104"/>
      <c r="BT251" s="104"/>
      <c r="BU251" s="104"/>
      <c r="BV251" s="104"/>
      <c r="BW251" s="104"/>
      <c r="BX251" s="104"/>
      <c r="BY251" s="104"/>
      <c r="BZ251" s="104"/>
      <c r="CA251" s="104"/>
      <c r="CB251" s="104"/>
      <c r="CC251" s="104"/>
      <c r="CD251" s="104"/>
      <c r="CE251" s="104"/>
      <c r="CF251" s="104"/>
      <c r="CG251" s="104"/>
      <c r="CH251" s="104"/>
      <c r="CI251" s="104"/>
      <c r="CJ251" s="104"/>
      <c r="CK251" s="104"/>
      <c r="CL251" s="104"/>
      <c r="CM251" s="104"/>
      <c r="CN251" s="98"/>
      <c r="CP251" s="101"/>
      <c r="CQ251" s="101"/>
      <c r="CR251" s="101"/>
      <c r="CS251" s="101"/>
      <c r="CT251" s="101"/>
      <c r="FJ251" s="103"/>
      <c r="FL251" s="103"/>
      <c r="FN251" s="103"/>
      <c r="FP251" s="103"/>
    </row>
    <row r="252" spans="2:172" x14ac:dyDescent="0.35">
      <c r="B252" s="97"/>
      <c r="G252" s="100"/>
      <c r="K252" s="98"/>
      <c r="L252" s="101"/>
      <c r="M252" s="101"/>
      <c r="N252" s="101"/>
      <c r="O252" s="101"/>
      <c r="P252" s="102"/>
      <c r="Q252" s="101"/>
      <c r="R252" s="98"/>
      <c r="S252" s="98"/>
      <c r="T252" s="98"/>
      <c r="U252" s="98"/>
      <c r="V252" s="98"/>
      <c r="W252" s="98"/>
      <c r="X252" s="103"/>
      <c r="Y252" s="103"/>
      <c r="Z252" s="103"/>
      <c r="AA252" s="103"/>
      <c r="AB252" s="103"/>
      <c r="AC252" s="103"/>
      <c r="AD252" s="103"/>
      <c r="AE252" s="101"/>
      <c r="AF252" s="101"/>
      <c r="AG252" s="101"/>
      <c r="AH252" s="101"/>
      <c r="AI252" s="101"/>
      <c r="AJ252" s="101"/>
      <c r="AK252" s="101"/>
      <c r="AL252" s="103"/>
      <c r="AM252" s="103"/>
      <c r="AN252" s="103"/>
      <c r="AO252" s="103"/>
      <c r="AP252" s="103"/>
      <c r="AQ252" s="103"/>
      <c r="AR252" s="103"/>
      <c r="AS252" s="101"/>
      <c r="AT252" s="101"/>
      <c r="AU252" s="101"/>
      <c r="AV252" s="101"/>
      <c r="AW252" s="101"/>
      <c r="AX252" s="101"/>
      <c r="AY252" s="101"/>
      <c r="AZ252" s="103"/>
      <c r="BA252" s="103"/>
      <c r="BB252" s="103"/>
      <c r="BC252" s="101"/>
      <c r="BD252" s="101"/>
      <c r="BE252" s="101"/>
      <c r="BF252" s="101"/>
      <c r="BG252" s="101"/>
      <c r="BK252" s="101"/>
      <c r="BL252" s="101"/>
      <c r="BM252" s="101"/>
      <c r="BN252" s="101"/>
      <c r="BO252" s="101"/>
      <c r="BP252" s="101"/>
      <c r="BQ252" s="101"/>
      <c r="BR252" s="104"/>
      <c r="BS252" s="104"/>
      <c r="BT252" s="104"/>
      <c r="BU252" s="104"/>
      <c r="BV252" s="104"/>
      <c r="BW252" s="104"/>
      <c r="BX252" s="104"/>
      <c r="BY252" s="104"/>
      <c r="BZ252" s="104"/>
      <c r="CA252" s="104"/>
      <c r="CB252" s="104"/>
      <c r="CC252" s="104"/>
      <c r="CD252" s="104"/>
      <c r="CE252" s="104"/>
      <c r="CF252" s="104"/>
      <c r="CG252" s="104"/>
      <c r="CH252" s="104"/>
      <c r="CI252" s="104"/>
      <c r="CJ252" s="104"/>
      <c r="CK252" s="104"/>
      <c r="CL252" s="104"/>
      <c r="CM252" s="104"/>
      <c r="CN252" s="98"/>
      <c r="CP252" s="101"/>
      <c r="CQ252" s="101"/>
      <c r="CR252" s="101"/>
      <c r="CS252" s="101"/>
      <c r="CT252" s="101"/>
      <c r="FJ252" s="103"/>
      <c r="FL252" s="103"/>
      <c r="FN252" s="103"/>
      <c r="FP252" s="103"/>
    </row>
    <row r="253" spans="2:172" x14ac:dyDescent="0.35">
      <c r="B253" s="97"/>
      <c r="G253" s="100"/>
      <c r="K253" s="98"/>
      <c r="L253" s="101"/>
      <c r="M253" s="101"/>
      <c r="N253" s="101"/>
      <c r="O253" s="101"/>
      <c r="P253" s="102"/>
      <c r="Q253" s="101"/>
      <c r="R253" s="98"/>
      <c r="S253" s="98"/>
      <c r="T253" s="98"/>
      <c r="U253" s="98"/>
      <c r="V253" s="98"/>
      <c r="W253" s="98"/>
      <c r="X253" s="103"/>
      <c r="Y253" s="103"/>
      <c r="Z253" s="103"/>
      <c r="AA253" s="103"/>
      <c r="AB253" s="103"/>
      <c r="AC253" s="103"/>
      <c r="AD253" s="103"/>
      <c r="AE253" s="101"/>
      <c r="AF253" s="101"/>
      <c r="AG253" s="101"/>
      <c r="AH253" s="101"/>
      <c r="AI253" s="101"/>
      <c r="AJ253" s="101"/>
      <c r="AK253" s="101"/>
      <c r="AL253" s="103"/>
      <c r="AM253" s="103"/>
      <c r="AN253" s="103"/>
      <c r="AO253" s="103"/>
      <c r="AP253" s="103"/>
      <c r="AQ253" s="103"/>
      <c r="AR253" s="103"/>
      <c r="AS253" s="101"/>
      <c r="AT253" s="101"/>
      <c r="AU253" s="101"/>
      <c r="AV253" s="101"/>
      <c r="AW253" s="101"/>
      <c r="AX253" s="101"/>
      <c r="AY253" s="101"/>
      <c r="AZ253" s="103"/>
      <c r="BA253" s="103"/>
      <c r="BB253" s="103"/>
      <c r="BC253" s="101"/>
      <c r="BD253" s="101"/>
      <c r="BE253" s="101"/>
      <c r="BF253" s="101"/>
      <c r="BG253" s="101"/>
      <c r="BK253" s="101"/>
      <c r="BL253" s="101"/>
      <c r="BM253" s="101"/>
      <c r="BN253" s="101"/>
      <c r="BO253" s="101"/>
      <c r="BP253" s="101"/>
      <c r="BQ253" s="101"/>
      <c r="BR253" s="104"/>
      <c r="BS253" s="104"/>
      <c r="BT253" s="104"/>
      <c r="BU253" s="104"/>
      <c r="BV253" s="104"/>
      <c r="BW253" s="104"/>
      <c r="BX253" s="104"/>
      <c r="BY253" s="104"/>
      <c r="BZ253" s="104"/>
      <c r="CA253" s="104"/>
      <c r="CB253" s="104"/>
      <c r="CC253" s="104"/>
      <c r="CD253" s="104"/>
      <c r="CE253" s="104"/>
      <c r="CF253" s="104"/>
      <c r="CG253" s="104"/>
      <c r="CH253" s="104"/>
      <c r="CI253" s="104"/>
      <c r="CJ253" s="104"/>
      <c r="CK253" s="104"/>
      <c r="CL253" s="104"/>
      <c r="CM253" s="104"/>
      <c r="CN253" s="98"/>
      <c r="CP253" s="101"/>
      <c r="CQ253" s="101"/>
      <c r="CR253" s="101"/>
      <c r="CS253" s="101"/>
      <c r="CT253" s="101"/>
      <c r="FJ253" s="103"/>
      <c r="FL253" s="103"/>
      <c r="FN253" s="103"/>
      <c r="FP253" s="103"/>
    </row>
    <row r="254" spans="2:172" x14ac:dyDescent="0.35">
      <c r="B254" s="97"/>
      <c r="G254" s="100"/>
      <c r="K254" s="98"/>
      <c r="L254" s="101"/>
      <c r="M254" s="101"/>
      <c r="N254" s="101"/>
      <c r="O254" s="101"/>
      <c r="P254" s="102"/>
      <c r="Q254" s="101"/>
      <c r="R254" s="98"/>
      <c r="S254" s="98"/>
      <c r="T254" s="98"/>
      <c r="U254" s="98"/>
      <c r="V254" s="98"/>
      <c r="W254" s="98"/>
      <c r="X254" s="103"/>
      <c r="Y254" s="103"/>
      <c r="Z254" s="103"/>
      <c r="AA254" s="103"/>
      <c r="AB254" s="103"/>
      <c r="AC254" s="103"/>
      <c r="AD254" s="103"/>
      <c r="AE254" s="101"/>
      <c r="AF254" s="101"/>
      <c r="AG254" s="101"/>
      <c r="AH254" s="101"/>
      <c r="AI254" s="101"/>
      <c r="AJ254" s="101"/>
      <c r="AK254" s="101"/>
      <c r="AL254" s="103"/>
      <c r="AM254" s="103"/>
      <c r="AN254" s="103"/>
      <c r="AO254" s="103"/>
      <c r="AP254" s="103"/>
      <c r="AQ254" s="103"/>
      <c r="AR254" s="103"/>
      <c r="AS254" s="101"/>
      <c r="AT254" s="101"/>
      <c r="AU254" s="101"/>
      <c r="AV254" s="101"/>
      <c r="AW254" s="101"/>
      <c r="AX254" s="101"/>
      <c r="AY254" s="101"/>
      <c r="AZ254" s="103"/>
      <c r="BA254" s="103"/>
      <c r="BB254" s="103"/>
      <c r="BC254" s="101"/>
      <c r="BD254" s="101"/>
      <c r="BE254" s="101"/>
      <c r="BF254" s="101"/>
      <c r="BG254" s="101"/>
      <c r="BK254" s="101"/>
      <c r="BL254" s="101"/>
      <c r="BM254" s="101"/>
      <c r="BN254" s="101"/>
      <c r="BO254" s="101"/>
      <c r="BP254" s="101"/>
      <c r="BQ254" s="101"/>
      <c r="BR254" s="104"/>
      <c r="BS254" s="104"/>
      <c r="BT254" s="104"/>
      <c r="BU254" s="104"/>
      <c r="BV254" s="104"/>
      <c r="BW254" s="104"/>
      <c r="BX254" s="104"/>
      <c r="BY254" s="104"/>
      <c r="BZ254" s="104"/>
      <c r="CA254" s="104"/>
      <c r="CB254" s="104"/>
      <c r="CC254" s="104"/>
      <c r="CD254" s="104"/>
      <c r="CE254" s="104"/>
      <c r="CF254" s="104"/>
      <c r="CG254" s="104"/>
      <c r="CH254" s="104"/>
      <c r="CI254" s="104"/>
      <c r="CJ254" s="104"/>
      <c r="CK254" s="104"/>
      <c r="CL254" s="104"/>
      <c r="CM254" s="104"/>
      <c r="CN254" s="98"/>
      <c r="CP254" s="101"/>
      <c r="CQ254" s="101"/>
      <c r="CR254" s="101"/>
      <c r="CS254" s="101"/>
      <c r="CT254" s="101"/>
      <c r="FJ254" s="103"/>
      <c r="FL254" s="103"/>
      <c r="FN254" s="103"/>
      <c r="FP254" s="103"/>
    </row>
    <row r="255" spans="2:172" x14ac:dyDescent="0.35">
      <c r="B255" s="97"/>
      <c r="G255" s="100"/>
      <c r="K255" s="98"/>
      <c r="L255" s="101"/>
      <c r="M255" s="101"/>
      <c r="N255" s="101"/>
      <c r="O255" s="101"/>
      <c r="P255" s="102"/>
      <c r="Q255" s="101"/>
      <c r="R255" s="98"/>
      <c r="S255" s="98"/>
      <c r="T255" s="98"/>
      <c r="U255" s="98"/>
      <c r="V255" s="98"/>
      <c r="W255" s="98"/>
      <c r="X255" s="103"/>
      <c r="Y255" s="103"/>
      <c r="Z255" s="103"/>
      <c r="AA255" s="103"/>
      <c r="AB255" s="103"/>
      <c r="AC255" s="103"/>
      <c r="AD255" s="103"/>
      <c r="AE255" s="101"/>
      <c r="AF255" s="101"/>
      <c r="AG255" s="101"/>
      <c r="AH255" s="101"/>
      <c r="AI255" s="101"/>
      <c r="AJ255" s="101"/>
      <c r="AK255" s="101"/>
      <c r="AL255" s="103"/>
      <c r="AM255" s="103"/>
      <c r="AN255" s="103"/>
      <c r="AO255" s="103"/>
      <c r="AP255" s="103"/>
      <c r="AQ255" s="103"/>
      <c r="AR255" s="103"/>
      <c r="AS255" s="101"/>
      <c r="AT255" s="101"/>
      <c r="AU255" s="101"/>
      <c r="AV255" s="101"/>
      <c r="AW255" s="101"/>
      <c r="AX255" s="101"/>
      <c r="AY255" s="101"/>
      <c r="AZ255" s="103"/>
      <c r="BA255" s="103"/>
      <c r="BB255" s="103"/>
      <c r="BC255" s="101"/>
      <c r="BD255" s="101"/>
      <c r="BE255" s="101"/>
      <c r="BF255" s="101"/>
      <c r="BG255" s="101"/>
      <c r="BK255" s="101"/>
      <c r="BL255" s="101"/>
      <c r="BM255" s="101"/>
      <c r="BN255" s="101"/>
      <c r="BO255" s="101"/>
      <c r="BP255" s="101"/>
      <c r="BQ255" s="101"/>
      <c r="BR255" s="104"/>
      <c r="BS255" s="104"/>
      <c r="BT255" s="104"/>
      <c r="BU255" s="104"/>
      <c r="BV255" s="104"/>
      <c r="BW255" s="104"/>
      <c r="BX255" s="104"/>
      <c r="BY255" s="104"/>
      <c r="BZ255" s="104"/>
      <c r="CA255" s="104"/>
      <c r="CB255" s="104"/>
      <c r="CC255" s="104"/>
      <c r="CD255" s="104"/>
      <c r="CE255" s="104"/>
      <c r="CF255" s="104"/>
      <c r="CG255" s="104"/>
      <c r="CH255" s="104"/>
      <c r="CI255" s="104"/>
      <c r="CJ255" s="104"/>
      <c r="CK255" s="104"/>
      <c r="CL255" s="104"/>
      <c r="CM255" s="104"/>
      <c r="CN255" s="98"/>
      <c r="CP255" s="101"/>
      <c r="CQ255" s="101"/>
      <c r="CR255" s="101"/>
      <c r="CS255" s="101"/>
      <c r="CT255" s="101"/>
      <c r="FJ255" s="103"/>
      <c r="FL255" s="103"/>
      <c r="FN255" s="103"/>
      <c r="FP255" s="103"/>
    </row>
    <row r="256" spans="2:172" x14ac:dyDescent="0.35">
      <c r="B256" s="97"/>
      <c r="G256" s="100"/>
      <c r="K256" s="98"/>
      <c r="L256" s="101"/>
      <c r="M256" s="101"/>
      <c r="N256" s="101"/>
      <c r="O256" s="101"/>
      <c r="P256" s="102"/>
      <c r="Q256" s="101"/>
      <c r="R256" s="98"/>
      <c r="S256" s="98"/>
      <c r="T256" s="98"/>
      <c r="U256" s="98"/>
      <c r="V256" s="98"/>
      <c r="W256" s="98"/>
      <c r="X256" s="103"/>
      <c r="Y256" s="103"/>
      <c r="Z256" s="103"/>
      <c r="AA256" s="103"/>
      <c r="AB256" s="103"/>
      <c r="AC256" s="103"/>
      <c r="AD256" s="103"/>
      <c r="AE256" s="101"/>
      <c r="AF256" s="101"/>
      <c r="AG256" s="101"/>
      <c r="AH256" s="101"/>
      <c r="AI256" s="101"/>
      <c r="AJ256" s="101"/>
      <c r="AK256" s="101"/>
      <c r="AL256" s="103"/>
      <c r="AM256" s="103"/>
      <c r="AN256" s="103"/>
      <c r="AO256" s="103"/>
      <c r="AP256" s="103"/>
      <c r="AQ256" s="103"/>
      <c r="AR256" s="103"/>
      <c r="AS256" s="101"/>
      <c r="AT256" s="101"/>
      <c r="AU256" s="101"/>
      <c r="AV256" s="101"/>
      <c r="AW256" s="101"/>
      <c r="AX256" s="101"/>
      <c r="AY256" s="101"/>
      <c r="AZ256" s="103"/>
      <c r="BA256" s="103"/>
      <c r="BB256" s="103"/>
      <c r="BC256" s="101"/>
      <c r="BD256" s="101"/>
      <c r="BE256" s="101"/>
      <c r="BF256" s="101"/>
      <c r="BG256" s="101"/>
      <c r="BK256" s="101"/>
      <c r="BL256" s="101"/>
      <c r="BM256" s="101"/>
      <c r="BN256" s="101"/>
      <c r="BO256" s="101"/>
      <c r="BP256" s="101"/>
      <c r="BQ256" s="101"/>
      <c r="BR256" s="104"/>
      <c r="BS256" s="104"/>
      <c r="BT256" s="104"/>
      <c r="BU256" s="104"/>
      <c r="BV256" s="104"/>
      <c r="BW256" s="104"/>
      <c r="BX256" s="104"/>
      <c r="BY256" s="104"/>
      <c r="BZ256" s="104"/>
      <c r="CA256" s="104"/>
      <c r="CB256" s="104"/>
      <c r="CC256" s="104"/>
      <c r="CD256" s="104"/>
      <c r="CE256" s="104"/>
      <c r="CF256" s="104"/>
      <c r="CG256" s="104"/>
      <c r="CH256" s="104"/>
      <c r="CI256" s="104"/>
      <c r="CJ256" s="104"/>
      <c r="CK256" s="104"/>
      <c r="CL256" s="104"/>
      <c r="CM256" s="104"/>
      <c r="CN256" s="98"/>
      <c r="CP256" s="101"/>
      <c r="CQ256" s="101"/>
      <c r="CR256" s="101"/>
      <c r="CS256" s="101"/>
      <c r="CT256" s="101"/>
      <c r="FJ256" s="103"/>
      <c r="FL256" s="103"/>
      <c r="FN256" s="103"/>
      <c r="FP256" s="103"/>
    </row>
    <row r="257" spans="2:172" x14ac:dyDescent="0.35">
      <c r="B257" s="97"/>
      <c r="G257" s="100"/>
      <c r="K257" s="98"/>
      <c r="L257" s="101"/>
      <c r="M257" s="101"/>
      <c r="N257" s="101"/>
      <c r="O257" s="101"/>
      <c r="P257" s="102"/>
      <c r="Q257" s="101"/>
      <c r="R257" s="98"/>
      <c r="S257" s="98"/>
      <c r="T257" s="98"/>
      <c r="U257" s="98"/>
      <c r="V257" s="98"/>
      <c r="W257" s="98"/>
      <c r="X257" s="103"/>
      <c r="Y257" s="103"/>
      <c r="Z257" s="103"/>
      <c r="AA257" s="103"/>
      <c r="AB257" s="103"/>
      <c r="AC257" s="103"/>
      <c r="AD257" s="103"/>
      <c r="AE257" s="101"/>
      <c r="AF257" s="101"/>
      <c r="AG257" s="101"/>
      <c r="AH257" s="101"/>
      <c r="AI257" s="101"/>
      <c r="AJ257" s="101"/>
      <c r="AK257" s="101"/>
      <c r="AL257" s="103"/>
      <c r="AM257" s="103"/>
      <c r="AN257" s="103"/>
      <c r="AO257" s="103"/>
      <c r="AP257" s="103"/>
      <c r="AQ257" s="103"/>
      <c r="AR257" s="103"/>
      <c r="AS257" s="101"/>
      <c r="AT257" s="101"/>
      <c r="AU257" s="101"/>
      <c r="AV257" s="101"/>
      <c r="AW257" s="101"/>
      <c r="AX257" s="101"/>
      <c r="AY257" s="101"/>
      <c r="AZ257" s="103"/>
      <c r="BA257" s="103"/>
      <c r="BB257" s="103"/>
      <c r="BC257" s="101"/>
      <c r="BD257" s="101"/>
      <c r="BE257" s="101"/>
      <c r="BF257" s="101"/>
      <c r="BG257" s="101"/>
      <c r="BK257" s="101"/>
      <c r="BL257" s="101"/>
      <c r="BM257" s="101"/>
      <c r="BN257" s="101"/>
      <c r="BO257" s="101"/>
      <c r="BP257" s="101"/>
      <c r="BQ257" s="101"/>
      <c r="BR257" s="104"/>
      <c r="BS257" s="104"/>
      <c r="BT257" s="104"/>
      <c r="BU257" s="104"/>
      <c r="BV257" s="104"/>
      <c r="BW257" s="104"/>
      <c r="BX257" s="104"/>
      <c r="BY257" s="104"/>
      <c r="BZ257" s="104"/>
      <c r="CA257" s="104"/>
      <c r="CB257" s="104"/>
      <c r="CC257" s="104"/>
      <c r="CD257" s="104"/>
      <c r="CE257" s="104"/>
      <c r="CF257" s="104"/>
      <c r="CG257" s="104"/>
      <c r="CH257" s="104"/>
      <c r="CI257" s="104"/>
      <c r="CJ257" s="104"/>
      <c r="CK257" s="104"/>
      <c r="CL257" s="104"/>
      <c r="CM257" s="104"/>
      <c r="CN257" s="98"/>
      <c r="CP257" s="101"/>
      <c r="CQ257" s="101"/>
      <c r="CR257" s="101"/>
      <c r="CS257" s="101"/>
      <c r="CT257" s="101"/>
      <c r="FJ257" s="103"/>
      <c r="FL257" s="103"/>
      <c r="FN257" s="103"/>
      <c r="FP257" s="103"/>
    </row>
    <row r="258" spans="2:172" x14ac:dyDescent="0.35">
      <c r="B258" s="97"/>
      <c r="G258" s="100"/>
      <c r="K258" s="98"/>
      <c r="L258" s="101"/>
      <c r="M258" s="101"/>
      <c r="N258" s="101"/>
      <c r="O258" s="101"/>
      <c r="P258" s="102"/>
      <c r="Q258" s="101"/>
      <c r="R258" s="98"/>
      <c r="S258" s="98"/>
      <c r="T258" s="98"/>
      <c r="U258" s="98"/>
      <c r="V258" s="98"/>
      <c r="W258" s="98"/>
      <c r="X258" s="103"/>
      <c r="Y258" s="103"/>
      <c r="Z258" s="103"/>
      <c r="AA258" s="103"/>
      <c r="AB258" s="103"/>
      <c r="AC258" s="103"/>
      <c r="AD258" s="103"/>
      <c r="AE258" s="101"/>
      <c r="AF258" s="101"/>
      <c r="AG258" s="101"/>
      <c r="AH258" s="101"/>
      <c r="AI258" s="101"/>
      <c r="AJ258" s="101"/>
      <c r="AK258" s="101"/>
      <c r="AL258" s="103"/>
      <c r="AM258" s="103"/>
      <c r="AN258" s="103"/>
      <c r="AO258" s="103"/>
      <c r="AP258" s="103"/>
      <c r="AQ258" s="103"/>
      <c r="AR258" s="103"/>
      <c r="AS258" s="101"/>
      <c r="AT258" s="101"/>
      <c r="AU258" s="101"/>
      <c r="AV258" s="101"/>
      <c r="AW258" s="101"/>
      <c r="AX258" s="101"/>
      <c r="AY258" s="101"/>
      <c r="AZ258" s="103"/>
      <c r="BA258" s="103"/>
      <c r="BB258" s="103"/>
      <c r="BC258" s="101"/>
      <c r="BD258" s="101"/>
      <c r="BE258" s="101"/>
      <c r="BF258" s="101"/>
      <c r="BG258" s="101"/>
      <c r="BK258" s="101"/>
      <c r="BL258" s="101"/>
      <c r="BM258" s="101"/>
      <c r="BN258" s="101"/>
      <c r="BO258" s="101"/>
      <c r="BP258" s="101"/>
      <c r="BQ258" s="101"/>
      <c r="BR258" s="104"/>
      <c r="BS258" s="104"/>
      <c r="BT258" s="104"/>
      <c r="BU258" s="104"/>
      <c r="BV258" s="104"/>
      <c r="BW258" s="104"/>
      <c r="BX258" s="104"/>
      <c r="BY258" s="104"/>
      <c r="BZ258" s="104"/>
      <c r="CA258" s="104"/>
      <c r="CB258" s="104"/>
      <c r="CC258" s="104"/>
      <c r="CD258" s="104"/>
      <c r="CE258" s="104"/>
      <c r="CF258" s="104"/>
      <c r="CG258" s="104"/>
      <c r="CH258" s="104"/>
      <c r="CI258" s="104"/>
      <c r="CJ258" s="104"/>
      <c r="CK258" s="104"/>
      <c r="CL258" s="104"/>
      <c r="CM258" s="104"/>
      <c r="CN258" s="98"/>
      <c r="CP258" s="101"/>
      <c r="CQ258" s="101"/>
      <c r="CR258" s="101"/>
      <c r="CS258" s="101"/>
      <c r="CT258" s="101"/>
      <c r="FJ258" s="103"/>
      <c r="FL258" s="103"/>
      <c r="FN258" s="103"/>
      <c r="FP258" s="103"/>
    </row>
    <row r="259" spans="2:172" x14ac:dyDescent="0.35">
      <c r="B259" s="97"/>
      <c r="G259" s="100"/>
      <c r="K259" s="98"/>
      <c r="L259" s="101"/>
      <c r="M259" s="101"/>
      <c r="N259" s="101"/>
      <c r="O259" s="101"/>
      <c r="P259" s="102"/>
      <c r="Q259" s="101"/>
      <c r="R259" s="98"/>
      <c r="S259" s="98"/>
      <c r="T259" s="98"/>
      <c r="U259" s="98"/>
      <c r="V259" s="98"/>
      <c r="W259" s="98"/>
      <c r="X259" s="103"/>
      <c r="Y259" s="103"/>
      <c r="Z259" s="103"/>
      <c r="AA259" s="103"/>
      <c r="AB259" s="103"/>
      <c r="AC259" s="103"/>
      <c r="AD259" s="103"/>
      <c r="AE259" s="101"/>
      <c r="AF259" s="101"/>
      <c r="AG259" s="101"/>
      <c r="AH259" s="101"/>
      <c r="AI259" s="101"/>
      <c r="AJ259" s="101"/>
      <c r="AK259" s="101"/>
      <c r="AL259" s="103"/>
      <c r="AM259" s="103"/>
      <c r="AN259" s="103"/>
      <c r="AO259" s="103"/>
      <c r="AP259" s="103"/>
      <c r="AQ259" s="103"/>
      <c r="AR259" s="103"/>
      <c r="AS259" s="101"/>
      <c r="AT259" s="101"/>
      <c r="AU259" s="101"/>
      <c r="AV259" s="101"/>
      <c r="AW259" s="101"/>
      <c r="AX259" s="101"/>
      <c r="AY259" s="101"/>
      <c r="AZ259" s="103"/>
      <c r="BA259" s="103"/>
      <c r="BB259" s="103"/>
      <c r="BC259" s="101"/>
      <c r="BD259" s="101"/>
      <c r="BE259" s="101"/>
      <c r="BF259" s="101"/>
      <c r="BG259" s="101"/>
      <c r="BK259" s="101"/>
      <c r="BL259" s="101"/>
      <c r="BM259" s="101"/>
      <c r="BN259" s="101"/>
      <c r="BO259" s="101"/>
      <c r="BP259" s="101"/>
      <c r="BQ259" s="101"/>
      <c r="BR259" s="104"/>
      <c r="BS259" s="104"/>
      <c r="BT259" s="104"/>
      <c r="BU259" s="104"/>
      <c r="BV259" s="104"/>
      <c r="BW259" s="104"/>
      <c r="BX259" s="104"/>
      <c r="BY259" s="104"/>
      <c r="BZ259" s="104"/>
      <c r="CA259" s="104"/>
      <c r="CB259" s="104"/>
      <c r="CC259" s="104"/>
      <c r="CD259" s="104"/>
      <c r="CE259" s="104"/>
      <c r="CF259" s="104"/>
      <c r="CG259" s="104"/>
      <c r="CH259" s="104"/>
      <c r="CI259" s="104"/>
      <c r="CJ259" s="104"/>
      <c r="CK259" s="104"/>
      <c r="CL259" s="104"/>
      <c r="CM259" s="104"/>
      <c r="CN259" s="98"/>
      <c r="CP259" s="101"/>
      <c r="CQ259" s="101"/>
      <c r="CR259" s="101"/>
      <c r="CS259" s="101"/>
      <c r="CT259" s="101"/>
      <c r="FJ259" s="103"/>
      <c r="FL259" s="103"/>
      <c r="FN259" s="103"/>
      <c r="FP259" s="103"/>
    </row>
    <row r="260" spans="2:172" x14ac:dyDescent="0.35">
      <c r="B260" s="97"/>
      <c r="G260" s="100"/>
      <c r="K260" s="98"/>
      <c r="L260" s="101"/>
      <c r="M260" s="101"/>
      <c r="N260" s="101"/>
      <c r="O260" s="101"/>
      <c r="P260" s="102"/>
      <c r="Q260" s="101"/>
      <c r="R260" s="98"/>
      <c r="S260" s="98"/>
      <c r="T260" s="98"/>
      <c r="U260" s="98"/>
      <c r="V260" s="98"/>
      <c r="W260" s="98"/>
      <c r="X260" s="103"/>
      <c r="Y260" s="103"/>
      <c r="Z260" s="103"/>
      <c r="AA260" s="103"/>
      <c r="AB260" s="103"/>
      <c r="AC260" s="103"/>
      <c r="AD260" s="103"/>
      <c r="AE260" s="101"/>
      <c r="AF260" s="101"/>
      <c r="AG260" s="101"/>
      <c r="AH260" s="101"/>
      <c r="AI260" s="101"/>
      <c r="AJ260" s="101"/>
      <c r="AK260" s="101"/>
      <c r="AL260" s="103"/>
      <c r="AM260" s="103"/>
      <c r="AN260" s="103"/>
      <c r="AO260" s="103"/>
      <c r="AP260" s="103"/>
      <c r="AQ260" s="103"/>
      <c r="AR260" s="103"/>
      <c r="AS260" s="101"/>
      <c r="AT260" s="101"/>
      <c r="AU260" s="101"/>
      <c r="AV260" s="101"/>
      <c r="AW260" s="101"/>
      <c r="AX260" s="101"/>
      <c r="AY260" s="101"/>
      <c r="AZ260" s="103"/>
      <c r="BA260" s="103"/>
      <c r="BB260" s="103"/>
      <c r="BC260" s="101"/>
      <c r="BD260" s="101"/>
      <c r="BE260" s="101"/>
      <c r="BF260" s="101"/>
      <c r="BG260" s="101"/>
      <c r="BK260" s="101"/>
      <c r="BL260" s="101"/>
      <c r="BM260" s="101"/>
      <c r="BN260" s="101"/>
      <c r="BO260" s="101"/>
      <c r="BP260" s="101"/>
      <c r="BQ260" s="101"/>
      <c r="BR260" s="104"/>
      <c r="BS260" s="104"/>
      <c r="BT260" s="104"/>
      <c r="BU260" s="104"/>
      <c r="BV260" s="104"/>
      <c r="BW260" s="104"/>
      <c r="BX260" s="104"/>
      <c r="BY260" s="104"/>
      <c r="BZ260" s="104"/>
      <c r="CA260" s="104"/>
      <c r="CB260" s="104"/>
      <c r="CC260" s="104"/>
      <c r="CD260" s="104"/>
      <c r="CE260" s="104"/>
      <c r="CF260" s="104"/>
      <c r="CG260" s="104"/>
      <c r="CH260" s="104"/>
      <c r="CI260" s="104"/>
      <c r="CJ260" s="104"/>
      <c r="CK260" s="104"/>
      <c r="CL260" s="104"/>
      <c r="CM260" s="104"/>
      <c r="CN260" s="98"/>
      <c r="CP260" s="101"/>
      <c r="CQ260" s="101"/>
      <c r="CR260" s="101"/>
      <c r="CS260" s="101"/>
      <c r="CT260" s="101"/>
      <c r="FJ260" s="103"/>
      <c r="FL260" s="103"/>
      <c r="FN260" s="103"/>
      <c r="FP260" s="103"/>
    </row>
    <row r="261" spans="2:172" x14ac:dyDescent="0.35">
      <c r="B261" s="97"/>
      <c r="G261" s="100"/>
      <c r="K261" s="98"/>
      <c r="L261" s="101"/>
      <c r="M261" s="101"/>
      <c r="N261" s="101"/>
      <c r="O261" s="101"/>
      <c r="P261" s="102"/>
      <c r="Q261" s="101"/>
      <c r="R261" s="98"/>
      <c r="S261" s="98"/>
      <c r="T261" s="98"/>
      <c r="U261" s="98"/>
      <c r="V261" s="98"/>
      <c r="W261" s="98"/>
      <c r="X261" s="103"/>
      <c r="Y261" s="103"/>
      <c r="Z261" s="103"/>
      <c r="AA261" s="103"/>
      <c r="AB261" s="103"/>
      <c r="AC261" s="103"/>
      <c r="AD261" s="103"/>
      <c r="AE261" s="101"/>
      <c r="AF261" s="101"/>
      <c r="AG261" s="101"/>
      <c r="AH261" s="101"/>
      <c r="AI261" s="101"/>
      <c r="AJ261" s="101"/>
      <c r="AK261" s="101"/>
      <c r="AL261" s="103"/>
      <c r="AM261" s="103"/>
      <c r="AN261" s="103"/>
      <c r="AO261" s="103"/>
      <c r="AP261" s="103"/>
      <c r="AQ261" s="103"/>
      <c r="AR261" s="103"/>
      <c r="AS261" s="101"/>
      <c r="AT261" s="101"/>
      <c r="AU261" s="101"/>
      <c r="AV261" s="101"/>
      <c r="AW261" s="101"/>
      <c r="AX261" s="101"/>
      <c r="AY261" s="101"/>
      <c r="AZ261" s="103"/>
      <c r="BA261" s="103"/>
      <c r="BB261" s="103"/>
      <c r="BC261" s="101"/>
      <c r="BD261" s="101"/>
      <c r="BE261" s="101"/>
      <c r="BF261" s="101"/>
      <c r="BG261" s="101"/>
      <c r="BK261" s="101"/>
      <c r="BL261" s="101"/>
      <c r="BM261" s="101"/>
      <c r="BN261" s="101"/>
      <c r="BO261" s="101"/>
      <c r="BP261" s="101"/>
      <c r="BQ261" s="101"/>
      <c r="BR261" s="104"/>
      <c r="BS261" s="104"/>
      <c r="BT261" s="104"/>
      <c r="BU261" s="104"/>
      <c r="BV261" s="104"/>
      <c r="BW261" s="104"/>
      <c r="BX261" s="104"/>
      <c r="BY261" s="104"/>
      <c r="BZ261" s="104"/>
      <c r="CA261" s="104"/>
      <c r="CB261" s="104"/>
      <c r="CC261" s="104"/>
      <c r="CD261" s="104"/>
      <c r="CE261" s="104"/>
      <c r="CF261" s="104"/>
      <c r="CG261" s="104"/>
      <c r="CH261" s="104"/>
      <c r="CI261" s="104"/>
      <c r="CJ261" s="104"/>
      <c r="CK261" s="104"/>
      <c r="CL261" s="104"/>
      <c r="CM261" s="104"/>
      <c r="CN261" s="98"/>
      <c r="CP261" s="101"/>
      <c r="CQ261" s="101"/>
      <c r="CR261" s="101"/>
      <c r="CS261" s="101"/>
      <c r="CT261" s="101"/>
      <c r="FJ261" s="103"/>
      <c r="FL261" s="103"/>
      <c r="FN261" s="103"/>
      <c r="FP261" s="103"/>
    </row>
    <row r="262" spans="2:172" x14ac:dyDescent="0.35">
      <c r="B262" s="97"/>
      <c r="G262" s="100"/>
      <c r="K262" s="98"/>
      <c r="L262" s="101"/>
      <c r="M262" s="101"/>
      <c r="N262" s="101"/>
      <c r="O262" s="101"/>
      <c r="P262" s="102"/>
      <c r="Q262" s="101"/>
      <c r="R262" s="98"/>
      <c r="S262" s="98"/>
      <c r="T262" s="98"/>
      <c r="U262" s="98"/>
      <c r="V262" s="98"/>
      <c r="W262" s="98"/>
      <c r="X262" s="103"/>
      <c r="Y262" s="103"/>
      <c r="Z262" s="103"/>
      <c r="AA262" s="103"/>
      <c r="AB262" s="103"/>
      <c r="AC262" s="103"/>
      <c r="AD262" s="103"/>
      <c r="AE262" s="101"/>
      <c r="AF262" s="101"/>
      <c r="AG262" s="101"/>
      <c r="AH262" s="101"/>
      <c r="AI262" s="101"/>
      <c r="AJ262" s="101"/>
      <c r="AK262" s="101"/>
      <c r="AL262" s="103"/>
      <c r="AM262" s="103"/>
      <c r="AN262" s="103"/>
      <c r="AO262" s="103"/>
      <c r="AP262" s="103"/>
      <c r="AQ262" s="103"/>
      <c r="AR262" s="103"/>
      <c r="AS262" s="101"/>
      <c r="AT262" s="101"/>
      <c r="AU262" s="101"/>
      <c r="AV262" s="101"/>
      <c r="AW262" s="101"/>
      <c r="AX262" s="101"/>
      <c r="AY262" s="101"/>
      <c r="AZ262" s="103"/>
      <c r="BA262" s="103"/>
      <c r="BB262" s="103"/>
      <c r="BC262" s="101"/>
      <c r="BD262" s="101"/>
      <c r="BE262" s="101"/>
      <c r="BF262" s="101"/>
      <c r="BG262" s="101"/>
      <c r="BK262" s="101"/>
      <c r="BL262" s="101"/>
      <c r="BM262" s="101"/>
      <c r="BN262" s="101"/>
      <c r="BO262" s="101"/>
      <c r="BP262" s="101"/>
      <c r="BQ262" s="101"/>
      <c r="BR262" s="104"/>
      <c r="BS262" s="104"/>
      <c r="BT262" s="104"/>
      <c r="BU262" s="104"/>
      <c r="BV262" s="104"/>
      <c r="BW262" s="104"/>
      <c r="BX262" s="104"/>
      <c r="BY262" s="104"/>
      <c r="BZ262" s="104"/>
      <c r="CA262" s="104"/>
      <c r="CB262" s="104"/>
      <c r="CC262" s="104"/>
      <c r="CD262" s="104"/>
      <c r="CE262" s="104"/>
      <c r="CF262" s="104"/>
      <c r="CG262" s="104"/>
      <c r="CH262" s="104"/>
      <c r="CI262" s="104"/>
      <c r="CJ262" s="104"/>
      <c r="CK262" s="104"/>
      <c r="CL262" s="104"/>
      <c r="CM262" s="104"/>
      <c r="CN262" s="98"/>
      <c r="CP262" s="101"/>
      <c r="CQ262" s="101"/>
      <c r="CR262" s="101"/>
      <c r="CS262" s="101"/>
      <c r="CT262" s="101"/>
      <c r="FJ262" s="103"/>
      <c r="FL262" s="103"/>
      <c r="FN262" s="103"/>
      <c r="FP262" s="103"/>
    </row>
    <row r="263" spans="2:172" x14ac:dyDescent="0.35">
      <c r="B263" s="97"/>
      <c r="G263" s="100"/>
      <c r="K263" s="98"/>
      <c r="L263" s="101"/>
      <c r="M263" s="101"/>
      <c r="N263" s="101"/>
      <c r="O263" s="101"/>
      <c r="P263" s="102"/>
      <c r="Q263" s="101"/>
      <c r="R263" s="98"/>
      <c r="S263" s="98"/>
      <c r="T263" s="98"/>
      <c r="U263" s="98"/>
      <c r="V263" s="98"/>
      <c r="W263" s="98"/>
      <c r="X263" s="103"/>
      <c r="Y263" s="103"/>
      <c r="Z263" s="103"/>
      <c r="AA263" s="103"/>
      <c r="AB263" s="103"/>
      <c r="AC263" s="103"/>
      <c r="AD263" s="103"/>
      <c r="AE263" s="101"/>
      <c r="AF263" s="101"/>
      <c r="AG263" s="101"/>
      <c r="AH263" s="101"/>
      <c r="AI263" s="101"/>
      <c r="AJ263" s="101"/>
      <c r="AK263" s="101"/>
      <c r="AL263" s="103"/>
      <c r="AM263" s="103"/>
      <c r="AN263" s="103"/>
      <c r="AO263" s="103"/>
      <c r="AP263" s="103"/>
      <c r="AQ263" s="103"/>
      <c r="AR263" s="103"/>
      <c r="AS263" s="101"/>
      <c r="AT263" s="101"/>
      <c r="AU263" s="101"/>
      <c r="AV263" s="101"/>
      <c r="AW263" s="101"/>
      <c r="AX263" s="101"/>
      <c r="AY263" s="101"/>
      <c r="AZ263" s="103"/>
      <c r="BA263" s="103"/>
      <c r="BB263" s="103"/>
      <c r="BC263" s="101"/>
      <c r="BD263" s="101"/>
      <c r="BE263" s="101"/>
      <c r="BF263" s="101"/>
      <c r="BG263" s="101"/>
      <c r="BK263" s="101"/>
      <c r="BL263" s="101"/>
      <c r="BM263" s="101"/>
      <c r="BN263" s="101"/>
      <c r="BO263" s="101"/>
      <c r="BP263" s="101"/>
      <c r="BQ263" s="101"/>
      <c r="BR263" s="104"/>
      <c r="BS263" s="104"/>
      <c r="BT263" s="104"/>
      <c r="BU263" s="104"/>
      <c r="BV263" s="104"/>
      <c r="BW263" s="104"/>
      <c r="BX263" s="104"/>
      <c r="BY263" s="104"/>
      <c r="BZ263" s="104"/>
      <c r="CA263" s="104"/>
      <c r="CB263" s="104"/>
      <c r="CC263" s="104"/>
      <c r="CD263" s="104"/>
      <c r="CE263" s="104"/>
      <c r="CF263" s="104"/>
      <c r="CG263" s="104"/>
      <c r="CH263" s="104"/>
      <c r="CI263" s="104"/>
      <c r="CJ263" s="104"/>
      <c r="CK263" s="104"/>
      <c r="CL263" s="104"/>
      <c r="CM263" s="104"/>
      <c r="CN263" s="98"/>
      <c r="CP263" s="101"/>
      <c r="CQ263" s="101"/>
      <c r="CR263" s="101"/>
      <c r="CS263" s="101"/>
      <c r="CT263" s="101"/>
      <c r="FJ263" s="103"/>
      <c r="FL263" s="103"/>
      <c r="FN263" s="103"/>
      <c r="FP263" s="103"/>
    </row>
    <row r="264" spans="2:172" x14ac:dyDescent="0.35">
      <c r="B264" s="97"/>
      <c r="G264" s="100"/>
      <c r="K264" s="98"/>
      <c r="L264" s="101"/>
      <c r="M264" s="101"/>
      <c r="N264" s="101"/>
      <c r="O264" s="101"/>
      <c r="P264" s="102"/>
      <c r="Q264" s="101"/>
      <c r="R264" s="98"/>
      <c r="S264" s="98"/>
      <c r="T264" s="98"/>
      <c r="U264" s="98"/>
      <c r="V264" s="98"/>
      <c r="W264" s="98"/>
      <c r="X264" s="103"/>
      <c r="Y264" s="103"/>
      <c r="Z264" s="103"/>
      <c r="AA264" s="103"/>
      <c r="AB264" s="103"/>
      <c r="AC264" s="103"/>
      <c r="AD264" s="103"/>
      <c r="AE264" s="101"/>
      <c r="AF264" s="101"/>
      <c r="AG264" s="101"/>
      <c r="AH264" s="101"/>
      <c r="AI264" s="101"/>
      <c r="AJ264" s="101"/>
      <c r="AK264" s="101"/>
      <c r="AL264" s="103"/>
      <c r="AM264" s="103"/>
      <c r="AN264" s="103"/>
      <c r="AO264" s="103"/>
      <c r="AP264" s="103"/>
      <c r="AQ264" s="103"/>
      <c r="AR264" s="103"/>
      <c r="AS264" s="101"/>
      <c r="AT264" s="101"/>
      <c r="AU264" s="101"/>
      <c r="AV264" s="101"/>
      <c r="AW264" s="101"/>
      <c r="AX264" s="101"/>
      <c r="AY264" s="101"/>
      <c r="AZ264" s="103"/>
      <c r="BA264" s="103"/>
      <c r="BB264" s="103"/>
      <c r="BC264" s="101"/>
      <c r="BD264" s="101"/>
      <c r="BE264" s="101"/>
      <c r="BF264" s="101"/>
      <c r="BG264" s="101"/>
      <c r="BK264" s="101"/>
      <c r="BL264" s="101"/>
      <c r="BM264" s="101"/>
      <c r="BN264" s="101"/>
      <c r="BO264" s="101"/>
      <c r="BP264" s="101"/>
      <c r="BQ264" s="101"/>
      <c r="BR264" s="104"/>
      <c r="BS264" s="104"/>
      <c r="BT264" s="104"/>
      <c r="BU264" s="104"/>
      <c r="BV264" s="104"/>
      <c r="BW264" s="104"/>
      <c r="BX264" s="104"/>
      <c r="BY264" s="104"/>
      <c r="BZ264" s="104"/>
      <c r="CA264" s="104"/>
      <c r="CB264" s="104"/>
      <c r="CC264" s="104"/>
      <c r="CD264" s="104"/>
      <c r="CE264" s="104"/>
      <c r="CF264" s="104"/>
      <c r="CG264" s="104"/>
      <c r="CH264" s="104"/>
      <c r="CI264" s="104"/>
      <c r="CJ264" s="104"/>
      <c r="CK264" s="104"/>
      <c r="CL264" s="104"/>
      <c r="CM264" s="104"/>
      <c r="CN264" s="98"/>
      <c r="CP264" s="101"/>
      <c r="CQ264" s="101"/>
      <c r="CR264" s="101"/>
      <c r="CS264" s="101"/>
      <c r="CT264" s="101"/>
      <c r="FJ264" s="103"/>
      <c r="FL264" s="103"/>
      <c r="FN264" s="103"/>
      <c r="FP264" s="103"/>
    </row>
    <row r="265" spans="2:172" x14ac:dyDescent="0.35">
      <c r="B265" s="97"/>
      <c r="G265" s="100"/>
      <c r="K265" s="98"/>
      <c r="L265" s="101"/>
      <c r="M265" s="101"/>
      <c r="N265" s="101"/>
      <c r="O265" s="101"/>
      <c r="P265" s="102"/>
      <c r="Q265" s="101"/>
      <c r="R265" s="98"/>
      <c r="S265" s="98"/>
      <c r="T265" s="98"/>
      <c r="U265" s="98"/>
      <c r="V265" s="98"/>
      <c r="W265" s="98"/>
      <c r="X265" s="103"/>
      <c r="Y265" s="103"/>
      <c r="Z265" s="103"/>
      <c r="AA265" s="103"/>
      <c r="AB265" s="103"/>
      <c r="AC265" s="103"/>
      <c r="AD265" s="103"/>
      <c r="AE265" s="101"/>
      <c r="AF265" s="101"/>
      <c r="AG265" s="101"/>
      <c r="AH265" s="101"/>
      <c r="AI265" s="101"/>
      <c r="AJ265" s="101"/>
      <c r="AK265" s="101"/>
      <c r="AL265" s="103"/>
      <c r="AM265" s="103"/>
      <c r="AN265" s="103"/>
      <c r="AO265" s="103"/>
      <c r="AP265" s="103"/>
      <c r="AQ265" s="103"/>
      <c r="AR265" s="103"/>
      <c r="AS265" s="101"/>
      <c r="AT265" s="101"/>
      <c r="AU265" s="101"/>
      <c r="AV265" s="101"/>
      <c r="AW265" s="101"/>
      <c r="AX265" s="101"/>
      <c r="AY265" s="101"/>
      <c r="AZ265" s="103"/>
      <c r="BA265" s="103"/>
      <c r="BB265" s="103"/>
      <c r="BC265" s="101"/>
      <c r="BD265" s="101"/>
      <c r="BE265" s="101"/>
      <c r="BF265" s="101"/>
      <c r="BG265" s="101"/>
      <c r="BK265" s="101"/>
      <c r="BL265" s="101"/>
      <c r="BM265" s="101"/>
      <c r="BN265" s="101"/>
      <c r="BO265" s="101"/>
      <c r="BP265" s="101"/>
      <c r="BQ265" s="101"/>
      <c r="BR265" s="104"/>
      <c r="BS265" s="104"/>
      <c r="BT265" s="104"/>
      <c r="BU265" s="104"/>
      <c r="BV265" s="104"/>
      <c r="BW265" s="104"/>
      <c r="BX265" s="104"/>
      <c r="BY265" s="104"/>
      <c r="BZ265" s="104"/>
      <c r="CA265" s="104"/>
      <c r="CB265" s="104"/>
      <c r="CC265" s="104"/>
      <c r="CD265" s="104"/>
      <c r="CE265" s="104"/>
      <c r="CF265" s="104"/>
      <c r="CG265" s="104"/>
      <c r="CH265" s="104"/>
      <c r="CI265" s="104"/>
      <c r="CJ265" s="104"/>
      <c r="CK265" s="104"/>
      <c r="CL265" s="104"/>
      <c r="CM265" s="104"/>
      <c r="CN265" s="98"/>
      <c r="CP265" s="101"/>
      <c r="CQ265" s="101"/>
      <c r="CR265" s="101"/>
      <c r="CS265" s="101"/>
      <c r="CT265" s="101"/>
      <c r="FJ265" s="103"/>
      <c r="FL265" s="103"/>
      <c r="FN265" s="103"/>
      <c r="FP265" s="103"/>
    </row>
    <row r="266" spans="2:172" x14ac:dyDescent="0.35">
      <c r="B266" s="97"/>
      <c r="G266" s="100"/>
      <c r="K266" s="98"/>
      <c r="L266" s="101"/>
      <c r="M266" s="101"/>
      <c r="N266" s="101"/>
      <c r="O266" s="101"/>
      <c r="P266" s="102"/>
      <c r="Q266" s="101"/>
      <c r="R266" s="98"/>
      <c r="S266" s="98"/>
      <c r="T266" s="98"/>
      <c r="U266" s="98"/>
      <c r="V266" s="98"/>
      <c r="W266" s="98"/>
      <c r="X266" s="103"/>
      <c r="Y266" s="103"/>
      <c r="Z266" s="103"/>
      <c r="AA266" s="103"/>
      <c r="AB266" s="103"/>
      <c r="AC266" s="103"/>
      <c r="AD266" s="103"/>
      <c r="AE266" s="101"/>
      <c r="AF266" s="101"/>
      <c r="AG266" s="101"/>
      <c r="AH266" s="101"/>
      <c r="AI266" s="101"/>
      <c r="AJ266" s="101"/>
      <c r="AK266" s="101"/>
      <c r="AL266" s="103"/>
      <c r="AM266" s="103"/>
      <c r="AN266" s="103"/>
      <c r="AO266" s="103"/>
      <c r="AP266" s="103"/>
      <c r="AQ266" s="103"/>
      <c r="AR266" s="103"/>
      <c r="AS266" s="101"/>
      <c r="AT266" s="101"/>
      <c r="AU266" s="101"/>
      <c r="AV266" s="101"/>
      <c r="AW266" s="101"/>
      <c r="AX266" s="101"/>
      <c r="AY266" s="101"/>
      <c r="AZ266" s="103"/>
      <c r="BA266" s="103"/>
      <c r="BB266" s="103"/>
      <c r="BC266" s="101"/>
      <c r="BD266" s="101"/>
      <c r="BE266" s="101"/>
      <c r="BF266" s="101"/>
      <c r="BG266" s="101"/>
      <c r="BK266" s="101"/>
      <c r="BL266" s="101"/>
      <c r="BM266" s="101"/>
      <c r="BN266" s="101"/>
      <c r="BO266" s="101"/>
      <c r="BP266" s="101"/>
      <c r="BQ266" s="101"/>
      <c r="BR266" s="104"/>
      <c r="BS266" s="104"/>
      <c r="BT266" s="104"/>
      <c r="BU266" s="104"/>
      <c r="BV266" s="104"/>
      <c r="BW266" s="104"/>
      <c r="BX266" s="104"/>
      <c r="BY266" s="104"/>
      <c r="BZ266" s="104"/>
      <c r="CA266" s="104"/>
      <c r="CB266" s="104"/>
      <c r="CC266" s="104"/>
      <c r="CD266" s="104"/>
      <c r="CE266" s="104"/>
      <c r="CF266" s="104"/>
      <c r="CG266" s="104"/>
      <c r="CH266" s="104"/>
      <c r="CI266" s="104"/>
      <c r="CJ266" s="104"/>
      <c r="CK266" s="104"/>
      <c r="CL266" s="104"/>
      <c r="CM266" s="104"/>
      <c r="CN266" s="98"/>
      <c r="CP266" s="101"/>
      <c r="CQ266" s="101"/>
      <c r="CR266" s="101"/>
      <c r="CS266" s="101"/>
      <c r="CT266" s="101"/>
      <c r="FJ266" s="103"/>
      <c r="FL266" s="103"/>
      <c r="FN266" s="103"/>
      <c r="FP266" s="103"/>
    </row>
    <row r="267" spans="2:172" x14ac:dyDescent="0.35">
      <c r="B267" s="97"/>
      <c r="G267" s="100"/>
      <c r="K267" s="98"/>
      <c r="L267" s="101"/>
      <c r="M267" s="101"/>
      <c r="N267" s="101"/>
      <c r="O267" s="101"/>
      <c r="P267" s="102"/>
      <c r="Q267" s="101"/>
      <c r="R267" s="98"/>
      <c r="S267" s="98"/>
      <c r="T267" s="98"/>
      <c r="U267" s="98"/>
      <c r="V267" s="98"/>
      <c r="W267" s="98"/>
      <c r="X267" s="103"/>
      <c r="Y267" s="103"/>
      <c r="Z267" s="103"/>
      <c r="AA267" s="103"/>
      <c r="AB267" s="103"/>
      <c r="AC267" s="103"/>
      <c r="AD267" s="103"/>
      <c r="AE267" s="101"/>
      <c r="AF267" s="101"/>
      <c r="AG267" s="101"/>
      <c r="AH267" s="101"/>
      <c r="AI267" s="101"/>
      <c r="AJ267" s="101"/>
      <c r="AK267" s="101"/>
      <c r="AL267" s="103"/>
      <c r="AM267" s="103"/>
      <c r="AN267" s="103"/>
      <c r="AO267" s="103"/>
      <c r="AP267" s="103"/>
      <c r="AQ267" s="103"/>
      <c r="AR267" s="103"/>
      <c r="AS267" s="101"/>
      <c r="AT267" s="101"/>
      <c r="AU267" s="101"/>
      <c r="AV267" s="101"/>
      <c r="AW267" s="101"/>
      <c r="AX267" s="101"/>
      <c r="AY267" s="101"/>
      <c r="AZ267" s="103"/>
      <c r="BA267" s="103"/>
      <c r="BB267" s="103"/>
      <c r="BC267" s="101"/>
      <c r="BD267" s="101"/>
      <c r="BE267" s="101"/>
      <c r="BF267" s="101"/>
      <c r="BG267" s="101"/>
      <c r="BK267" s="101"/>
      <c r="BL267" s="101"/>
      <c r="BM267" s="101"/>
      <c r="BN267" s="101"/>
      <c r="BO267" s="101"/>
      <c r="BP267" s="101"/>
      <c r="BQ267" s="101"/>
      <c r="BR267" s="104"/>
      <c r="BS267" s="104"/>
      <c r="BT267" s="104"/>
      <c r="BU267" s="104"/>
      <c r="BV267" s="104"/>
      <c r="BW267" s="104"/>
      <c r="BX267" s="104"/>
      <c r="BY267" s="104"/>
      <c r="BZ267" s="104"/>
      <c r="CA267" s="104"/>
      <c r="CB267" s="104"/>
      <c r="CC267" s="104"/>
      <c r="CD267" s="104"/>
      <c r="CE267" s="104"/>
      <c r="CF267" s="104"/>
      <c r="CG267" s="104"/>
      <c r="CH267" s="104"/>
      <c r="CI267" s="104"/>
      <c r="CJ267" s="104"/>
      <c r="CK267" s="104"/>
      <c r="CL267" s="104"/>
      <c r="CM267" s="104"/>
      <c r="CN267" s="98"/>
      <c r="CP267" s="101"/>
      <c r="CQ267" s="101"/>
      <c r="CR267" s="101"/>
      <c r="CS267" s="101"/>
      <c r="CT267" s="101"/>
      <c r="FJ267" s="103"/>
      <c r="FL267" s="103"/>
      <c r="FN267" s="103"/>
      <c r="FP267" s="103"/>
    </row>
    <row r="268" spans="2:172" x14ac:dyDescent="0.35">
      <c r="B268" s="97"/>
      <c r="G268" s="100"/>
      <c r="K268" s="98"/>
      <c r="L268" s="101"/>
      <c r="M268" s="101"/>
      <c r="N268" s="101"/>
      <c r="O268" s="101"/>
      <c r="P268" s="102"/>
      <c r="Q268" s="101"/>
      <c r="R268" s="98"/>
      <c r="S268" s="98"/>
      <c r="T268" s="98"/>
      <c r="U268" s="98"/>
      <c r="V268" s="98"/>
      <c r="W268" s="98"/>
      <c r="X268" s="103"/>
      <c r="Y268" s="103"/>
      <c r="Z268" s="103"/>
      <c r="AA268" s="103"/>
      <c r="AB268" s="103"/>
      <c r="AC268" s="103"/>
      <c r="AD268" s="103"/>
      <c r="AE268" s="101"/>
      <c r="AF268" s="101"/>
      <c r="AG268" s="101"/>
      <c r="AH268" s="101"/>
      <c r="AI268" s="101"/>
      <c r="AJ268" s="101"/>
      <c r="AK268" s="101"/>
      <c r="AL268" s="103"/>
      <c r="AM268" s="103"/>
      <c r="AN268" s="103"/>
      <c r="AO268" s="103"/>
      <c r="AP268" s="103"/>
      <c r="AQ268" s="103"/>
      <c r="AR268" s="103"/>
      <c r="AS268" s="101"/>
      <c r="AT268" s="101"/>
      <c r="AU268" s="101"/>
      <c r="AV268" s="101"/>
      <c r="AW268" s="101"/>
      <c r="AX268" s="101"/>
      <c r="AY268" s="101"/>
      <c r="AZ268" s="103"/>
      <c r="BA268" s="103"/>
      <c r="BB268" s="103"/>
      <c r="BC268" s="101"/>
      <c r="BD268" s="101"/>
      <c r="BE268" s="101"/>
      <c r="BF268" s="101"/>
      <c r="BG268" s="101"/>
      <c r="BK268" s="101"/>
      <c r="BL268" s="101"/>
      <c r="BM268" s="101"/>
      <c r="BN268" s="101"/>
      <c r="BO268" s="101"/>
      <c r="BP268" s="101"/>
      <c r="BQ268" s="101"/>
      <c r="BR268" s="104"/>
      <c r="BS268" s="104"/>
      <c r="BT268" s="104"/>
      <c r="BU268" s="104"/>
      <c r="BV268" s="104"/>
      <c r="BW268" s="104"/>
      <c r="BX268" s="104"/>
      <c r="BY268" s="104"/>
      <c r="BZ268" s="104"/>
      <c r="CA268" s="104"/>
      <c r="CB268" s="104"/>
      <c r="CC268" s="104"/>
      <c r="CD268" s="104"/>
      <c r="CE268" s="104"/>
      <c r="CF268" s="104"/>
      <c r="CG268" s="104"/>
      <c r="CH268" s="104"/>
      <c r="CI268" s="104"/>
      <c r="CJ268" s="104"/>
      <c r="CK268" s="104"/>
      <c r="CL268" s="104"/>
      <c r="CM268" s="104"/>
      <c r="CN268" s="98"/>
      <c r="CP268" s="101"/>
      <c r="CQ268" s="101"/>
      <c r="CR268" s="101"/>
      <c r="CS268" s="101"/>
      <c r="CT268" s="101"/>
      <c r="FJ268" s="103"/>
      <c r="FL268" s="103"/>
      <c r="FN268" s="103"/>
      <c r="FP268" s="103"/>
    </row>
    <row r="269" spans="2:172" x14ac:dyDescent="0.35">
      <c r="B269" s="97"/>
      <c r="G269" s="100"/>
      <c r="K269" s="98"/>
      <c r="L269" s="101"/>
      <c r="M269" s="101"/>
      <c r="N269" s="101"/>
      <c r="O269" s="101"/>
      <c r="P269" s="102"/>
      <c r="Q269" s="101"/>
      <c r="R269" s="98"/>
      <c r="S269" s="98"/>
      <c r="T269" s="98"/>
      <c r="U269" s="98"/>
      <c r="V269" s="98"/>
      <c r="W269" s="98"/>
      <c r="X269" s="103"/>
      <c r="Y269" s="103"/>
      <c r="Z269" s="103"/>
      <c r="AA269" s="103"/>
      <c r="AB269" s="103"/>
      <c r="AC269" s="103"/>
      <c r="AD269" s="103"/>
      <c r="AE269" s="101"/>
      <c r="AF269" s="101"/>
      <c r="AG269" s="101"/>
      <c r="AH269" s="101"/>
      <c r="AI269" s="101"/>
      <c r="AJ269" s="101"/>
      <c r="AK269" s="101"/>
      <c r="AL269" s="103"/>
      <c r="AM269" s="103"/>
      <c r="AN269" s="103"/>
      <c r="AO269" s="103"/>
      <c r="AP269" s="103"/>
      <c r="AQ269" s="103"/>
      <c r="AR269" s="103"/>
      <c r="AS269" s="101"/>
      <c r="AT269" s="101"/>
      <c r="AU269" s="101"/>
      <c r="AV269" s="101"/>
      <c r="AW269" s="101"/>
      <c r="AX269" s="101"/>
      <c r="AY269" s="101"/>
      <c r="AZ269" s="103"/>
      <c r="BA269" s="103"/>
      <c r="BB269" s="103"/>
      <c r="BC269" s="101"/>
      <c r="BD269" s="101"/>
      <c r="BE269" s="101"/>
      <c r="BF269" s="101"/>
      <c r="BG269" s="101"/>
      <c r="BK269" s="101"/>
      <c r="BL269" s="101"/>
      <c r="BM269" s="101"/>
      <c r="BN269" s="101"/>
      <c r="BO269" s="101"/>
      <c r="BP269" s="101"/>
      <c r="BQ269" s="101"/>
      <c r="BR269" s="104"/>
      <c r="BS269" s="104"/>
      <c r="BT269" s="104"/>
      <c r="BU269" s="104"/>
      <c r="BV269" s="104"/>
      <c r="BW269" s="104"/>
      <c r="BX269" s="104"/>
      <c r="BY269" s="104"/>
      <c r="BZ269" s="104"/>
      <c r="CA269" s="104"/>
      <c r="CB269" s="104"/>
      <c r="CC269" s="104"/>
      <c r="CD269" s="104"/>
      <c r="CE269" s="104"/>
      <c r="CF269" s="104"/>
      <c r="CG269" s="104"/>
      <c r="CH269" s="104"/>
      <c r="CI269" s="104"/>
      <c r="CJ269" s="104"/>
      <c r="CK269" s="104"/>
      <c r="CL269" s="104"/>
      <c r="CM269" s="104"/>
      <c r="CN269" s="98"/>
      <c r="CP269" s="101"/>
      <c r="CQ269" s="101"/>
      <c r="CR269" s="101"/>
      <c r="CS269" s="101"/>
      <c r="CT269" s="101"/>
      <c r="FJ269" s="103"/>
      <c r="FL269" s="103"/>
      <c r="FN269" s="103"/>
      <c r="FP269" s="103"/>
    </row>
    <row r="270" spans="2:172" x14ac:dyDescent="0.35">
      <c r="B270" s="97"/>
      <c r="G270" s="100"/>
      <c r="K270" s="98"/>
      <c r="L270" s="101"/>
      <c r="M270" s="101"/>
      <c r="N270" s="101"/>
      <c r="O270" s="101"/>
      <c r="P270" s="102"/>
      <c r="Q270" s="101"/>
      <c r="R270" s="98"/>
      <c r="S270" s="98"/>
      <c r="T270" s="98"/>
      <c r="U270" s="98"/>
      <c r="V270" s="98"/>
      <c r="W270" s="98"/>
      <c r="X270" s="103"/>
      <c r="Y270" s="103"/>
      <c r="Z270" s="103"/>
      <c r="AA270" s="103"/>
      <c r="AB270" s="103"/>
      <c r="AC270" s="103"/>
      <c r="AD270" s="103"/>
      <c r="AE270" s="101"/>
      <c r="AF270" s="101"/>
      <c r="AG270" s="101"/>
      <c r="AH270" s="101"/>
      <c r="AI270" s="101"/>
      <c r="AJ270" s="101"/>
      <c r="AK270" s="101"/>
      <c r="AL270" s="103"/>
      <c r="AM270" s="103"/>
      <c r="AN270" s="103"/>
      <c r="AO270" s="103"/>
      <c r="AP270" s="103"/>
      <c r="AQ270" s="103"/>
      <c r="AR270" s="103"/>
      <c r="AS270" s="101"/>
      <c r="AT270" s="101"/>
      <c r="AU270" s="101"/>
      <c r="AV270" s="101"/>
      <c r="AW270" s="101"/>
      <c r="AX270" s="101"/>
      <c r="AY270" s="101"/>
      <c r="AZ270" s="103"/>
      <c r="BA270" s="103"/>
      <c r="BB270" s="103"/>
      <c r="BC270" s="101"/>
      <c r="BD270" s="101"/>
      <c r="BE270" s="101"/>
      <c r="BF270" s="101"/>
      <c r="BG270" s="101"/>
      <c r="BK270" s="101"/>
      <c r="BL270" s="101"/>
      <c r="BM270" s="101"/>
      <c r="BN270" s="101"/>
      <c r="BO270" s="101"/>
      <c r="BP270" s="101"/>
      <c r="BQ270" s="101"/>
      <c r="BR270" s="104"/>
      <c r="BS270" s="104"/>
      <c r="BT270" s="104"/>
      <c r="BU270" s="104"/>
      <c r="BV270" s="104"/>
      <c r="BW270" s="104"/>
      <c r="BX270" s="104"/>
      <c r="BY270" s="104"/>
      <c r="BZ270" s="104"/>
      <c r="CA270" s="104"/>
      <c r="CB270" s="104"/>
      <c r="CC270" s="104"/>
      <c r="CD270" s="104"/>
      <c r="CE270" s="104"/>
      <c r="CF270" s="104"/>
      <c r="CG270" s="104"/>
      <c r="CH270" s="104"/>
      <c r="CI270" s="104"/>
      <c r="CJ270" s="104"/>
      <c r="CK270" s="104"/>
      <c r="CL270" s="104"/>
      <c r="CM270" s="104"/>
      <c r="CN270" s="98"/>
      <c r="CP270" s="101"/>
      <c r="CQ270" s="101"/>
      <c r="CR270" s="101"/>
      <c r="CS270" s="101"/>
      <c r="CT270" s="101"/>
      <c r="FJ270" s="103"/>
      <c r="FL270" s="103"/>
      <c r="FN270" s="103"/>
      <c r="FP270" s="103"/>
    </row>
    <row r="271" spans="2:172" x14ac:dyDescent="0.35">
      <c r="B271" s="97"/>
      <c r="G271" s="100"/>
      <c r="K271" s="98"/>
      <c r="L271" s="101"/>
      <c r="M271" s="101"/>
      <c r="N271" s="101"/>
      <c r="O271" s="101"/>
      <c r="P271" s="102"/>
      <c r="Q271" s="101"/>
      <c r="R271" s="98"/>
      <c r="S271" s="98"/>
      <c r="T271" s="98"/>
      <c r="U271" s="98"/>
      <c r="V271" s="98"/>
      <c r="W271" s="98"/>
      <c r="X271" s="103"/>
      <c r="Y271" s="103"/>
      <c r="Z271" s="103"/>
      <c r="AA271" s="103"/>
      <c r="AB271" s="103"/>
      <c r="AC271" s="103"/>
      <c r="AD271" s="103"/>
      <c r="AE271" s="101"/>
      <c r="AF271" s="101"/>
      <c r="AG271" s="101"/>
      <c r="AH271" s="101"/>
      <c r="AI271" s="101"/>
      <c r="AJ271" s="101"/>
      <c r="AK271" s="101"/>
      <c r="AL271" s="103"/>
      <c r="AM271" s="103"/>
      <c r="AN271" s="103"/>
      <c r="AO271" s="103"/>
      <c r="AP271" s="103"/>
      <c r="AQ271" s="103"/>
      <c r="AR271" s="103"/>
      <c r="AS271" s="101"/>
      <c r="AT271" s="101"/>
      <c r="AU271" s="101"/>
      <c r="AV271" s="101"/>
      <c r="AW271" s="101"/>
      <c r="AX271" s="101"/>
      <c r="AY271" s="101"/>
      <c r="AZ271" s="103"/>
      <c r="BA271" s="103"/>
      <c r="BB271" s="103"/>
      <c r="BC271" s="101"/>
      <c r="BD271" s="101"/>
      <c r="BE271" s="101"/>
      <c r="BF271" s="101"/>
      <c r="BG271" s="101"/>
      <c r="BK271" s="101"/>
      <c r="BL271" s="101"/>
      <c r="BM271" s="101"/>
      <c r="BN271" s="101"/>
      <c r="BO271" s="101"/>
      <c r="BP271" s="101"/>
      <c r="BQ271" s="101"/>
      <c r="BR271" s="104"/>
      <c r="BS271" s="104"/>
      <c r="BT271" s="104"/>
      <c r="BU271" s="104"/>
      <c r="BV271" s="104"/>
      <c r="BW271" s="104"/>
      <c r="BX271" s="104"/>
      <c r="BY271" s="104"/>
      <c r="BZ271" s="104"/>
      <c r="CA271" s="104"/>
      <c r="CB271" s="104"/>
      <c r="CC271" s="104"/>
      <c r="CD271" s="104"/>
      <c r="CE271" s="104"/>
      <c r="CF271" s="104"/>
      <c r="CG271" s="104"/>
      <c r="CH271" s="104"/>
      <c r="CI271" s="104"/>
      <c r="CJ271" s="104"/>
      <c r="CK271" s="104"/>
      <c r="CL271" s="104"/>
      <c r="CM271" s="104"/>
      <c r="CN271" s="98"/>
      <c r="CP271" s="101"/>
      <c r="CQ271" s="101"/>
      <c r="CR271" s="101"/>
      <c r="CS271" s="101"/>
      <c r="CT271" s="101"/>
      <c r="FJ271" s="103"/>
      <c r="FL271" s="103"/>
      <c r="FN271" s="103"/>
      <c r="FP271" s="103"/>
    </row>
    <row r="272" spans="2:172" x14ac:dyDescent="0.35">
      <c r="B272" s="97"/>
      <c r="G272" s="100"/>
      <c r="K272" s="98"/>
      <c r="L272" s="101"/>
      <c r="M272" s="101"/>
      <c r="N272" s="101"/>
      <c r="O272" s="101"/>
      <c r="P272" s="102"/>
      <c r="Q272" s="101"/>
      <c r="R272" s="98"/>
      <c r="S272" s="98"/>
      <c r="T272" s="98"/>
      <c r="U272" s="98"/>
      <c r="V272" s="98"/>
      <c r="W272" s="98"/>
      <c r="X272" s="103"/>
      <c r="Y272" s="103"/>
      <c r="Z272" s="103"/>
      <c r="AA272" s="103"/>
      <c r="AB272" s="103"/>
      <c r="AC272" s="103"/>
      <c r="AD272" s="103"/>
      <c r="AE272" s="101"/>
      <c r="AF272" s="101"/>
      <c r="AG272" s="101"/>
      <c r="AH272" s="101"/>
      <c r="AI272" s="101"/>
      <c r="AJ272" s="101"/>
      <c r="AK272" s="101"/>
      <c r="AL272" s="103"/>
      <c r="AM272" s="103"/>
      <c r="AN272" s="103"/>
      <c r="AO272" s="103"/>
      <c r="AP272" s="103"/>
      <c r="AQ272" s="103"/>
      <c r="AR272" s="103"/>
      <c r="AS272" s="101"/>
      <c r="AT272" s="101"/>
      <c r="AU272" s="101"/>
      <c r="AV272" s="101"/>
      <c r="AW272" s="101"/>
      <c r="AX272" s="101"/>
      <c r="AY272" s="101"/>
      <c r="AZ272" s="103"/>
      <c r="BA272" s="103"/>
      <c r="BB272" s="103"/>
      <c r="BC272" s="101"/>
      <c r="BD272" s="101"/>
      <c r="BE272" s="101"/>
      <c r="BF272" s="101"/>
      <c r="BG272" s="101"/>
      <c r="BK272" s="101"/>
      <c r="BL272" s="101"/>
      <c r="BM272" s="101"/>
      <c r="BN272" s="101"/>
      <c r="BO272" s="101"/>
      <c r="BP272" s="101"/>
      <c r="BQ272" s="101"/>
      <c r="BR272" s="104"/>
      <c r="BS272" s="104"/>
      <c r="BT272" s="104"/>
      <c r="BU272" s="104"/>
      <c r="BV272" s="104"/>
      <c r="BW272" s="104"/>
      <c r="BX272" s="104"/>
      <c r="BY272" s="104"/>
      <c r="BZ272" s="104"/>
      <c r="CA272" s="104"/>
      <c r="CB272" s="104"/>
      <c r="CC272" s="104"/>
      <c r="CD272" s="104"/>
      <c r="CE272" s="104"/>
      <c r="CF272" s="104"/>
      <c r="CG272" s="104"/>
      <c r="CH272" s="104"/>
      <c r="CI272" s="104"/>
      <c r="CJ272" s="104"/>
      <c r="CK272" s="104"/>
      <c r="CL272" s="104"/>
      <c r="CM272" s="104"/>
      <c r="CN272" s="98"/>
      <c r="CP272" s="101"/>
      <c r="CQ272" s="101"/>
      <c r="CR272" s="101"/>
      <c r="CS272" s="101"/>
      <c r="CT272" s="101"/>
      <c r="FJ272" s="103"/>
      <c r="FL272" s="103"/>
      <c r="FN272" s="103"/>
      <c r="FP272" s="103"/>
    </row>
    <row r="273" spans="2:172" x14ac:dyDescent="0.35">
      <c r="B273" s="97"/>
      <c r="G273" s="100"/>
      <c r="K273" s="98"/>
      <c r="L273" s="101"/>
      <c r="M273" s="101"/>
      <c r="N273" s="101"/>
      <c r="O273" s="101"/>
      <c r="P273" s="102"/>
      <c r="Q273" s="101"/>
      <c r="R273" s="98"/>
      <c r="S273" s="98"/>
      <c r="T273" s="98"/>
      <c r="U273" s="98"/>
      <c r="V273" s="98"/>
      <c r="W273" s="98"/>
      <c r="X273" s="103"/>
      <c r="Y273" s="103"/>
      <c r="Z273" s="103"/>
      <c r="AA273" s="103"/>
      <c r="AB273" s="103"/>
      <c r="AC273" s="103"/>
      <c r="AD273" s="103"/>
      <c r="AE273" s="101"/>
      <c r="AF273" s="101"/>
      <c r="AG273" s="101"/>
      <c r="AH273" s="101"/>
      <c r="AI273" s="101"/>
      <c r="AJ273" s="101"/>
      <c r="AK273" s="101"/>
      <c r="AL273" s="103"/>
      <c r="AM273" s="103"/>
      <c r="AN273" s="103"/>
      <c r="AO273" s="103"/>
      <c r="AP273" s="103"/>
      <c r="AQ273" s="103"/>
      <c r="AR273" s="103"/>
      <c r="AS273" s="101"/>
      <c r="AT273" s="101"/>
      <c r="AU273" s="101"/>
      <c r="AV273" s="101"/>
      <c r="AW273" s="101"/>
      <c r="AX273" s="101"/>
      <c r="AY273" s="101"/>
      <c r="AZ273" s="103"/>
      <c r="BA273" s="103"/>
      <c r="BB273" s="103"/>
      <c r="BC273" s="101"/>
      <c r="BD273" s="101"/>
      <c r="BE273" s="101"/>
      <c r="BF273" s="101"/>
      <c r="BG273" s="101"/>
      <c r="BK273" s="101"/>
      <c r="BL273" s="101"/>
      <c r="BM273" s="101"/>
      <c r="BN273" s="101"/>
      <c r="BO273" s="101"/>
      <c r="BP273" s="101"/>
      <c r="BQ273" s="101"/>
      <c r="BR273" s="104"/>
      <c r="BS273" s="104"/>
      <c r="BT273" s="104"/>
      <c r="BU273" s="104"/>
      <c r="BV273" s="104"/>
      <c r="BW273" s="104"/>
      <c r="BX273" s="104"/>
      <c r="BY273" s="104"/>
      <c r="BZ273" s="104"/>
      <c r="CA273" s="104"/>
      <c r="CB273" s="104"/>
      <c r="CC273" s="104"/>
      <c r="CD273" s="104"/>
      <c r="CE273" s="104"/>
      <c r="CF273" s="104"/>
      <c r="CG273" s="104"/>
      <c r="CH273" s="104"/>
      <c r="CI273" s="104"/>
      <c r="CJ273" s="104"/>
      <c r="CK273" s="104"/>
      <c r="CL273" s="104"/>
      <c r="CM273" s="104"/>
      <c r="CN273" s="98"/>
      <c r="CP273" s="101"/>
      <c r="CQ273" s="101"/>
      <c r="CR273" s="101"/>
      <c r="CS273" s="101"/>
      <c r="CT273" s="101"/>
      <c r="FJ273" s="103"/>
      <c r="FL273" s="103"/>
      <c r="FN273" s="103"/>
      <c r="FP273" s="103"/>
    </row>
    <row r="274" spans="2:172" x14ac:dyDescent="0.35">
      <c r="B274" s="97"/>
      <c r="G274" s="100"/>
      <c r="K274" s="98"/>
      <c r="L274" s="101"/>
      <c r="M274" s="101"/>
      <c r="N274" s="101"/>
      <c r="O274" s="101"/>
      <c r="P274" s="102"/>
      <c r="Q274" s="101"/>
      <c r="R274" s="98"/>
      <c r="S274" s="98"/>
      <c r="T274" s="98"/>
      <c r="U274" s="98"/>
      <c r="V274" s="98"/>
      <c r="W274" s="98"/>
      <c r="X274" s="103"/>
      <c r="Y274" s="103"/>
      <c r="Z274" s="103"/>
      <c r="AA274" s="103"/>
      <c r="AB274" s="103"/>
      <c r="AC274" s="103"/>
      <c r="AD274" s="103"/>
      <c r="AE274" s="101"/>
      <c r="AF274" s="101"/>
      <c r="AG274" s="101"/>
      <c r="AH274" s="101"/>
      <c r="AI274" s="101"/>
      <c r="AJ274" s="101"/>
      <c r="AK274" s="101"/>
      <c r="AL274" s="103"/>
      <c r="AM274" s="103"/>
      <c r="AN274" s="103"/>
      <c r="AO274" s="103"/>
      <c r="AP274" s="103"/>
      <c r="AQ274" s="103"/>
      <c r="AR274" s="103"/>
      <c r="AS274" s="101"/>
      <c r="AT274" s="101"/>
      <c r="AU274" s="101"/>
      <c r="AV274" s="101"/>
      <c r="AW274" s="101"/>
      <c r="AX274" s="101"/>
      <c r="AY274" s="101"/>
      <c r="AZ274" s="103"/>
      <c r="BA274" s="103"/>
      <c r="BB274" s="103"/>
      <c r="BC274" s="101"/>
      <c r="BD274" s="101"/>
      <c r="BE274" s="101"/>
      <c r="BF274" s="101"/>
      <c r="BG274" s="101"/>
      <c r="BK274" s="101"/>
      <c r="BL274" s="101"/>
      <c r="BM274" s="101"/>
      <c r="BN274" s="101"/>
      <c r="BO274" s="101"/>
      <c r="BP274" s="101"/>
      <c r="BQ274" s="101"/>
      <c r="BR274" s="104"/>
      <c r="BS274" s="104"/>
      <c r="BT274" s="104"/>
      <c r="BU274" s="104"/>
      <c r="BV274" s="104"/>
      <c r="BW274" s="104"/>
      <c r="BX274" s="104"/>
      <c r="BY274" s="104"/>
      <c r="BZ274" s="104"/>
      <c r="CA274" s="104"/>
      <c r="CB274" s="104"/>
      <c r="CC274" s="104"/>
      <c r="CD274" s="104"/>
      <c r="CE274" s="104"/>
      <c r="CF274" s="104"/>
      <c r="CG274" s="104"/>
      <c r="CH274" s="104"/>
      <c r="CI274" s="104"/>
      <c r="CJ274" s="104"/>
      <c r="CK274" s="104"/>
      <c r="CL274" s="104"/>
      <c r="CM274" s="104"/>
      <c r="CN274" s="98"/>
      <c r="CP274" s="101"/>
      <c r="CQ274" s="101"/>
      <c r="CR274" s="101"/>
      <c r="CS274" s="101"/>
      <c r="CT274" s="101"/>
      <c r="FJ274" s="103"/>
      <c r="FL274" s="103"/>
      <c r="FN274" s="103"/>
      <c r="FP274" s="103"/>
    </row>
    <row r="275" spans="2:172" x14ac:dyDescent="0.35">
      <c r="B275" s="97"/>
      <c r="G275" s="100"/>
      <c r="K275" s="98"/>
      <c r="L275" s="101"/>
      <c r="M275" s="101"/>
      <c r="N275" s="101"/>
      <c r="O275" s="101"/>
      <c r="P275" s="102"/>
      <c r="Q275" s="101"/>
      <c r="R275" s="98"/>
      <c r="S275" s="98"/>
      <c r="T275" s="98"/>
      <c r="U275" s="98"/>
      <c r="V275" s="98"/>
      <c r="W275" s="98"/>
      <c r="X275" s="103"/>
      <c r="Y275" s="103"/>
      <c r="Z275" s="103"/>
      <c r="AA275" s="103"/>
      <c r="AB275" s="103"/>
      <c r="AC275" s="103"/>
      <c r="AD275" s="103"/>
      <c r="AE275" s="101"/>
      <c r="AF275" s="101"/>
      <c r="AG275" s="101"/>
      <c r="AH275" s="101"/>
      <c r="AI275" s="101"/>
      <c r="AJ275" s="101"/>
      <c r="AK275" s="101"/>
      <c r="AL275" s="103"/>
      <c r="AM275" s="103"/>
      <c r="AN275" s="103"/>
      <c r="AO275" s="103"/>
      <c r="AP275" s="103"/>
      <c r="AQ275" s="103"/>
      <c r="AR275" s="103"/>
      <c r="AS275" s="101"/>
      <c r="AT275" s="101"/>
      <c r="AU275" s="101"/>
      <c r="AV275" s="101"/>
      <c r="AW275" s="101"/>
      <c r="AX275" s="101"/>
      <c r="AY275" s="101"/>
      <c r="AZ275" s="103"/>
      <c r="BA275" s="103"/>
      <c r="BB275" s="103"/>
      <c r="BC275" s="101"/>
      <c r="BD275" s="101"/>
      <c r="BE275" s="101"/>
      <c r="BF275" s="101"/>
      <c r="BG275" s="101"/>
      <c r="BK275" s="101"/>
      <c r="BL275" s="101"/>
      <c r="BM275" s="101"/>
      <c r="BN275" s="101"/>
      <c r="BO275" s="101"/>
      <c r="BP275" s="101"/>
      <c r="BQ275" s="101"/>
      <c r="BR275" s="104"/>
      <c r="BS275" s="104"/>
      <c r="BT275" s="104"/>
      <c r="BU275" s="104"/>
      <c r="BV275" s="104"/>
      <c r="BW275" s="104"/>
      <c r="BX275" s="104"/>
      <c r="BY275" s="104"/>
      <c r="BZ275" s="104"/>
      <c r="CA275" s="104"/>
      <c r="CB275" s="104"/>
      <c r="CC275" s="104"/>
      <c r="CD275" s="104"/>
      <c r="CE275" s="104"/>
      <c r="CF275" s="104"/>
      <c r="CG275" s="104"/>
      <c r="CH275" s="104"/>
      <c r="CI275" s="104"/>
      <c r="CJ275" s="104"/>
      <c r="CK275" s="104"/>
      <c r="CL275" s="104"/>
      <c r="CM275" s="104"/>
      <c r="CN275" s="98"/>
      <c r="CP275" s="101"/>
      <c r="CQ275" s="101"/>
      <c r="CR275" s="101"/>
      <c r="CS275" s="101"/>
      <c r="CT275" s="101"/>
      <c r="FJ275" s="103"/>
      <c r="FL275" s="103"/>
      <c r="FN275" s="103"/>
      <c r="FP275" s="103"/>
    </row>
    <row r="276" spans="2:172" x14ac:dyDescent="0.35">
      <c r="B276" s="97"/>
      <c r="G276" s="100"/>
      <c r="K276" s="98"/>
      <c r="L276" s="101"/>
      <c r="M276" s="101"/>
      <c r="N276" s="101"/>
      <c r="O276" s="101"/>
      <c r="P276" s="102"/>
      <c r="Q276" s="101"/>
      <c r="R276" s="98"/>
      <c r="S276" s="98"/>
      <c r="T276" s="98"/>
      <c r="U276" s="98"/>
      <c r="V276" s="98"/>
      <c r="W276" s="98"/>
      <c r="X276" s="103"/>
      <c r="Y276" s="103"/>
      <c r="Z276" s="103"/>
      <c r="AA276" s="103"/>
      <c r="AB276" s="103"/>
      <c r="AC276" s="103"/>
      <c r="AD276" s="103"/>
      <c r="AE276" s="101"/>
      <c r="AF276" s="101"/>
      <c r="AG276" s="101"/>
      <c r="AH276" s="101"/>
      <c r="AI276" s="101"/>
      <c r="AJ276" s="101"/>
      <c r="AK276" s="101"/>
      <c r="AL276" s="103"/>
      <c r="AM276" s="103"/>
      <c r="AN276" s="103"/>
      <c r="AO276" s="103"/>
      <c r="AP276" s="103"/>
      <c r="AQ276" s="103"/>
      <c r="AR276" s="103"/>
      <c r="AS276" s="101"/>
      <c r="AT276" s="101"/>
      <c r="AU276" s="101"/>
      <c r="AV276" s="101"/>
      <c r="AW276" s="101"/>
      <c r="AX276" s="101"/>
      <c r="AY276" s="101"/>
      <c r="AZ276" s="103"/>
      <c r="BA276" s="103"/>
      <c r="BB276" s="103"/>
      <c r="BC276" s="101"/>
      <c r="BD276" s="101"/>
      <c r="BE276" s="101"/>
      <c r="BF276" s="101"/>
      <c r="BG276" s="101"/>
      <c r="BK276" s="101"/>
      <c r="BL276" s="101"/>
      <c r="BM276" s="101"/>
      <c r="BN276" s="101"/>
      <c r="BO276" s="101"/>
      <c r="BP276" s="101"/>
      <c r="BQ276" s="101"/>
      <c r="BR276" s="104"/>
      <c r="BS276" s="104"/>
      <c r="BT276" s="104"/>
      <c r="BU276" s="104"/>
      <c r="BV276" s="104"/>
      <c r="BW276" s="104"/>
      <c r="BX276" s="104"/>
      <c r="BY276" s="104"/>
      <c r="BZ276" s="104"/>
      <c r="CA276" s="104"/>
      <c r="CB276" s="104"/>
      <c r="CC276" s="104"/>
      <c r="CD276" s="104"/>
      <c r="CE276" s="104"/>
      <c r="CF276" s="104"/>
      <c r="CG276" s="104"/>
      <c r="CH276" s="104"/>
      <c r="CI276" s="104"/>
      <c r="CJ276" s="104"/>
      <c r="CK276" s="104"/>
      <c r="CL276" s="104"/>
      <c r="CM276" s="104"/>
      <c r="CN276" s="98"/>
      <c r="CP276" s="101"/>
      <c r="CQ276" s="101"/>
      <c r="CR276" s="101"/>
      <c r="CS276" s="101"/>
      <c r="CT276" s="101"/>
      <c r="FJ276" s="103"/>
      <c r="FL276" s="103"/>
      <c r="FN276" s="103"/>
      <c r="FP276" s="103"/>
    </row>
    <row r="277" spans="2:172" x14ac:dyDescent="0.35">
      <c r="B277" s="97"/>
      <c r="G277" s="100"/>
      <c r="K277" s="98"/>
      <c r="L277" s="101"/>
      <c r="M277" s="101"/>
      <c r="N277" s="101"/>
      <c r="O277" s="101"/>
      <c r="P277" s="102"/>
      <c r="Q277" s="101"/>
      <c r="R277" s="98"/>
      <c r="S277" s="98"/>
      <c r="T277" s="98"/>
      <c r="U277" s="98"/>
      <c r="V277" s="98"/>
      <c r="W277" s="98"/>
      <c r="X277" s="103"/>
      <c r="Y277" s="103"/>
      <c r="Z277" s="103"/>
      <c r="AA277" s="103"/>
      <c r="AB277" s="103"/>
      <c r="AC277" s="103"/>
      <c r="AD277" s="103"/>
      <c r="AE277" s="101"/>
      <c r="AF277" s="101"/>
      <c r="AG277" s="101"/>
      <c r="AH277" s="101"/>
      <c r="AI277" s="101"/>
      <c r="AJ277" s="101"/>
      <c r="AK277" s="101"/>
      <c r="AL277" s="103"/>
      <c r="AM277" s="103"/>
      <c r="AN277" s="103"/>
      <c r="AO277" s="103"/>
      <c r="AP277" s="103"/>
      <c r="AQ277" s="103"/>
      <c r="AR277" s="103"/>
      <c r="AS277" s="101"/>
      <c r="AT277" s="101"/>
      <c r="AU277" s="101"/>
      <c r="AV277" s="101"/>
      <c r="AW277" s="101"/>
      <c r="AX277" s="101"/>
      <c r="AY277" s="101"/>
      <c r="AZ277" s="103"/>
      <c r="BA277" s="103"/>
      <c r="BB277" s="103"/>
      <c r="BC277" s="101"/>
      <c r="BD277" s="101"/>
      <c r="BE277" s="101"/>
      <c r="BF277" s="101"/>
      <c r="BG277" s="101"/>
      <c r="BK277" s="101"/>
      <c r="BL277" s="101"/>
      <c r="BM277" s="101"/>
      <c r="BN277" s="101"/>
      <c r="BO277" s="101"/>
      <c r="BP277" s="101"/>
      <c r="BQ277" s="101"/>
      <c r="BR277" s="104"/>
      <c r="BS277" s="104"/>
      <c r="BT277" s="104"/>
      <c r="BU277" s="104"/>
      <c r="BV277" s="104"/>
      <c r="BW277" s="104"/>
      <c r="BX277" s="104"/>
      <c r="BY277" s="104"/>
      <c r="BZ277" s="104"/>
      <c r="CA277" s="104"/>
      <c r="CB277" s="104"/>
      <c r="CC277" s="104"/>
      <c r="CD277" s="104"/>
      <c r="CE277" s="104"/>
      <c r="CF277" s="104"/>
      <c r="CG277" s="104"/>
      <c r="CH277" s="104"/>
      <c r="CI277" s="104"/>
      <c r="CJ277" s="104"/>
      <c r="CK277" s="104"/>
      <c r="CL277" s="104"/>
      <c r="CM277" s="104"/>
      <c r="CN277" s="98"/>
      <c r="CP277" s="101"/>
      <c r="CQ277" s="101"/>
      <c r="CR277" s="101"/>
      <c r="CS277" s="101"/>
      <c r="CT277" s="101"/>
      <c r="FJ277" s="103"/>
      <c r="FL277" s="103"/>
      <c r="FN277" s="103"/>
      <c r="FP277" s="103"/>
    </row>
    <row r="278" spans="2:172" x14ac:dyDescent="0.35">
      <c r="B278" s="97"/>
      <c r="G278" s="100"/>
      <c r="K278" s="98"/>
      <c r="L278" s="101"/>
      <c r="M278" s="101"/>
      <c r="N278" s="101"/>
      <c r="O278" s="101"/>
      <c r="P278" s="102"/>
      <c r="Q278" s="101"/>
      <c r="R278" s="98"/>
      <c r="S278" s="98"/>
      <c r="T278" s="98"/>
      <c r="U278" s="98"/>
      <c r="V278" s="98"/>
      <c r="W278" s="98"/>
      <c r="X278" s="103"/>
      <c r="Y278" s="103"/>
      <c r="Z278" s="103"/>
      <c r="AA278" s="103"/>
      <c r="AB278" s="103"/>
      <c r="AC278" s="103"/>
      <c r="AD278" s="103"/>
      <c r="AE278" s="101"/>
      <c r="AF278" s="101"/>
      <c r="AG278" s="101"/>
      <c r="AH278" s="101"/>
      <c r="AI278" s="101"/>
      <c r="AJ278" s="101"/>
      <c r="AK278" s="101"/>
      <c r="AL278" s="103"/>
      <c r="AM278" s="103"/>
      <c r="AN278" s="103"/>
      <c r="AO278" s="103"/>
      <c r="AP278" s="103"/>
      <c r="AQ278" s="103"/>
      <c r="AR278" s="103"/>
      <c r="AS278" s="101"/>
      <c r="AT278" s="101"/>
      <c r="AU278" s="101"/>
      <c r="AV278" s="101"/>
      <c r="AW278" s="101"/>
      <c r="AX278" s="101"/>
      <c r="AY278" s="101"/>
      <c r="AZ278" s="103"/>
      <c r="BA278" s="103"/>
      <c r="BB278" s="103"/>
      <c r="BC278" s="101"/>
      <c r="BD278" s="101"/>
      <c r="BE278" s="101"/>
      <c r="BF278" s="101"/>
      <c r="BG278" s="101"/>
      <c r="BK278" s="101"/>
      <c r="BL278" s="101"/>
      <c r="BM278" s="101"/>
      <c r="BN278" s="101"/>
      <c r="BO278" s="101"/>
      <c r="BP278" s="101"/>
      <c r="BQ278" s="101"/>
      <c r="BR278" s="104"/>
      <c r="BS278" s="104"/>
      <c r="BT278" s="104"/>
      <c r="BU278" s="104"/>
      <c r="BV278" s="104"/>
      <c r="BW278" s="104"/>
      <c r="BX278" s="104"/>
      <c r="BY278" s="104"/>
      <c r="BZ278" s="104"/>
      <c r="CA278" s="104"/>
      <c r="CB278" s="104"/>
      <c r="CC278" s="104"/>
      <c r="CD278" s="104"/>
      <c r="CE278" s="104"/>
      <c r="CF278" s="104"/>
      <c r="CG278" s="104"/>
      <c r="CH278" s="104"/>
      <c r="CI278" s="104"/>
      <c r="CJ278" s="104"/>
      <c r="CK278" s="104"/>
      <c r="CL278" s="104"/>
      <c r="CM278" s="104"/>
      <c r="CN278" s="98"/>
      <c r="CP278" s="101"/>
      <c r="CQ278" s="101"/>
      <c r="CR278" s="101"/>
      <c r="CS278" s="101"/>
      <c r="CT278" s="101"/>
      <c r="FJ278" s="103"/>
      <c r="FL278" s="103"/>
      <c r="FN278" s="103"/>
      <c r="FP278" s="103"/>
    </row>
    <row r="279" spans="2:172" x14ac:dyDescent="0.35">
      <c r="B279" s="97"/>
      <c r="G279" s="100"/>
      <c r="K279" s="98"/>
      <c r="L279" s="101"/>
      <c r="M279" s="101"/>
      <c r="N279" s="101"/>
      <c r="O279" s="101"/>
      <c r="P279" s="102"/>
      <c r="Q279" s="101"/>
      <c r="R279" s="98"/>
      <c r="S279" s="98"/>
      <c r="T279" s="98"/>
      <c r="U279" s="98"/>
      <c r="V279" s="98"/>
      <c r="W279" s="98"/>
      <c r="X279" s="103"/>
      <c r="Y279" s="103"/>
      <c r="Z279" s="103"/>
      <c r="AA279" s="103"/>
      <c r="AB279" s="103"/>
      <c r="AC279" s="103"/>
      <c r="AD279" s="103"/>
      <c r="AE279" s="101"/>
      <c r="AF279" s="101"/>
      <c r="AG279" s="101"/>
      <c r="AH279" s="101"/>
      <c r="AI279" s="101"/>
      <c r="AJ279" s="101"/>
      <c r="AK279" s="101"/>
      <c r="AL279" s="103"/>
      <c r="AM279" s="103"/>
      <c r="AN279" s="103"/>
      <c r="AO279" s="103"/>
      <c r="AP279" s="103"/>
      <c r="AQ279" s="103"/>
      <c r="AR279" s="103"/>
      <c r="AS279" s="101"/>
      <c r="AT279" s="101"/>
      <c r="AU279" s="101"/>
      <c r="AV279" s="101"/>
      <c r="AW279" s="101"/>
      <c r="AX279" s="101"/>
      <c r="AY279" s="101"/>
      <c r="AZ279" s="103"/>
      <c r="BA279" s="103"/>
      <c r="BB279" s="103"/>
      <c r="BC279" s="101"/>
      <c r="BD279" s="101"/>
      <c r="BE279" s="101"/>
      <c r="BF279" s="101"/>
      <c r="BG279" s="101"/>
      <c r="BK279" s="101"/>
      <c r="BL279" s="101"/>
      <c r="BM279" s="101"/>
      <c r="BN279" s="101"/>
      <c r="BO279" s="101"/>
      <c r="BP279" s="101"/>
      <c r="BQ279" s="101"/>
      <c r="BR279" s="104"/>
      <c r="BS279" s="104"/>
      <c r="BT279" s="104"/>
      <c r="BU279" s="104"/>
      <c r="BV279" s="104"/>
      <c r="BW279" s="104"/>
      <c r="BX279" s="104"/>
      <c r="BY279" s="104"/>
      <c r="BZ279" s="104"/>
      <c r="CA279" s="104"/>
      <c r="CB279" s="104"/>
      <c r="CC279" s="104"/>
      <c r="CD279" s="104"/>
      <c r="CE279" s="104"/>
      <c r="CF279" s="104"/>
      <c r="CG279" s="104"/>
      <c r="CH279" s="104"/>
      <c r="CI279" s="104"/>
      <c r="CJ279" s="104"/>
      <c r="CK279" s="104"/>
      <c r="CL279" s="104"/>
      <c r="CM279" s="104"/>
      <c r="CN279" s="98"/>
      <c r="CP279" s="101"/>
      <c r="CQ279" s="101"/>
      <c r="CR279" s="101"/>
      <c r="CS279" s="101"/>
      <c r="CT279" s="101"/>
      <c r="FJ279" s="103"/>
      <c r="FL279" s="103"/>
      <c r="FN279" s="103"/>
      <c r="FP279" s="103"/>
    </row>
    <row r="280" spans="2:172" x14ac:dyDescent="0.35">
      <c r="B280" s="97"/>
      <c r="G280" s="100"/>
      <c r="K280" s="98"/>
      <c r="L280" s="101"/>
      <c r="M280" s="101"/>
      <c r="N280" s="101"/>
      <c r="O280" s="101"/>
      <c r="P280" s="102"/>
      <c r="Q280" s="101"/>
      <c r="R280" s="98"/>
      <c r="S280" s="98"/>
      <c r="T280" s="98"/>
      <c r="U280" s="98"/>
      <c r="V280" s="98"/>
      <c r="W280" s="98"/>
      <c r="X280" s="103"/>
      <c r="Y280" s="103"/>
      <c r="Z280" s="103"/>
      <c r="AA280" s="103"/>
      <c r="AB280" s="103"/>
      <c r="AC280" s="103"/>
      <c r="AD280" s="103"/>
      <c r="AE280" s="101"/>
      <c r="AF280" s="101"/>
      <c r="AG280" s="101"/>
      <c r="AH280" s="101"/>
      <c r="AI280" s="101"/>
      <c r="AJ280" s="101"/>
      <c r="AK280" s="101"/>
      <c r="AL280" s="103"/>
      <c r="AM280" s="103"/>
      <c r="AN280" s="103"/>
      <c r="AO280" s="103"/>
      <c r="AP280" s="103"/>
      <c r="AQ280" s="103"/>
      <c r="AR280" s="103"/>
      <c r="AS280" s="101"/>
      <c r="AT280" s="101"/>
      <c r="AU280" s="101"/>
      <c r="AV280" s="101"/>
      <c r="AW280" s="101"/>
      <c r="AX280" s="101"/>
      <c r="AY280" s="101"/>
      <c r="AZ280" s="103"/>
      <c r="BA280" s="103"/>
      <c r="BB280" s="103"/>
      <c r="BC280" s="101"/>
      <c r="BD280" s="101"/>
      <c r="BE280" s="101"/>
      <c r="BF280" s="101"/>
      <c r="BG280" s="101"/>
      <c r="BK280" s="101"/>
      <c r="BL280" s="101"/>
      <c r="BM280" s="101"/>
      <c r="BN280" s="101"/>
      <c r="BO280" s="101"/>
      <c r="BP280" s="101"/>
      <c r="BQ280" s="101"/>
      <c r="BR280" s="104"/>
      <c r="BS280" s="104"/>
      <c r="BT280" s="104"/>
      <c r="BU280" s="104"/>
      <c r="BV280" s="104"/>
      <c r="BW280" s="104"/>
      <c r="BX280" s="104"/>
      <c r="BY280" s="104"/>
      <c r="BZ280" s="104"/>
      <c r="CA280" s="104"/>
      <c r="CB280" s="104"/>
      <c r="CC280" s="104"/>
      <c r="CD280" s="104"/>
      <c r="CE280" s="104"/>
      <c r="CF280" s="104"/>
      <c r="CG280" s="104"/>
      <c r="CH280" s="104"/>
      <c r="CI280" s="104"/>
      <c r="CJ280" s="104"/>
      <c r="CK280" s="104"/>
      <c r="CL280" s="104"/>
      <c r="CM280" s="104"/>
      <c r="CN280" s="98"/>
      <c r="CP280" s="101"/>
      <c r="CQ280" s="101"/>
      <c r="CR280" s="101"/>
      <c r="CS280" s="101"/>
      <c r="CT280" s="101"/>
      <c r="FJ280" s="103"/>
      <c r="FL280" s="103"/>
      <c r="FN280" s="103"/>
      <c r="FP280" s="103"/>
    </row>
    <row r="281" spans="2:172" x14ac:dyDescent="0.35">
      <c r="B281" s="97"/>
      <c r="G281" s="100"/>
      <c r="K281" s="98"/>
      <c r="L281" s="101"/>
      <c r="M281" s="101"/>
      <c r="N281" s="101"/>
      <c r="O281" s="101"/>
      <c r="P281" s="102"/>
      <c r="Q281" s="101"/>
      <c r="R281" s="98"/>
      <c r="S281" s="98"/>
      <c r="T281" s="98"/>
      <c r="U281" s="98"/>
      <c r="V281" s="98"/>
      <c r="W281" s="98"/>
      <c r="X281" s="103"/>
      <c r="Y281" s="103"/>
      <c r="Z281" s="103"/>
      <c r="AA281" s="103"/>
      <c r="AB281" s="103"/>
      <c r="AC281" s="103"/>
      <c r="AD281" s="103"/>
      <c r="AE281" s="101"/>
      <c r="AF281" s="101"/>
      <c r="AG281" s="101"/>
      <c r="AH281" s="101"/>
      <c r="AI281" s="101"/>
      <c r="AJ281" s="101"/>
      <c r="AK281" s="101"/>
      <c r="AL281" s="103"/>
      <c r="AM281" s="103"/>
      <c r="AN281" s="103"/>
      <c r="AO281" s="103"/>
      <c r="AP281" s="103"/>
      <c r="AQ281" s="103"/>
      <c r="AR281" s="103"/>
      <c r="AS281" s="101"/>
      <c r="AT281" s="101"/>
      <c r="AU281" s="101"/>
      <c r="AV281" s="101"/>
      <c r="AW281" s="101"/>
      <c r="AX281" s="101"/>
      <c r="AY281" s="101"/>
      <c r="AZ281" s="103"/>
      <c r="BA281" s="103"/>
      <c r="BB281" s="103"/>
      <c r="BC281" s="101"/>
      <c r="BD281" s="101"/>
      <c r="BE281" s="101"/>
      <c r="BF281" s="101"/>
      <c r="BG281" s="101"/>
      <c r="BK281" s="101"/>
      <c r="BL281" s="101"/>
      <c r="BM281" s="101"/>
      <c r="BN281" s="101"/>
      <c r="BO281" s="101"/>
      <c r="BP281" s="101"/>
      <c r="BQ281" s="101"/>
      <c r="BR281" s="104"/>
      <c r="BS281" s="104"/>
      <c r="BT281" s="104"/>
      <c r="BU281" s="104"/>
      <c r="BV281" s="104"/>
      <c r="BW281" s="104"/>
      <c r="BX281" s="104"/>
      <c r="BY281" s="104"/>
      <c r="BZ281" s="104"/>
      <c r="CA281" s="104"/>
      <c r="CB281" s="104"/>
      <c r="CC281" s="104"/>
      <c r="CD281" s="104"/>
      <c r="CE281" s="104"/>
      <c r="CF281" s="104"/>
      <c r="CG281" s="104"/>
      <c r="CH281" s="104"/>
      <c r="CI281" s="104"/>
      <c r="CJ281" s="104"/>
      <c r="CK281" s="104"/>
      <c r="CL281" s="104"/>
      <c r="CM281" s="104"/>
      <c r="CN281" s="98"/>
      <c r="CP281" s="101"/>
      <c r="CQ281" s="101"/>
      <c r="CR281" s="101"/>
      <c r="CS281" s="101"/>
      <c r="CT281" s="101"/>
      <c r="FJ281" s="103"/>
      <c r="FL281" s="103"/>
      <c r="FN281" s="103"/>
      <c r="FP281" s="103"/>
    </row>
    <row r="282" spans="2:172" x14ac:dyDescent="0.35">
      <c r="B282" s="97"/>
      <c r="G282" s="100"/>
      <c r="K282" s="98"/>
      <c r="L282" s="101"/>
      <c r="M282" s="101"/>
      <c r="N282" s="101"/>
      <c r="O282" s="101"/>
      <c r="P282" s="102"/>
      <c r="Q282" s="101"/>
      <c r="R282" s="98"/>
      <c r="S282" s="98"/>
      <c r="T282" s="98"/>
      <c r="U282" s="98"/>
      <c r="V282" s="98"/>
      <c r="W282" s="98"/>
      <c r="X282" s="103"/>
      <c r="Y282" s="103"/>
      <c r="Z282" s="103"/>
      <c r="AA282" s="103"/>
      <c r="AB282" s="103"/>
      <c r="AC282" s="103"/>
      <c r="AD282" s="103"/>
      <c r="AE282" s="101"/>
      <c r="AF282" s="101"/>
      <c r="AG282" s="101"/>
      <c r="AH282" s="101"/>
      <c r="AI282" s="101"/>
      <c r="AJ282" s="101"/>
      <c r="AK282" s="101"/>
      <c r="AL282" s="103"/>
      <c r="AM282" s="103"/>
      <c r="AN282" s="103"/>
      <c r="AO282" s="103"/>
      <c r="AP282" s="103"/>
      <c r="AQ282" s="103"/>
      <c r="AR282" s="103"/>
      <c r="AS282" s="101"/>
      <c r="AT282" s="101"/>
      <c r="AU282" s="101"/>
      <c r="AV282" s="101"/>
      <c r="AW282" s="101"/>
      <c r="AX282" s="101"/>
      <c r="AY282" s="101"/>
      <c r="AZ282" s="103"/>
      <c r="BA282" s="103"/>
      <c r="BB282" s="103"/>
      <c r="BC282" s="101"/>
      <c r="BD282" s="101"/>
      <c r="BE282" s="101"/>
      <c r="BF282" s="101"/>
      <c r="BG282" s="101"/>
      <c r="BK282" s="101"/>
      <c r="BL282" s="101"/>
      <c r="BM282" s="101"/>
      <c r="BN282" s="101"/>
      <c r="BO282" s="101"/>
      <c r="BP282" s="101"/>
      <c r="BQ282" s="101"/>
      <c r="BR282" s="104"/>
      <c r="BS282" s="104"/>
      <c r="BT282" s="104"/>
      <c r="BU282" s="104"/>
      <c r="BV282" s="104"/>
      <c r="BW282" s="104"/>
      <c r="BX282" s="104"/>
      <c r="BY282" s="104"/>
      <c r="BZ282" s="104"/>
      <c r="CA282" s="104"/>
      <c r="CB282" s="104"/>
      <c r="CC282" s="104"/>
      <c r="CD282" s="104"/>
      <c r="CE282" s="104"/>
      <c r="CF282" s="104"/>
      <c r="CG282" s="104"/>
      <c r="CH282" s="104"/>
      <c r="CI282" s="104"/>
      <c r="CJ282" s="104"/>
      <c r="CK282" s="104"/>
      <c r="CL282" s="104"/>
      <c r="CM282" s="104"/>
      <c r="CN282" s="98"/>
      <c r="CP282" s="101"/>
      <c r="CQ282" s="101"/>
      <c r="CR282" s="101"/>
      <c r="CS282" s="101"/>
      <c r="CT282" s="101"/>
      <c r="FJ282" s="103"/>
      <c r="FL282" s="103"/>
      <c r="FN282" s="103"/>
      <c r="FP282" s="103"/>
    </row>
    <row r="283" spans="2:172" x14ac:dyDescent="0.35">
      <c r="B283" s="97"/>
      <c r="G283" s="100"/>
      <c r="K283" s="98"/>
      <c r="L283" s="101"/>
      <c r="M283" s="101"/>
      <c r="N283" s="101"/>
      <c r="O283" s="101"/>
      <c r="P283" s="102"/>
      <c r="Q283" s="101"/>
      <c r="R283" s="98"/>
      <c r="S283" s="98"/>
      <c r="T283" s="98"/>
      <c r="U283" s="98"/>
      <c r="V283" s="98"/>
      <c r="W283" s="98"/>
      <c r="X283" s="103"/>
      <c r="Y283" s="103"/>
      <c r="Z283" s="103"/>
      <c r="AA283" s="103"/>
      <c r="AB283" s="103"/>
      <c r="AC283" s="103"/>
      <c r="AD283" s="103"/>
      <c r="AE283" s="101"/>
      <c r="AF283" s="101"/>
      <c r="AG283" s="101"/>
      <c r="AH283" s="101"/>
      <c r="AI283" s="101"/>
      <c r="AJ283" s="101"/>
      <c r="AK283" s="101"/>
      <c r="AL283" s="103"/>
      <c r="AM283" s="103"/>
      <c r="AN283" s="103"/>
      <c r="AO283" s="103"/>
      <c r="AP283" s="103"/>
      <c r="AQ283" s="103"/>
      <c r="AR283" s="103"/>
      <c r="AS283" s="101"/>
      <c r="AT283" s="101"/>
      <c r="AU283" s="101"/>
      <c r="AV283" s="101"/>
      <c r="AW283" s="101"/>
      <c r="AX283" s="101"/>
      <c r="AY283" s="101"/>
      <c r="AZ283" s="103"/>
      <c r="BA283" s="103"/>
      <c r="BB283" s="103"/>
      <c r="BC283" s="101"/>
      <c r="BD283" s="101"/>
      <c r="BE283" s="101"/>
      <c r="BF283" s="101"/>
      <c r="BG283" s="101"/>
      <c r="BK283" s="101"/>
      <c r="BL283" s="101"/>
      <c r="BM283" s="101"/>
      <c r="BN283" s="101"/>
      <c r="BO283" s="101"/>
      <c r="BP283" s="101"/>
      <c r="BQ283" s="101"/>
      <c r="BR283" s="104"/>
      <c r="BS283" s="104"/>
      <c r="BT283" s="104"/>
      <c r="BU283" s="104"/>
      <c r="BV283" s="104"/>
      <c r="BW283" s="104"/>
      <c r="BX283" s="104"/>
      <c r="BY283" s="104"/>
      <c r="BZ283" s="104"/>
      <c r="CA283" s="104"/>
      <c r="CB283" s="104"/>
      <c r="CC283" s="104"/>
      <c r="CD283" s="104"/>
      <c r="CE283" s="104"/>
      <c r="CF283" s="104"/>
      <c r="CG283" s="104"/>
      <c r="CH283" s="104"/>
      <c r="CI283" s="104"/>
      <c r="CJ283" s="104"/>
      <c r="CK283" s="104"/>
      <c r="CL283" s="104"/>
      <c r="CM283" s="104"/>
      <c r="CN283" s="98"/>
      <c r="CP283" s="101"/>
      <c r="CQ283" s="101"/>
      <c r="CR283" s="101"/>
      <c r="CS283" s="101"/>
      <c r="CT283" s="101"/>
      <c r="FJ283" s="103"/>
      <c r="FL283" s="103"/>
      <c r="FN283" s="103"/>
      <c r="FP283" s="103"/>
    </row>
    <row r="284" spans="2:172" x14ac:dyDescent="0.35">
      <c r="B284" s="97"/>
      <c r="G284" s="100"/>
      <c r="K284" s="98"/>
      <c r="L284" s="101"/>
      <c r="M284" s="101"/>
      <c r="N284" s="101"/>
      <c r="O284" s="101"/>
      <c r="P284" s="102"/>
      <c r="Q284" s="101"/>
      <c r="R284" s="98"/>
      <c r="S284" s="98"/>
      <c r="T284" s="98"/>
      <c r="U284" s="98"/>
      <c r="V284" s="98"/>
      <c r="W284" s="98"/>
      <c r="X284" s="103"/>
      <c r="Y284" s="103"/>
      <c r="Z284" s="103"/>
      <c r="AA284" s="103"/>
      <c r="AB284" s="103"/>
      <c r="AC284" s="103"/>
      <c r="AD284" s="103"/>
      <c r="AE284" s="101"/>
      <c r="AF284" s="101"/>
      <c r="AG284" s="101"/>
      <c r="AH284" s="101"/>
      <c r="AI284" s="101"/>
      <c r="AJ284" s="101"/>
      <c r="AK284" s="101"/>
      <c r="AL284" s="103"/>
      <c r="AM284" s="103"/>
      <c r="AN284" s="103"/>
      <c r="AO284" s="103"/>
      <c r="AP284" s="103"/>
      <c r="AQ284" s="103"/>
      <c r="AR284" s="103"/>
      <c r="AS284" s="101"/>
      <c r="AT284" s="101"/>
      <c r="AU284" s="101"/>
      <c r="AV284" s="101"/>
      <c r="AW284" s="101"/>
      <c r="AX284" s="101"/>
      <c r="AY284" s="101"/>
      <c r="AZ284" s="103"/>
      <c r="BA284" s="103"/>
      <c r="BB284" s="103"/>
      <c r="BC284" s="101"/>
      <c r="BD284" s="101"/>
      <c r="BE284" s="101"/>
      <c r="BF284" s="101"/>
      <c r="BG284" s="101"/>
      <c r="BK284" s="101"/>
      <c r="BL284" s="101"/>
      <c r="BM284" s="101"/>
      <c r="BN284" s="101"/>
      <c r="BO284" s="101"/>
      <c r="BP284" s="101"/>
      <c r="BQ284" s="101"/>
      <c r="BR284" s="104"/>
      <c r="BS284" s="104"/>
      <c r="BT284" s="104"/>
      <c r="BU284" s="104"/>
      <c r="BV284" s="104"/>
      <c r="BW284" s="104"/>
      <c r="BX284" s="104"/>
      <c r="BY284" s="104"/>
      <c r="BZ284" s="104"/>
      <c r="CA284" s="104"/>
      <c r="CB284" s="104"/>
      <c r="CC284" s="104"/>
      <c r="CD284" s="104"/>
      <c r="CE284" s="104"/>
      <c r="CF284" s="104"/>
      <c r="CG284" s="104"/>
      <c r="CH284" s="104"/>
      <c r="CI284" s="104"/>
      <c r="CJ284" s="104"/>
      <c r="CK284" s="104"/>
      <c r="CL284" s="104"/>
      <c r="CM284" s="104"/>
      <c r="CN284" s="98"/>
      <c r="CP284" s="101"/>
      <c r="CQ284" s="101"/>
      <c r="CR284" s="101"/>
      <c r="CS284" s="101"/>
      <c r="CT284" s="101"/>
      <c r="FJ284" s="103"/>
      <c r="FL284" s="103"/>
      <c r="FN284" s="103"/>
      <c r="FP284" s="103"/>
    </row>
    <row r="285" spans="2:172" x14ac:dyDescent="0.35">
      <c r="B285" s="97"/>
      <c r="G285" s="100"/>
      <c r="K285" s="98"/>
      <c r="L285" s="101"/>
      <c r="M285" s="101"/>
      <c r="N285" s="101"/>
      <c r="O285" s="101"/>
      <c r="P285" s="102"/>
      <c r="Q285" s="101"/>
      <c r="R285" s="98"/>
      <c r="S285" s="98"/>
      <c r="T285" s="98"/>
      <c r="U285" s="98"/>
      <c r="V285" s="98"/>
      <c r="W285" s="98"/>
      <c r="X285" s="103"/>
      <c r="Y285" s="103"/>
      <c r="Z285" s="103"/>
      <c r="AA285" s="103"/>
      <c r="AB285" s="103"/>
      <c r="AC285" s="103"/>
      <c r="AD285" s="103"/>
      <c r="AE285" s="101"/>
      <c r="AF285" s="101"/>
      <c r="AG285" s="101"/>
      <c r="AH285" s="101"/>
      <c r="AI285" s="101"/>
      <c r="AJ285" s="101"/>
      <c r="AK285" s="101"/>
      <c r="AL285" s="103"/>
      <c r="AM285" s="103"/>
      <c r="AN285" s="103"/>
      <c r="AO285" s="103"/>
      <c r="AP285" s="103"/>
      <c r="AQ285" s="103"/>
      <c r="AR285" s="103"/>
      <c r="AS285" s="101"/>
      <c r="AT285" s="101"/>
      <c r="AU285" s="101"/>
      <c r="AV285" s="101"/>
      <c r="AW285" s="101"/>
      <c r="AX285" s="101"/>
      <c r="AY285" s="101"/>
      <c r="AZ285" s="103"/>
      <c r="BA285" s="103"/>
      <c r="BB285" s="103"/>
      <c r="BC285" s="101"/>
      <c r="BD285" s="101"/>
      <c r="BE285" s="101"/>
      <c r="BF285" s="101"/>
      <c r="BG285" s="101"/>
      <c r="BK285" s="101"/>
      <c r="BL285" s="101"/>
      <c r="BM285" s="101"/>
      <c r="BN285" s="101"/>
      <c r="BO285" s="101"/>
      <c r="BP285" s="101"/>
      <c r="BQ285" s="101"/>
      <c r="BR285" s="104"/>
      <c r="BS285" s="104"/>
      <c r="BT285" s="104"/>
      <c r="BU285" s="104"/>
      <c r="BV285" s="104"/>
      <c r="BW285" s="104"/>
      <c r="BX285" s="104"/>
      <c r="BY285" s="104"/>
      <c r="BZ285" s="104"/>
      <c r="CA285" s="104"/>
      <c r="CB285" s="104"/>
      <c r="CC285" s="104"/>
      <c r="CD285" s="104"/>
      <c r="CE285" s="104"/>
      <c r="CF285" s="104"/>
      <c r="CG285" s="104"/>
      <c r="CH285" s="104"/>
      <c r="CI285" s="104"/>
      <c r="CJ285" s="104"/>
      <c r="CK285" s="104"/>
      <c r="CL285" s="104"/>
      <c r="CM285" s="104"/>
      <c r="CN285" s="98"/>
      <c r="CP285" s="101"/>
      <c r="CQ285" s="101"/>
      <c r="CR285" s="101"/>
      <c r="CS285" s="101"/>
      <c r="CT285" s="101"/>
      <c r="FJ285" s="103"/>
      <c r="FL285" s="103"/>
      <c r="FN285" s="103"/>
      <c r="FP285" s="103"/>
    </row>
    <row r="286" spans="2:172" x14ac:dyDescent="0.35">
      <c r="B286" s="97"/>
      <c r="G286" s="100"/>
      <c r="K286" s="98"/>
      <c r="L286" s="101"/>
      <c r="M286" s="101"/>
      <c r="N286" s="101"/>
      <c r="O286" s="101"/>
      <c r="P286" s="102"/>
      <c r="Q286" s="101"/>
      <c r="R286" s="98"/>
      <c r="S286" s="98"/>
      <c r="T286" s="98"/>
      <c r="U286" s="98"/>
      <c r="V286" s="98"/>
      <c r="W286" s="98"/>
      <c r="X286" s="103"/>
      <c r="Y286" s="103"/>
      <c r="Z286" s="103"/>
      <c r="AA286" s="103"/>
      <c r="AB286" s="103"/>
      <c r="AC286" s="103"/>
      <c r="AD286" s="103"/>
      <c r="AE286" s="101"/>
      <c r="AF286" s="101"/>
      <c r="AG286" s="101"/>
      <c r="AH286" s="101"/>
      <c r="AI286" s="101"/>
      <c r="AJ286" s="101"/>
      <c r="AK286" s="101"/>
      <c r="AL286" s="103"/>
      <c r="AM286" s="103"/>
      <c r="AN286" s="103"/>
      <c r="AO286" s="103"/>
      <c r="AP286" s="103"/>
      <c r="AQ286" s="103"/>
      <c r="AR286" s="103"/>
      <c r="AS286" s="101"/>
      <c r="AT286" s="101"/>
      <c r="AU286" s="101"/>
      <c r="AV286" s="101"/>
      <c r="AW286" s="101"/>
      <c r="AX286" s="101"/>
      <c r="AY286" s="101"/>
      <c r="AZ286" s="103"/>
      <c r="BA286" s="103"/>
      <c r="BB286" s="103"/>
      <c r="BC286" s="101"/>
      <c r="BD286" s="101"/>
      <c r="BE286" s="101"/>
      <c r="BF286" s="101"/>
      <c r="BG286" s="101"/>
      <c r="BK286" s="101"/>
      <c r="BL286" s="101"/>
      <c r="BM286" s="101"/>
      <c r="BN286" s="101"/>
      <c r="BO286" s="101"/>
      <c r="BP286" s="101"/>
      <c r="BQ286" s="101"/>
      <c r="BR286" s="104"/>
      <c r="BS286" s="104"/>
      <c r="BT286" s="104"/>
      <c r="BU286" s="104"/>
      <c r="BV286" s="104"/>
      <c r="BW286" s="104"/>
      <c r="BX286" s="104"/>
      <c r="BY286" s="104"/>
      <c r="BZ286" s="104"/>
      <c r="CA286" s="104"/>
      <c r="CB286" s="104"/>
      <c r="CC286" s="104"/>
      <c r="CD286" s="104"/>
      <c r="CE286" s="104"/>
      <c r="CF286" s="104"/>
      <c r="CG286" s="104"/>
      <c r="CH286" s="104"/>
      <c r="CI286" s="104"/>
      <c r="CJ286" s="104"/>
      <c r="CK286" s="104"/>
      <c r="CL286" s="104"/>
      <c r="CM286" s="104"/>
      <c r="CN286" s="98"/>
      <c r="CP286" s="101"/>
      <c r="CQ286" s="101"/>
      <c r="CR286" s="101"/>
      <c r="CS286" s="101"/>
      <c r="CT286" s="101"/>
      <c r="FJ286" s="103"/>
      <c r="FL286" s="103"/>
      <c r="FN286" s="103"/>
      <c r="FP286" s="103"/>
    </row>
    <row r="287" spans="2:172" x14ac:dyDescent="0.35">
      <c r="B287" s="97"/>
      <c r="G287" s="100"/>
      <c r="K287" s="98"/>
      <c r="L287" s="101"/>
      <c r="M287" s="101"/>
      <c r="N287" s="101"/>
      <c r="O287" s="101"/>
      <c r="P287" s="102"/>
      <c r="Q287" s="101"/>
      <c r="R287" s="98"/>
      <c r="S287" s="98"/>
      <c r="T287" s="98"/>
      <c r="U287" s="98"/>
      <c r="V287" s="98"/>
      <c r="W287" s="98"/>
      <c r="X287" s="103"/>
      <c r="Y287" s="103"/>
      <c r="Z287" s="103"/>
      <c r="AA287" s="103"/>
      <c r="AB287" s="103"/>
      <c r="AC287" s="103"/>
      <c r="AD287" s="103"/>
      <c r="AE287" s="101"/>
      <c r="AF287" s="101"/>
      <c r="AG287" s="101"/>
      <c r="AH287" s="101"/>
      <c r="AI287" s="101"/>
      <c r="AJ287" s="101"/>
      <c r="AK287" s="101"/>
      <c r="AL287" s="103"/>
      <c r="AM287" s="103"/>
      <c r="AN287" s="103"/>
      <c r="AO287" s="103"/>
      <c r="AP287" s="103"/>
      <c r="AQ287" s="103"/>
      <c r="AR287" s="103"/>
      <c r="AS287" s="101"/>
      <c r="AT287" s="101"/>
      <c r="AU287" s="101"/>
      <c r="AV287" s="101"/>
      <c r="AW287" s="101"/>
      <c r="AX287" s="101"/>
      <c r="AY287" s="101"/>
      <c r="AZ287" s="103"/>
      <c r="BA287" s="103"/>
      <c r="BB287" s="103"/>
      <c r="BC287" s="101"/>
      <c r="BD287" s="101"/>
      <c r="BE287" s="101"/>
      <c r="BF287" s="101"/>
      <c r="BG287" s="101"/>
      <c r="BK287" s="101"/>
      <c r="BL287" s="101"/>
      <c r="BM287" s="101"/>
      <c r="BN287" s="101"/>
      <c r="BO287" s="101"/>
      <c r="BP287" s="101"/>
      <c r="BQ287" s="101"/>
      <c r="BR287" s="104"/>
      <c r="BS287" s="104"/>
      <c r="BT287" s="104"/>
      <c r="BU287" s="104"/>
      <c r="BV287" s="104"/>
      <c r="BW287" s="104"/>
      <c r="BX287" s="104"/>
      <c r="BY287" s="104"/>
      <c r="BZ287" s="104"/>
      <c r="CA287" s="104"/>
      <c r="CB287" s="104"/>
      <c r="CC287" s="104"/>
      <c r="CD287" s="104"/>
      <c r="CE287" s="104"/>
      <c r="CF287" s="104"/>
      <c r="CG287" s="104"/>
      <c r="CH287" s="104"/>
      <c r="CI287" s="104"/>
      <c r="CJ287" s="104"/>
      <c r="CK287" s="104"/>
      <c r="CL287" s="104"/>
      <c r="CM287" s="104"/>
      <c r="CN287" s="98"/>
      <c r="CP287" s="101"/>
      <c r="CQ287" s="101"/>
      <c r="CR287" s="101"/>
      <c r="CS287" s="101"/>
      <c r="CT287" s="101"/>
      <c r="FJ287" s="103"/>
      <c r="FL287" s="103"/>
      <c r="FN287" s="103"/>
      <c r="FP287" s="103"/>
    </row>
    <row r="288" spans="2:172" x14ac:dyDescent="0.35">
      <c r="B288" s="97"/>
      <c r="G288" s="100"/>
      <c r="K288" s="98"/>
      <c r="L288" s="101"/>
      <c r="M288" s="101"/>
      <c r="N288" s="101"/>
      <c r="O288" s="101"/>
      <c r="P288" s="102"/>
      <c r="Q288" s="101"/>
      <c r="R288" s="98"/>
      <c r="S288" s="98"/>
      <c r="T288" s="98"/>
      <c r="U288" s="98"/>
      <c r="V288" s="98"/>
      <c r="W288" s="98"/>
      <c r="X288" s="103"/>
      <c r="Y288" s="103"/>
      <c r="Z288" s="103"/>
      <c r="AA288" s="103"/>
      <c r="AB288" s="103"/>
      <c r="AC288" s="103"/>
      <c r="AD288" s="103"/>
      <c r="AE288" s="101"/>
      <c r="AF288" s="101"/>
      <c r="AG288" s="101"/>
      <c r="AH288" s="101"/>
      <c r="AI288" s="101"/>
      <c r="AJ288" s="101"/>
      <c r="AK288" s="101"/>
      <c r="AL288" s="103"/>
      <c r="AM288" s="103"/>
      <c r="AN288" s="103"/>
      <c r="AO288" s="103"/>
      <c r="AP288" s="103"/>
      <c r="AQ288" s="103"/>
      <c r="AR288" s="103"/>
      <c r="AS288" s="101"/>
      <c r="AT288" s="101"/>
      <c r="AU288" s="101"/>
      <c r="AV288" s="101"/>
      <c r="AW288" s="101"/>
      <c r="AX288" s="101"/>
      <c r="AY288" s="101"/>
      <c r="AZ288" s="103"/>
      <c r="BA288" s="103"/>
      <c r="BB288" s="103"/>
      <c r="BC288" s="101"/>
      <c r="BD288" s="101"/>
      <c r="BE288" s="101"/>
      <c r="BF288" s="101"/>
      <c r="BG288" s="101"/>
      <c r="BK288" s="101"/>
      <c r="BL288" s="101"/>
      <c r="BM288" s="101"/>
      <c r="BN288" s="101"/>
      <c r="BO288" s="101"/>
      <c r="BP288" s="101"/>
      <c r="BQ288" s="101"/>
      <c r="BR288" s="104"/>
      <c r="BS288" s="104"/>
      <c r="BT288" s="104"/>
      <c r="BU288" s="104"/>
      <c r="BV288" s="104"/>
      <c r="BW288" s="104"/>
      <c r="BX288" s="104"/>
      <c r="BY288" s="104"/>
      <c r="BZ288" s="104"/>
      <c r="CA288" s="104"/>
      <c r="CB288" s="104"/>
      <c r="CC288" s="104"/>
      <c r="CD288" s="104"/>
      <c r="CE288" s="104"/>
      <c r="CF288" s="104"/>
      <c r="CG288" s="104"/>
      <c r="CH288" s="104"/>
      <c r="CI288" s="104"/>
      <c r="CJ288" s="104"/>
      <c r="CK288" s="104"/>
      <c r="CL288" s="104"/>
      <c r="CM288" s="104"/>
      <c r="CN288" s="98"/>
      <c r="CP288" s="101"/>
      <c r="CQ288" s="101"/>
      <c r="CR288" s="101"/>
      <c r="CS288" s="101"/>
      <c r="CT288" s="101"/>
      <c r="FJ288" s="103"/>
      <c r="FL288" s="103"/>
      <c r="FN288" s="103"/>
      <c r="FP288" s="103"/>
    </row>
    <row r="289" spans="2:172" x14ac:dyDescent="0.35">
      <c r="B289" s="97"/>
      <c r="G289" s="100"/>
      <c r="K289" s="98"/>
      <c r="L289" s="101"/>
      <c r="M289" s="101"/>
      <c r="N289" s="101"/>
      <c r="O289" s="101"/>
      <c r="P289" s="102"/>
      <c r="Q289" s="101"/>
      <c r="R289" s="98"/>
      <c r="S289" s="98"/>
      <c r="T289" s="98"/>
      <c r="U289" s="98"/>
      <c r="V289" s="98"/>
      <c r="W289" s="98"/>
      <c r="X289" s="103"/>
      <c r="Y289" s="103"/>
      <c r="Z289" s="103"/>
      <c r="AA289" s="103"/>
      <c r="AB289" s="103"/>
      <c r="AC289" s="103"/>
      <c r="AD289" s="103"/>
      <c r="AE289" s="101"/>
      <c r="AF289" s="101"/>
      <c r="AG289" s="101"/>
      <c r="AH289" s="101"/>
      <c r="AI289" s="101"/>
      <c r="AJ289" s="101"/>
      <c r="AK289" s="101"/>
      <c r="AL289" s="103"/>
      <c r="AM289" s="103"/>
      <c r="AN289" s="103"/>
      <c r="AO289" s="103"/>
      <c r="AP289" s="103"/>
      <c r="AQ289" s="103"/>
      <c r="AR289" s="103"/>
      <c r="AS289" s="101"/>
      <c r="AT289" s="101"/>
      <c r="AU289" s="101"/>
      <c r="AV289" s="101"/>
      <c r="AW289" s="101"/>
      <c r="AX289" s="101"/>
      <c r="AY289" s="101"/>
      <c r="AZ289" s="103"/>
      <c r="BA289" s="103"/>
      <c r="BB289" s="103"/>
      <c r="BC289" s="101"/>
      <c r="BD289" s="101"/>
      <c r="BE289" s="101"/>
      <c r="BF289" s="101"/>
      <c r="BG289" s="101"/>
      <c r="BK289" s="101"/>
      <c r="BL289" s="101"/>
      <c r="BM289" s="101"/>
      <c r="BN289" s="101"/>
      <c r="BO289" s="101"/>
      <c r="BP289" s="101"/>
      <c r="BQ289" s="101"/>
      <c r="BR289" s="104"/>
      <c r="BS289" s="104"/>
      <c r="BT289" s="104"/>
      <c r="BU289" s="104"/>
      <c r="BV289" s="104"/>
      <c r="BW289" s="104"/>
      <c r="BX289" s="104"/>
      <c r="BY289" s="104"/>
      <c r="BZ289" s="104"/>
      <c r="CA289" s="104"/>
      <c r="CB289" s="104"/>
      <c r="CC289" s="104"/>
      <c r="CD289" s="104"/>
      <c r="CE289" s="104"/>
      <c r="CF289" s="104"/>
      <c r="CG289" s="104"/>
      <c r="CH289" s="104"/>
      <c r="CI289" s="104"/>
      <c r="CJ289" s="104"/>
      <c r="CK289" s="104"/>
      <c r="CL289" s="104"/>
      <c r="CM289" s="104"/>
      <c r="CN289" s="98"/>
      <c r="CP289" s="101"/>
      <c r="CQ289" s="101"/>
      <c r="CR289" s="101"/>
      <c r="CS289" s="101"/>
      <c r="CT289" s="101"/>
      <c r="FJ289" s="103"/>
      <c r="FL289" s="103"/>
      <c r="FN289" s="103"/>
      <c r="FP289" s="103"/>
    </row>
    <row r="290" spans="2:172" x14ac:dyDescent="0.35">
      <c r="B290" s="97"/>
      <c r="G290" s="100"/>
      <c r="K290" s="98"/>
      <c r="L290" s="101"/>
      <c r="M290" s="101"/>
      <c r="N290" s="101"/>
      <c r="O290" s="101"/>
      <c r="P290" s="102"/>
      <c r="Q290" s="101"/>
      <c r="R290" s="98"/>
      <c r="S290" s="98"/>
      <c r="T290" s="98"/>
      <c r="U290" s="98"/>
      <c r="V290" s="98"/>
      <c r="W290" s="98"/>
      <c r="X290" s="103"/>
      <c r="Y290" s="103"/>
      <c r="Z290" s="103"/>
      <c r="AA290" s="103"/>
      <c r="AB290" s="103"/>
      <c r="AC290" s="103"/>
      <c r="AD290" s="103"/>
      <c r="AE290" s="101"/>
      <c r="AF290" s="101"/>
      <c r="AG290" s="101"/>
      <c r="AH290" s="101"/>
      <c r="AI290" s="101"/>
      <c r="AJ290" s="101"/>
      <c r="AK290" s="101"/>
      <c r="AL290" s="103"/>
      <c r="AM290" s="103"/>
      <c r="AN290" s="103"/>
      <c r="AO290" s="103"/>
      <c r="AP290" s="103"/>
      <c r="AQ290" s="103"/>
      <c r="AR290" s="103"/>
      <c r="AS290" s="101"/>
      <c r="AT290" s="101"/>
      <c r="AU290" s="101"/>
      <c r="AV290" s="101"/>
      <c r="AW290" s="101"/>
      <c r="AX290" s="101"/>
      <c r="AY290" s="101"/>
      <c r="AZ290" s="103"/>
      <c r="BA290" s="103"/>
      <c r="BB290" s="103"/>
      <c r="BC290" s="101"/>
      <c r="BD290" s="101"/>
      <c r="BE290" s="101"/>
      <c r="BF290" s="101"/>
      <c r="BG290" s="101"/>
      <c r="BK290" s="101"/>
      <c r="BL290" s="101"/>
      <c r="BM290" s="101"/>
      <c r="BN290" s="101"/>
      <c r="BO290" s="101"/>
      <c r="BP290" s="101"/>
      <c r="BQ290" s="101"/>
      <c r="BR290" s="104"/>
      <c r="BS290" s="104"/>
      <c r="BT290" s="104"/>
      <c r="BU290" s="104"/>
      <c r="BV290" s="104"/>
      <c r="BW290" s="104"/>
      <c r="BX290" s="104"/>
      <c r="BY290" s="104"/>
      <c r="BZ290" s="104"/>
      <c r="CA290" s="104"/>
      <c r="CB290" s="104"/>
      <c r="CC290" s="104"/>
      <c r="CD290" s="104"/>
      <c r="CE290" s="104"/>
      <c r="CF290" s="104"/>
      <c r="CG290" s="104"/>
      <c r="CH290" s="104"/>
      <c r="CI290" s="104"/>
      <c r="CJ290" s="104"/>
      <c r="CK290" s="104"/>
      <c r="CL290" s="104"/>
      <c r="CM290" s="104"/>
      <c r="CN290" s="98"/>
      <c r="CP290" s="101"/>
      <c r="CQ290" s="101"/>
      <c r="CR290" s="101"/>
      <c r="CS290" s="101"/>
      <c r="CT290" s="101"/>
      <c r="FJ290" s="103"/>
      <c r="FL290" s="103"/>
      <c r="FN290" s="103"/>
      <c r="FP290" s="103"/>
    </row>
    <row r="291" spans="2:172" x14ac:dyDescent="0.35">
      <c r="B291" s="97"/>
      <c r="G291" s="100"/>
      <c r="K291" s="98"/>
      <c r="L291" s="101"/>
      <c r="M291" s="101"/>
      <c r="N291" s="101"/>
      <c r="O291" s="101"/>
      <c r="P291" s="102"/>
      <c r="Q291" s="101"/>
      <c r="R291" s="98"/>
      <c r="S291" s="98"/>
      <c r="T291" s="98"/>
      <c r="U291" s="98"/>
      <c r="V291" s="98"/>
      <c r="W291" s="98"/>
      <c r="X291" s="103"/>
      <c r="Y291" s="103"/>
      <c r="Z291" s="103"/>
      <c r="AA291" s="103"/>
      <c r="AB291" s="103"/>
      <c r="AC291" s="103"/>
      <c r="AD291" s="103"/>
      <c r="AE291" s="101"/>
      <c r="AF291" s="101"/>
      <c r="AG291" s="101"/>
      <c r="AH291" s="101"/>
      <c r="AI291" s="101"/>
      <c r="AJ291" s="101"/>
      <c r="AK291" s="101"/>
      <c r="AL291" s="103"/>
      <c r="AM291" s="103"/>
      <c r="AN291" s="103"/>
      <c r="AO291" s="103"/>
      <c r="AP291" s="103"/>
      <c r="AQ291" s="103"/>
      <c r="AR291" s="103"/>
      <c r="AS291" s="101"/>
      <c r="AT291" s="101"/>
      <c r="AU291" s="101"/>
      <c r="AV291" s="101"/>
      <c r="AW291" s="101"/>
      <c r="AX291" s="101"/>
      <c r="AY291" s="101"/>
      <c r="AZ291" s="103"/>
      <c r="BA291" s="103"/>
      <c r="BB291" s="103"/>
      <c r="BC291" s="101"/>
      <c r="BD291" s="101"/>
      <c r="BE291" s="101"/>
      <c r="BF291" s="101"/>
      <c r="BG291" s="101"/>
      <c r="BK291" s="101"/>
      <c r="BL291" s="101"/>
      <c r="BM291" s="101"/>
      <c r="BN291" s="101"/>
      <c r="BO291" s="101"/>
      <c r="BP291" s="101"/>
      <c r="BQ291" s="101"/>
      <c r="BR291" s="104"/>
      <c r="BS291" s="104"/>
      <c r="BT291" s="104"/>
      <c r="BU291" s="104"/>
      <c r="BV291" s="104"/>
      <c r="BW291" s="104"/>
      <c r="BX291" s="104"/>
      <c r="BY291" s="104"/>
      <c r="BZ291" s="104"/>
      <c r="CA291" s="104"/>
      <c r="CB291" s="104"/>
      <c r="CC291" s="104"/>
      <c r="CD291" s="104"/>
      <c r="CE291" s="104"/>
      <c r="CF291" s="104"/>
      <c r="CG291" s="104"/>
      <c r="CH291" s="104"/>
      <c r="CI291" s="104"/>
      <c r="CJ291" s="104"/>
      <c r="CK291" s="104"/>
      <c r="CL291" s="104"/>
      <c r="CM291" s="104"/>
      <c r="CN291" s="98"/>
      <c r="CP291" s="101"/>
      <c r="CQ291" s="101"/>
      <c r="CR291" s="101"/>
      <c r="CS291" s="101"/>
      <c r="CT291" s="101"/>
      <c r="FJ291" s="103"/>
      <c r="FL291" s="103"/>
      <c r="FN291" s="103"/>
      <c r="FP291" s="103"/>
    </row>
    <row r="292" spans="2:172" x14ac:dyDescent="0.35">
      <c r="B292" s="97"/>
      <c r="G292" s="100"/>
      <c r="K292" s="98"/>
      <c r="L292" s="101"/>
      <c r="M292" s="101"/>
      <c r="N292" s="101"/>
      <c r="O292" s="101"/>
      <c r="P292" s="102"/>
      <c r="Q292" s="101"/>
      <c r="R292" s="98"/>
      <c r="S292" s="98"/>
      <c r="T292" s="98"/>
      <c r="U292" s="98"/>
      <c r="V292" s="98"/>
      <c r="W292" s="98"/>
      <c r="X292" s="103"/>
      <c r="Y292" s="103"/>
      <c r="Z292" s="103"/>
      <c r="AA292" s="103"/>
      <c r="AB292" s="103"/>
      <c r="AC292" s="103"/>
      <c r="AD292" s="103"/>
      <c r="AE292" s="101"/>
      <c r="AF292" s="101"/>
      <c r="AG292" s="101"/>
      <c r="AH292" s="101"/>
      <c r="AI292" s="101"/>
      <c r="AJ292" s="101"/>
      <c r="AK292" s="101"/>
      <c r="AL292" s="103"/>
      <c r="AM292" s="103"/>
      <c r="AN292" s="103"/>
      <c r="AO292" s="103"/>
      <c r="AP292" s="103"/>
      <c r="AQ292" s="103"/>
      <c r="AR292" s="103"/>
      <c r="AS292" s="101"/>
      <c r="AT292" s="101"/>
      <c r="AU292" s="101"/>
      <c r="AV292" s="101"/>
      <c r="AW292" s="101"/>
      <c r="AX292" s="101"/>
      <c r="AY292" s="101"/>
      <c r="AZ292" s="103"/>
      <c r="BA292" s="103"/>
      <c r="BB292" s="103"/>
      <c r="BC292" s="101"/>
      <c r="BD292" s="101"/>
      <c r="BE292" s="101"/>
      <c r="BF292" s="101"/>
      <c r="BG292" s="101"/>
      <c r="BK292" s="101"/>
      <c r="BL292" s="101"/>
      <c r="BM292" s="101"/>
      <c r="BN292" s="101"/>
      <c r="BO292" s="101"/>
      <c r="BP292" s="101"/>
      <c r="BQ292" s="101"/>
      <c r="BR292" s="104"/>
      <c r="BS292" s="104"/>
      <c r="BT292" s="104"/>
      <c r="BU292" s="104"/>
      <c r="BV292" s="104"/>
      <c r="BW292" s="104"/>
      <c r="BX292" s="104"/>
      <c r="BY292" s="104"/>
      <c r="BZ292" s="104"/>
      <c r="CA292" s="104"/>
      <c r="CB292" s="104"/>
      <c r="CC292" s="104"/>
      <c r="CD292" s="104"/>
      <c r="CE292" s="104"/>
      <c r="CF292" s="104"/>
      <c r="CG292" s="104"/>
      <c r="CH292" s="104"/>
      <c r="CI292" s="104"/>
      <c r="CJ292" s="104"/>
      <c r="CK292" s="104"/>
      <c r="CL292" s="104"/>
      <c r="CM292" s="104"/>
      <c r="CN292" s="98"/>
      <c r="CP292" s="101"/>
      <c r="CQ292" s="101"/>
      <c r="CR292" s="101"/>
      <c r="CS292" s="101"/>
      <c r="CT292" s="101"/>
      <c r="FJ292" s="103"/>
      <c r="FL292" s="103"/>
      <c r="FN292" s="103"/>
      <c r="FP292" s="103"/>
    </row>
    <row r="293" spans="2:172" x14ac:dyDescent="0.35">
      <c r="B293" s="97"/>
      <c r="G293" s="100"/>
      <c r="K293" s="98"/>
      <c r="L293" s="101"/>
      <c r="M293" s="101"/>
      <c r="N293" s="101"/>
      <c r="O293" s="101"/>
      <c r="P293" s="102"/>
      <c r="Q293" s="101"/>
      <c r="R293" s="98"/>
      <c r="S293" s="98"/>
      <c r="T293" s="98"/>
      <c r="U293" s="98"/>
      <c r="V293" s="98"/>
      <c r="W293" s="98"/>
      <c r="X293" s="103"/>
      <c r="Y293" s="103"/>
      <c r="Z293" s="103"/>
      <c r="AA293" s="103"/>
      <c r="AB293" s="103"/>
      <c r="AC293" s="103"/>
      <c r="AD293" s="103"/>
      <c r="AE293" s="101"/>
      <c r="AF293" s="101"/>
      <c r="AG293" s="101"/>
      <c r="AH293" s="101"/>
      <c r="AI293" s="101"/>
      <c r="AJ293" s="101"/>
      <c r="AK293" s="101"/>
      <c r="AL293" s="103"/>
      <c r="AM293" s="103"/>
      <c r="AN293" s="103"/>
      <c r="AO293" s="103"/>
      <c r="AP293" s="103"/>
      <c r="AQ293" s="103"/>
      <c r="AR293" s="103"/>
      <c r="AS293" s="101"/>
      <c r="AT293" s="101"/>
      <c r="AU293" s="101"/>
      <c r="AV293" s="101"/>
      <c r="AW293" s="101"/>
      <c r="AX293" s="101"/>
      <c r="AY293" s="101"/>
      <c r="AZ293" s="103"/>
      <c r="BA293" s="103"/>
      <c r="BB293" s="103"/>
      <c r="BC293" s="101"/>
      <c r="BD293" s="101"/>
      <c r="BE293" s="101"/>
      <c r="BF293" s="101"/>
      <c r="BG293" s="101"/>
      <c r="BK293" s="101"/>
      <c r="BL293" s="101"/>
      <c r="BM293" s="101"/>
      <c r="BN293" s="101"/>
      <c r="BO293" s="101"/>
      <c r="BP293" s="101"/>
      <c r="BQ293" s="101"/>
      <c r="BR293" s="104"/>
      <c r="BS293" s="104"/>
      <c r="BT293" s="104"/>
      <c r="BU293" s="104"/>
      <c r="BV293" s="104"/>
      <c r="BW293" s="104"/>
      <c r="BX293" s="104"/>
      <c r="BY293" s="104"/>
      <c r="BZ293" s="104"/>
      <c r="CA293" s="104"/>
      <c r="CB293" s="104"/>
      <c r="CC293" s="104"/>
      <c r="CD293" s="104"/>
      <c r="CE293" s="104"/>
      <c r="CF293" s="104"/>
      <c r="CG293" s="104"/>
      <c r="CH293" s="104"/>
      <c r="CI293" s="104"/>
      <c r="CJ293" s="104"/>
      <c r="CK293" s="104"/>
      <c r="CL293" s="104"/>
      <c r="CM293" s="104"/>
      <c r="CN293" s="98"/>
      <c r="CP293" s="101"/>
      <c r="CQ293" s="101"/>
      <c r="CR293" s="101"/>
      <c r="CS293" s="101"/>
      <c r="CT293" s="101"/>
      <c r="FJ293" s="103"/>
      <c r="FL293" s="103"/>
      <c r="FN293" s="103"/>
      <c r="FP293" s="103"/>
    </row>
    <row r="294" spans="2:172" x14ac:dyDescent="0.35">
      <c r="B294" s="97"/>
      <c r="G294" s="100"/>
      <c r="K294" s="98"/>
      <c r="L294" s="101"/>
      <c r="M294" s="101"/>
      <c r="N294" s="101"/>
      <c r="O294" s="101"/>
      <c r="P294" s="102"/>
      <c r="Q294" s="101"/>
      <c r="R294" s="98"/>
      <c r="S294" s="98"/>
      <c r="T294" s="98"/>
      <c r="U294" s="98"/>
      <c r="V294" s="98"/>
      <c r="W294" s="98"/>
      <c r="X294" s="103"/>
      <c r="Y294" s="103"/>
      <c r="Z294" s="103"/>
      <c r="AA294" s="103"/>
      <c r="AB294" s="103"/>
      <c r="AC294" s="103"/>
      <c r="AD294" s="103"/>
      <c r="AE294" s="101"/>
      <c r="AF294" s="101"/>
      <c r="AG294" s="101"/>
      <c r="AH294" s="101"/>
      <c r="AI294" s="101"/>
      <c r="AJ294" s="101"/>
      <c r="AK294" s="101"/>
      <c r="AL294" s="103"/>
      <c r="AM294" s="103"/>
      <c r="AN294" s="103"/>
      <c r="AO294" s="103"/>
      <c r="AP294" s="103"/>
      <c r="AQ294" s="103"/>
      <c r="AR294" s="103"/>
      <c r="AS294" s="101"/>
      <c r="AT294" s="101"/>
      <c r="AU294" s="101"/>
      <c r="AV294" s="101"/>
      <c r="AW294" s="101"/>
      <c r="AX294" s="101"/>
      <c r="AY294" s="101"/>
      <c r="AZ294" s="103"/>
      <c r="BA294" s="103"/>
      <c r="BB294" s="103"/>
      <c r="BC294" s="101"/>
      <c r="BD294" s="101"/>
      <c r="BE294" s="101"/>
      <c r="BF294" s="101"/>
      <c r="BG294" s="101"/>
      <c r="BK294" s="101"/>
      <c r="BL294" s="101"/>
      <c r="BM294" s="101"/>
      <c r="BN294" s="101"/>
      <c r="BO294" s="101"/>
      <c r="BP294" s="101"/>
      <c r="BQ294" s="101"/>
      <c r="BR294" s="104"/>
      <c r="BS294" s="104"/>
      <c r="BT294" s="104"/>
      <c r="BU294" s="104"/>
      <c r="BV294" s="104"/>
      <c r="BW294" s="104"/>
      <c r="BX294" s="104"/>
      <c r="BY294" s="104"/>
      <c r="BZ294" s="104"/>
      <c r="CA294" s="104"/>
      <c r="CB294" s="104"/>
      <c r="CC294" s="104"/>
      <c r="CD294" s="104"/>
      <c r="CE294" s="104"/>
      <c r="CF294" s="104"/>
      <c r="CG294" s="104"/>
      <c r="CH294" s="104"/>
      <c r="CI294" s="104"/>
      <c r="CJ294" s="104"/>
      <c r="CK294" s="104"/>
      <c r="CL294" s="104"/>
      <c r="CM294" s="104"/>
      <c r="CN294" s="98"/>
      <c r="CP294" s="101"/>
      <c r="CQ294" s="101"/>
      <c r="CR294" s="101"/>
      <c r="CS294" s="101"/>
      <c r="CT294" s="101"/>
      <c r="FJ294" s="103"/>
      <c r="FL294" s="103"/>
      <c r="FN294" s="103"/>
      <c r="FP294" s="103"/>
    </row>
    <row r="295" spans="2:172" x14ac:dyDescent="0.35">
      <c r="B295" s="97"/>
      <c r="G295" s="100"/>
      <c r="K295" s="98"/>
      <c r="L295" s="101"/>
      <c r="M295" s="101"/>
      <c r="N295" s="101"/>
      <c r="O295" s="101"/>
      <c r="P295" s="102"/>
      <c r="Q295" s="101"/>
      <c r="R295" s="98"/>
      <c r="S295" s="98"/>
      <c r="T295" s="98"/>
      <c r="U295" s="98"/>
      <c r="V295" s="98"/>
      <c r="W295" s="98"/>
      <c r="X295" s="103"/>
      <c r="Y295" s="103"/>
      <c r="Z295" s="103"/>
      <c r="AA295" s="103"/>
      <c r="AB295" s="103"/>
      <c r="AC295" s="103"/>
      <c r="AD295" s="103"/>
      <c r="AE295" s="101"/>
      <c r="AF295" s="101"/>
      <c r="AG295" s="101"/>
      <c r="AH295" s="101"/>
      <c r="AI295" s="101"/>
      <c r="AJ295" s="101"/>
      <c r="AK295" s="101"/>
      <c r="AL295" s="103"/>
      <c r="AM295" s="103"/>
      <c r="AN295" s="103"/>
      <c r="AO295" s="103"/>
      <c r="AP295" s="103"/>
      <c r="AQ295" s="103"/>
      <c r="AR295" s="103"/>
      <c r="AS295" s="101"/>
      <c r="AT295" s="101"/>
      <c r="AU295" s="101"/>
      <c r="AV295" s="101"/>
      <c r="AW295" s="101"/>
      <c r="AX295" s="101"/>
      <c r="AY295" s="101"/>
      <c r="AZ295" s="103"/>
      <c r="BA295" s="103"/>
      <c r="BB295" s="103"/>
      <c r="BC295" s="101"/>
      <c r="BD295" s="101"/>
      <c r="BE295" s="101"/>
      <c r="BF295" s="101"/>
      <c r="BG295" s="101"/>
      <c r="BK295" s="101"/>
      <c r="BL295" s="101"/>
      <c r="BM295" s="101"/>
      <c r="BN295" s="101"/>
      <c r="BO295" s="101"/>
      <c r="BP295" s="101"/>
      <c r="BQ295" s="101"/>
      <c r="BR295" s="104"/>
      <c r="BS295" s="104"/>
      <c r="BT295" s="104"/>
      <c r="BU295" s="104"/>
      <c r="BV295" s="104"/>
      <c r="BW295" s="104"/>
      <c r="BX295" s="104"/>
      <c r="BY295" s="104"/>
      <c r="BZ295" s="104"/>
      <c r="CA295" s="104"/>
      <c r="CB295" s="104"/>
      <c r="CC295" s="104"/>
      <c r="CD295" s="104"/>
      <c r="CE295" s="104"/>
      <c r="CF295" s="104"/>
      <c r="CG295" s="104"/>
      <c r="CH295" s="104"/>
      <c r="CI295" s="104"/>
      <c r="CJ295" s="104"/>
      <c r="CK295" s="104"/>
      <c r="CL295" s="104"/>
      <c r="CM295" s="104"/>
      <c r="CN295" s="98"/>
      <c r="CP295" s="101"/>
      <c r="CQ295" s="101"/>
      <c r="CR295" s="101"/>
      <c r="CS295" s="101"/>
      <c r="CT295" s="101"/>
      <c r="FJ295" s="103"/>
      <c r="FL295" s="103"/>
      <c r="FN295" s="103"/>
      <c r="FP295" s="103"/>
    </row>
    <row r="296" spans="2:172" x14ac:dyDescent="0.35">
      <c r="B296" s="97"/>
      <c r="G296" s="100"/>
      <c r="K296" s="98"/>
      <c r="L296" s="101"/>
      <c r="M296" s="101"/>
      <c r="N296" s="101"/>
      <c r="O296" s="101"/>
      <c r="P296" s="102"/>
      <c r="Q296" s="101"/>
      <c r="R296" s="98"/>
      <c r="S296" s="98"/>
      <c r="T296" s="98"/>
      <c r="U296" s="98"/>
      <c r="V296" s="98"/>
      <c r="W296" s="98"/>
      <c r="X296" s="103"/>
      <c r="Y296" s="103"/>
      <c r="Z296" s="103"/>
      <c r="AA296" s="103"/>
      <c r="AB296" s="103"/>
      <c r="AC296" s="103"/>
      <c r="AD296" s="103"/>
      <c r="AE296" s="101"/>
      <c r="AF296" s="101"/>
      <c r="AG296" s="101"/>
      <c r="AH296" s="101"/>
      <c r="AI296" s="101"/>
      <c r="AJ296" s="101"/>
      <c r="AK296" s="101"/>
      <c r="AL296" s="103"/>
      <c r="AM296" s="103"/>
      <c r="AN296" s="103"/>
      <c r="AO296" s="103"/>
      <c r="AP296" s="103"/>
      <c r="AQ296" s="103"/>
      <c r="AR296" s="103"/>
      <c r="AS296" s="101"/>
      <c r="AT296" s="101"/>
      <c r="AU296" s="101"/>
      <c r="AV296" s="101"/>
      <c r="AW296" s="101"/>
      <c r="AX296" s="101"/>
      <c r="AY296" s="101"/>
      <c r="AZ296" s="103"/>
      <c r="BA296" s="103"/>
      <c r="BB296" s="103"/>
      <c r="BC296" s="101"/>
      <c r="BD296" s="101"/>
      <c r="BE296" s="101"/>
      <c r="BF296" s="101"/>
      <c r="BG296" s="101"/>
      <c r="BK296" s="101"/>
      <c r="BL296" s="101"/>
      <c r="BM296" s="101"/>
      <c r="BN296" s="101"/>
      <c r="BO296" s="101"/>
      <c r="BP296" s="101"/>
      <c r="BQ296" s="101"/>
      <c r="BR296" s="104"/>
      <c r="BS296" s="104"/>
      <c r="BT296" s="104"/>
      <c r="BU296" s="104"/>
      <c r="BV296" s="104"/>
      <c r="BW296" s="104"/>
      <c r="BX296" s="104"/>
      <c r="BY296" s="104"/>
      <c r="BZ296" s="104"/>
      <c r="CA296" s="104"/>
      <c r="CB296" s="104"/>
      <c r="CC296" s="104"/>
      <c r="CD296" s="104"/>
      <c r="CE296" s="104"/>
      <c r="CF296" s="104"/>
      <c r="CG296" s="104"/>
      <c r="CH296" s="104"/>
      <c r="CI296" s="104"/>
      <c r="CJ296" s="104"/>
      <c r="CK296" s="104"/>
      <c r="CL296" s="104"/>
      <c r="CM296" s="104"/>
      <c r="CN296" s="98"/>
      <c r="CP296" s="101"/>
      <c r="CQ296" s="101"/>
      <c r="CR296" s="101"/>
      <c r="CS296" s="101"/>
      <c r="CT296" s="101"/>
      <c r="FJ296" s="103"/>
      <c r="FL296" s="103"/>
      <c r="FN296" s="103"/>
      <c r="FP296" s="103"/>
    </row>
    <row r="297" spans="2:172" x14ac:dyDescent="0.35">
      <c r="B297" s="97"/>
      <c r="G297" s="100"/>
      <c r="K297" s="98"/>
      <c r="L297" s="101"/>
      <c r="M297" s="101"/>
      <c r="N297" s="101"/>
      <c r="O297" s="101"/>
      <c r="P297" s="102"/>
      <c r="Q297" s="101"/>
      <c r="R297" s="98"/>
      <c r="S297" s="98"/>
      <c r="T297" s="98"/>
      <c r="U297" s="98"/>
      <c r="V297" s="98"/>
      <c r="W297" s="98"/>
      <c r="X297" s="103"/>
      <c r="Y297" s="103"/>
      <c r="Z297" s="103"/>
      <c r="AA297" s="103"/>
      <c r="AB297" s="103"/>
      <c r="AC297" s="103"/>
      <c r="AD297" s="103"/>
      <c r="AE297" s="101"/>
      <c r="AF297" s="101"/>
      <c r="AG297" s="101"/>
      <c r="AH297" s="101"/>
      <c r="AI297" s="101"/>
      <c r="AJ297" s="101"/>
      <c r="AK297" s="101"/>
      <c r="AL297" s="103"/>
      <c r="AM297" s="103"/>
      <c r="AN297" s="103"/>
      <c r="AO297" s="103"/>
      <c r="AP297" s="103"/>
      <c r="AQ297" s="103"/>
      <c r="AR297" s="103"/>
      <c r="AS297" s="101"/>
      <c r="AT297" s="101"/>
      <c r="AU297" s="101"/>
      <c r="AV297" s="101"/>
      <c r="AW297" s="101"/>
      <c r="AX297" s="101"/>
      <c r="AY297" s="101"/>
      <c r="AZ297" s="103"/>
      <c r="BA297" s="103"/>
      <c r="BB297" s="103"/>
      <c r="BC297" s="101"/>
      <c r="BD297" s="101"/>
      <c r="BE297" s="101"/>
      <c r="BF297" s="101"/>
      <c r="BG297" s="101"/>
      <c r="BK297" s="101"/>
      <c r="BL297" s="101"/>
      <c r="BM297" s="101"/>
      <c r="BN297" s="101"/>
      <c r="BO297" s="101"/>
      <c r="BP297" s="101"/>
      <c r="BQ297" s="101"/>
      <c r="BR297" s="104"/>
      <c r="BS297" s="104"/>
      <c r="BT297" s="104"/>
      <c r="BU297" s="104"/>
      <c r="BV297" s="104"/>
      <c r="BW297" s="104"/>
      <c r="BX297" s="104"/>
      <c r="BY297" s="104"/>
      <c r="BZ297" s="104"/>
      <c r="CA297" s="104"/>
      <c r="CB297" s="104"/>
      <c r="CC297" s="104"/>
      <c r="CD297" s="104"/>
      <c r="CE297" s="104"/>
      <c r="CF297" s="104"/>
      <c r="CG297" s="104"/>
      <c r="CH297" s="104"/>
      <c r="CI297" s="104"/>
      <c r="CJ297" s="104"/>
      <c r="CK297" s="104"/>
      <c r="CL297" s="104"/>
      <c r="CM297" s="104"/>
      <c r="CN297" s="98"/>
      <c r="CP297" s="101"/>
      <c r="CQ297" s="101"/>
      <c r="CR297" s="101"/>
      <c r="CS297" s="101"/>
      <c r="CT297" s="101"/>
      <c r="FJ297" s="103"/>
      <c r="FL297" s="103"/>
      <c r="FN297" s="103"/>
      <c r="FP297" s="103"/>
    </row>
    <row r="298" spans="2:172" x14ac:dyDescent="0.35">
      <c r="B298" s="97"/>
      <c r="G298" s="100"/>
      <c r="K298" s="98"/>
      <c r="L298" s="101"/>
      <c r="M298" s="101"/>
      <c r="N298" s="101"/>
      <c r="O298" s="101"/>
      <c r="P298" s="102"/>
      <c r="Q298" s="101"/>
      <c r="R298" s="98"/>
      <c r="S298" s="98"/>
      <c r="T298" s="98"/>
      <c r="U298" s="98"/>
      <c r="V298" s="98"/>
      <c r="W298" s="98"/>
      <c r="X298" s="103"/>
      <c r="Y298" s="103"/>
      <c r="Z298" s="103"/>
      <c r="AA298" s="103"/>
      <c r="AB298" s="103"/>
      <c r="AC298" s="103"/>
      <c r="AD298" s="103"/>
      <c r="AE298" s="101"/>
      <c r="AF298" s="101"/>
      <c r="AG298" s="101"/>
      <c r="AH298" s="101"/>
      <c r="AI298" s="101"/>
      <c r="AJ298" s="101"/>
      <c r="AK298" s="101"/>
      <c r="AL298" s="103"/>
      <c r="AM298" s="103"/>
      <c r="AN298" s="103"/>
      <c r="AO298" s="103"/>
      <c r="AP298" s="103"/>
      <c r="AQ298" s="103"/>
      <c r="AR298" s="103"/>
      <c r="AS298" s="101"/>
      <c r="AT298" s="101"/>
      <c r="AU298" s="101"/>
      <c r="AV298" s="101"/>
      <c r="AW298" s="101"/>
      <c r="AX298" s="101"/>
      <c r="AY298" s="101"/>
      <c r="AZ298" s="103"/>
      <c r="BA298" s="103"/>
      <c r="BB298" s="103"/>
      <c r="BC298" s="101"/>
      <c r="BD298" s="101"/>
      <c r="BE298" s="101"/>
      <c r="BF298" s="101"/>
      <c r="BG298" s="101"/>
      <c r="BK298" s="101"/>
      <c r="BL298" s="101"/>
      <c r="BM298" s="101"/>
      <c r="BN298" s="101"/>
      <c r="BO298" s="101"/>
      <c r="BP298" s="101"/>
      <c r="BQ298" s="101"/>
      <c r="BR298" s="104"/>
      <c r="BS298" s="104"/>
      <c r="BT298" s="104"/>
      <c r="BU298" s="104"/>
      <c r="BV298" s="104"/>
      <c r="BW298" s="104"/>
      <c r="BX298" s="104"/>
      <c r="BY298" s="104"/>
      <c r="BZ298" s="104"/>
      <c r="CA298" s="104"/>
      <c r="CB298" s="104"/>
      <c r="CC298" s="104"/>
      <c r="CD298" s="104"/>
      <c r="CE298" s="104"/>
      <c r="CF298" s="104"/>
      <c r="CG298" s="104"/>
      <c r="CH298" s="104"/>
      <c r="CI298" s="104"/>
      <c r="CJ298" s="104"/>
      <c r="CK298" s="104"/>
      <c r="CL298" s="104"/>
      <c r="CM298" s="104"/>
      <c r="CN298" s="98"/>
      <c r="CP298" s="101"/>
      <c r="CQ298" s="101"/>
      <c r="CR298" s="101"/>
      <c r="CS298" s="101"/>
      <c r="CT298" s="101"/>
      <c r="FJ298" s="103"/>
      <c r="FL298" s="103"/>
      <c r="FN298" s="103"/>
      <c r="FP298" s="103"/>
    </row>
    <row r="299" spans="2:172" x14ac:dyDescent="0.35">
      <c r="B299" s="97"/>
      <c r="G299" s="100"/>
      <c r="K299" s="98"/>
      <c r="L299" s="101"/>
      <c r="M299" s="101"/>
      <c r="N299" s="101"/>
      <c r="O299" s="101"/>
      <c r="P299" s="102"/>
      <c r="Q299" s="101"/>
      <c r="R299" s="98"/>
      <c r="S299" s="98"/>
      <c r="T299" s="98"/>
      <c r="U299" s="98"/>
      <c r="V299" s="98"/>
      <c r="W299" s="98"/>
      <c r="X299" s="103"/>
      <c r="Y299" s="103"/>
      <c r="Z299" s="103"/>
      <c r="AA299" s="103"/>
      <c r="AB299" s="103"/>
      <c r="AC299" s="103"/>
      <c r="AD299" s="103"/>
      <c r="AE299" s="101"/>
      <c r="AF299" s="101"/>
      <c r="AG299" s="101"/>
      <c r="AH299" s="101"/>
      <c r="AI299" s="101"/>
      <c r="AJ299" s="101"/>
      <c r="AK299" s="101"/>
      <c r="AL299" s="103"/>
      <c r="AM299" s="103"/>
      <c r="AN299" s="103"/>
      <c r="AO299" s="103"/>
      <c r="AP299" s="103"/>
      <c r="AQ299" s="103"/>
      <c r="AR299" s="103"/>
      <c r="AS299" s="101"/>
      <c r="AT299" s="101"/>
      <c r="AU299" s="101"/>
      <c r="AV299" s="101"/>
      <c r="AW299" s="101"/>
      <c r="AX299" s="101"/>
      <c r="AY299" s="101"/>
      <c r="AZ299" s="103"/>
      <c r="BA299" s="103"/>
      <c r="BB299" s="103"/>
      <c r="BC299" s="101"/>
      <c r="BD299" s="101"/>
      <c r="BE299" s="101"/>
      <c r="BF299" s="101"/>
      <c r="BG299" s="101"/>
      <c r="BK299" s="101"/>
      <c r="BL299" s="101"/>
      <c r="BM299" s="101"/>
      <c r="BN299" s="101"/>
      <c r="BO299" s="101"/>
      <c r="BP299" s="101"/>
      <c r="BQ299" s="101"/>
      <c r="BR299" s="104"/>
      <c r="BS299" s="104"/>
      <c r="BT299" s="104"/>
      <c r="BU299" s="104"/>
      <c r="BV299" s="104"/>
      <c r="BW299" s="104"/>
      <c r="BX299" s="104"/>
      <c r="BY299" s="104"/>
      <c r="BZ299" s="104"/>
      <c r="CA299" s="104"/>
      <c r="CB299" s="104"/>
      <c r="CC299" s="104"/>
      <c r="CD299" s="104"/>
      <c r="CE299" s="104"/>
      <c r="CF299" s="104"/>
      <c r="CG299" s="104"/>
      <c r="CH299" s="104"/>
      <c r="CI299" s="104"/>
      <c r="CJ299" s="104"/>
      <c r="CK299" s="104"/>
      <c r="CL299" s="104"/>
      <c r="CM299" s="104"/>
      <c r="CN299" s="98"/>
      <c r="CP299" s="101"/>
      <c r="CQ299" s="101"/>
      <c r="CR299" s="101"/>
      <c r="CS299" s="101"/>
      <c r="CT299" s="101"/>
      <c r="FJ299" s="103"/>
      <c r="FL299" s="103"/>
      <c r="FN299" s="103"/>
      <c r="FP299" s="103"/>
    </row>
    <row r="300" spans="2:172" x14ac:dyDescent="0.35">
      <c r="B300" s="97"/>
      <c r="G300" s="100"/>
      <c r="K300" s="98"/>
      <c r="L300" s="101"/>
      <c r="M300" s="101"/>
      <c r="N300" s="101"/>
      <c r="O300" s="101"/>
      <c r="P300" s="102"/>
      <c r="Q300" s="101"/>
      <c r="R300" s="98"/>
      <c r="S300" s="98"/>
      <c r="T300" s="98"/>
      <c r="U300" s="98"/>
      <c r="V300" s="98"/>
      <c r="W300" s="98"/>
      <c r="X300" s="103"/>
      <c r="Y300" s="103"/>
      <c r="Z300" s="103"/>
      <c r="AA300" s="103"/>
      <c r="AB300" s="103"/>
      <c r="AC300" s="103"/>
      <c r="AD300" s="103"/>
      <c r="AE300" s="101"/>
      <c r="AF300" s="101"/>
      <c r="AG300" s="101"/>
      <c r="AH300" s="101"/>
      <c r="AI300" s="101"/>
      <c r="AJ300" s="101"/>
      <c r="AK300" s="101"/>
      <c r="AL300" s="103"/>
      <c r="AM300" s="103"/>
      <c r="AN300" s="103"/>
      <c r="AO300" s="103"/>
      <c r="AP300" s="103"/>
      <c r="AQ300" s="103"/>
      <c r="AR300" s="103"/>
      <c r="AS300" s="101"/>
      <c r="AT300" s="101"/>
      <c r="AU300" s="101"/>
      <c r="AV300" s="101"/>
      <c r="AW300" s="101"/>
      <c r="AX300" s="101"/>
      <c r="AY300" s="101"/>
      <c r="AZ300" s="103"/>
      <c r="BA300" s="103"/>
      <c r="BB300" s="103"/>
      <c r="BC300" s="101"/>
      <c r="BD300" s="101"/>
      <c r="BE300" s="101"/>
      <c r="BF300" s="101"/>
      <c r="BG300" s="101"/>
      <c r="BK300" s="101"/>
      <c r="BL300" s="101"/>
      <c r="BM300" s="101"/>
      <c r="BN300" s="101"/>
      <c r="BO300" s="101"/>
      <c r="BP300" s="101"/>
      <c r="BQ300" s="101"/>
      <c r="BR300" s="104"/>
      <c r="BS300" s="104"/>
      <c r="BT300" s="104"/>
      <c r="BU300" s="104"/>
      <c r="BV300" s="104"/>
      <c r="BW300" s="104"/>
      <c r="BX300" s="104"/>
      <c r="BY300" s="104"/>
      <c r="BZ300" s="104"/>
      <c r="CA300" s="104"/>
      <c r="CB300" s="104"/>
      <c r="CC300" s="104"/>
      <c r="CD300" s="104"/>
      <c r="CE300" s="104"/>
      <c r="CF300" s="104"/>
      <c r="CG300" s="104"/>
      <c r="CH300" s="104"/>
      <c r="CI300" s="104"/>
      <c r="CJ300" s="104"/>
      <c r="CK300" s="104"/>
      <c r="CL300" s="104"/>
      <c r="CM300" s="104"/>
      <c r="CN300" s="98"/>
      <c r="CP300" s="101"/>
      <c r="CQ300" s="101"/>
      <c r="CR300" s="101"/>
      <c r="CS300" s="101"/>
      <c r="CT300" s="101"/>
      <c r="FJ300" s="103"/>
      <c r="FL300" s="103"/>
      <c r="FN300" s="103"/>
      <c r="FP300" s="103"/>
    </row>
    <row r="301" spans="2:172" x14ac:dyDescent="0.35">
      <c r="B301" s="97"/>
      <c r="G301" s="100"/>
      <c r="K301" s="98"/>
      <c r="L301" s="101"/>
      <c r="M301" s="101"/>
      <c r="N301" s="101"/>
      <c r="O301" s="101"/>
      <c r="P301" s="102"/>
      <c r="Q301" s="101"/>
      <c r="R301" s="98"/>
      <c r="S301" s="98"/>
      <c r="T301" s="98"/>
      <c r="U301" s="98"/>
      <c r="V301" s="98"/>
      <c r="W301" s="98"/>
      <c r="X301" s="103"/>
      <c r="Y301" s="103"/>
      <c r="Z301" s="103"/>
      <c r="AA301" s="103"/>
      <c r="AB301" s="103"/>
      <c r="AC301" s="103"/>
      <c r="AD301" s="103"/>
      <c r="AE301" s="101"/>
      <c r="AF301" s="101"/>
      <c r="AG301" s="101"/>
      <c r="AH301" s="101"/>
      <c r="AI301" s="101"/>
      <c r="AJ301" s="101"/>
      <c r="AK301" s="101"/>
      <c r="AL301" s="103"/>
      <c r="AM301" s="103"/>
      <c r="AN301" s="103"/>
      <c r="AO301" s="103"/>
      <c r="AP301" s="103"/>
      <c r="AQ301" s="103"/>
      <c r="AR301" s="103"/>
      <c r="AS301" s="101"/>
      <c r="AT301" s="101"/>
      <c r="AU301" s="101"/>
      <c r="AV301" s="101"/>
      <c r="AW301" s="101"/>
      <c r="AX301" s="101"/>
      <c r="AY301" s="101"/>
      <c r="AZ301" s="103"/>
      <c r="BA301" s="103"/>
      <c r="BB301" s="103"/>
      <c r="BC301" s="101"/>
      <c r="BD301" s="101"/>
      <c r="BE301" s="101"/>
      <c r="BF301" s="101"/>
      <c r="BG301" s="101"/>
      <c r="BK301" s="101"/>
      <c r="BL301" s="101"/>
      <c r="BM301" s="101"/>
      <c r="BN301" s="101"/>
      <c r="BO301" s="101"/>
      <c r="BP301" s="101"/>
      <c r="BQ301" s="101"/>
      <c r="BR301" s="104"/>
      <c r="BS301" s="104"/>
      <c r="BT301" s="104"/>
      <c r="BU301" s="104"/>
      <c r="BV301" s="104"/>
      <c r="BW301" s="104"/>
      <c r="BX301" s="104"/>
      <c r="BY301" s="104"/>
      <c r="BZ301" s="104"/>
      <c r="CA301" s="104"/>
      <c r="CB301" s="104"/>
      <c r="CC301" s="104"/>
      <c r="CD301" s="104"/>
      <c r="CE301" s="104"/>
      <c r="CF301" s="104"/>
      <c r="CG301" s="104"/>
      <c r="CH301" s="104"/>
      <c r="CI301" s="104"/>
      <c r="CJ301" s="104"/>
      <c r="CK301" s="104"/>
      <c r="CL301" s="104"/>
      <c r="CM301" s="104"/>
      <c r="CN301" s="98"/>
      <c r="CP301" s="101"/>
      <c r="CQ301" s="101"/>
      <c r="CR301" s="101"/>
      <c r="CS301" s="101"/>
      <c r="CT301" s="101"/>
      <c r="FJ301" s="103"/>
      <c r="FL301" s="103"/>
      <c r="FN301" s="103"/>
      <c r="FP301" s="103"/>
    </row>
    <row r="302" spans="2:172" x14ac:dyDescent="0.35">
      <c r="B302" s="97"/>
      <c r="G302" s="100"/>
      <c r="K302" s="98"/>
      <c r="L302" s="101"/>
      <c r="M302" s="101"/>
      <c r="N302" s="101"/>
      <c r="O302" s="101"/>
      <c r="P302" s="102"/>
      <c r="Q302" s="101"/>
      <c r="R302" s="98"/>
      <c r="S302" s="98"/>
      <c r="T302" s="98"/>
      <c r="U302" s="98"/>
      <c r="V302" s="98"/>
      <c r="W302" s="98"/>
      <c r="X302" s="103"/>
      <c r="Y302" s="103"/>
      <c r="Z302" s="103"/>
      <c r="AA302" s="103"/>
      <c r="AB302" s="103"/>
      <c r="AC302" s="103"/>
      <c r="AD302" s="103"/>
      <c r="AE302" s="101"/>
      <c r="AF302" s="101"/>
      <c r="AG302" s="101"/>
      <c r="AH302" s="101"/>
      <c r="AI302" s="101"/>
      <c r="AJ302" s="101"/>
      <c r="AK302" s="101"/>
      <c r="AL302" s="103"/>
      <c r="AM302" s="103"/>
      <c r="AN302" s="103"/>
      <c r="AO302" s="103"/>
      <c r="AP302" s="103"/>
      <c r="AQ302" s="103"/>
      <c r="AR302" s="103"/>
      <c r="AS302" s="101"/>
      <c r="AT302" s="101"/>
      <c r="AU302" s="101"/>
      <c r="AV302" s="101"/>
      <c r="AW302" s="101"/>
      <c r="AX302" s="101"/>
      <c r="AY302" s="101"/>
      <c r="AZ302" s="103"/>
      <c r="BA302" s="103"/>
      <c r="BB302" s="103"/>
      <c r="BC302" s="101"/>
      <c r="BD302" s="101"/>
      <c r="BE302" s="101"/>
      <c r="BF302" s="101"/>
      <c r="BG302" s="101"/>
      <c r="BK302" s="101"/>
      <c r="BL302" s="101"/>
      <c r="BM302" s="101"/>
      <c r="BN302" s="101"/>
      <c r="BO302" s="101"/>
      <c r="BP302" s="101"/>
      <c r="BQ302" s="101"/>
      <c r="BR302" s="104"/>
      <c r="BS302" s="104"/>
      <c r="BT302" s="104"/>
      <c r="BU302" s="104"/>
      <c r="BV302" s="104"/>
      <c r="BW302" s="104"/>
      <c r="BX302" s="104"/>
      <c r="BY302" s="104"/>
      <c r="BZ302" s="104"/>
      <c r="CA302" s="104"/>
      <c r="CB302" s="104"/>
      <c r="CC302" s="104"/>
      <c r="CD302" s="104"/>
      <c r="CE302" s="104"/>
      <c r="CF302" s="104"/>
      <c r="CG302" s="104"/>
      <c r="CH302" s="104"/>
      <c r="CI302" s="104"/>
      <c r="CJ302" s="104"/>
      <c r="CK302" s="104"/>
      <c r="CL302" s="104"/>
      <c r="CM302" s="104"/>
      <c r="CN302" s="98"/>
      <c r="CP302" s="101"/>
      <c r="CQ302" s="101"/>
      <c r="CR302" s="101"/>
      <c r="CS302" s="101"/>
      <c r="CT302" s="101"/>
      <c r="FJ302" s="103"/>
      <c r="FL302" s="103"/>
      <c r="FN302" s="103"/>
      <c r="FP302" s="103"/>
    </row>
    <row r="303" spans="2:172" x14ac:dyDescent="0.35">
      <c r="B303" s="97"/>
      <c r="G303" s="100"/>
      <c r="K303" s="98"/>
      <c r="L303" s="101"/>
      <c r="M303" s="101"/>
      <c r="N303" s="101"/>
      <c r="O303" s="101"/>
      <c r="P303" s="102"/>
      <c r="Q303" s="101"/>
      <c r="R303" s="98"/>
      <c r="S303" s="98"/>
      <c r="T303" s="98"/>
      <c r="U303" s="98"/>
      <c r="V303" s="98"/>
      <c r="W303" s="98"/>
      <c r="X303" s="103"/>
      <c r="Y303" s="103"/>
      <c r="Z303" s="103"/>
      <c r="AA303" s="103"/>
      <c r="AB303" s="103"/>
      <c r="AC303" s="103"/>
      <c r="AD303" s="103"/>
      <c r="AE303" s="101"/>
      <c r="AF303" s="101"/>
      <c r="AG303" s="101"/>
      <c r="AH303" s="101"/>
      <c r="AI303" s="101"/>
      <c r="AJ303" s="101"/>
      <c r="AK303" s="101"/>
      <c r="AL303" s="103"/>
      <c r="AM303" s="103"/>
      <c r="AN303" s="103"/>
      <c r="AO303" s="103"/>
      <c r="AP303" s="103"/>
      <c r="AQ303" s="103"/>
      <c r="AR303" s="103"/>
      <c r="AS303" s="101"/>
      <c r="AT303" s="101"/>
      <c r="AU303" s="101"/>
      <c r="AV303" s="101"/>
      <c r="AW303" s="101"/>
      <c r="AX303" s="101"/>
      <c r="AY303" s="101"/>
      <c r="AZ303" s="103"/>
      <c r="BA303" s="103"/>
      <c r="BB303" s="103"/>
      <c r="BC303" s="101"/>
      <c r="BD303" s="101"/>
      <c r="BE303" s="101"/>
      <c r="BF303" s="101"/>
      <c r="BG303" s="101"/>
      <c r="BK303" s="101"/>
      <c r="BL303" s="101"/>
      <c r="BM303" s="101"/>
      <c r="BN303" s="101"/>
      <c r="BO303" s="101"/>
      <c r="BP303" s="101"/>
      <c r="BQ303" s="101"/>
      <c r="BR303" s="104"/>
      <c r="BS303" s="104"/>
      <c r="BT303" s="104"/>
      <c r="BU303" s="104"/>
      <c r="BV303" s="104"/>
      <c r="BW303" s="104"/>
      <c r="BX303" s="104"/>
      <c r="BY303" s="104"/>
      <c r="BZ303" s="104"/>
      <c r="CA303" s="104"/>
      <c r="CB303" s="104"/>
      <c r="CC303" s="104"/>
      <c r="CD303" s="104"/>
      <c r="CE303" s="104"/>
      <c r="CF303" s="104"/>
      <c r="CG303" s="104"/>
      <c r="CH303" s="104"/>
      <c r="CI303" s="104"/>
      <c r="CJ303" s="104"/>
      <c r="CK303" s="104"/>
      <c r="CL303" s="104"/>
      <c r="CM303" s="104"/>
      <c r="CN303" s="98"/>
      <c r="CP303" s="101"/>
      <c r="CQ303" s="101"/>
      <c r="CR303" s="101"/>
      <c r="CS303" s="101"/>
      <c r="CT303" s="101"/>
      <c r="FJ303" s="103"/>
      <c r="FL303" s="103"/>
      <c r="FN303" s="103"/>
      <c r="FP303" s="103"/>
    </row>
    <row r="304" spans="2:172" x14ac:dyDescent="0.35">
      <c r="B304" s="97"/>
      <c r="G304" s="100"/>
      <c r="K304" s="98"/>
      <c r="L304" s="101"/>
      <c r="M304" s="101"/>
      <c r="N304" s="101"/>
      <c r="O304" s="101"/>
      <c r="P304" s="102"/>
      <c r="Q304" s="101"/>
      <c r="R304" s="98"/>
      <c r="S304" s="98"/>
      <c r="T304" s="98"/>
      <c r="U304" s="98"/>
      <c r="V304" s="98"/>
      <c r="W304" s="98"/>
      <c r="X304" s="103"/>
      <c r="Y304" s="103"/>
      <c r="Z304" s="103"/>
      <c r="AA304" s="103"/>
      <c r="AB304" s="103"/>
      <c r="AC304" s="103"/>
      <c r="AD304" s="103"/>
      <c r="AE304" s="101"/>
      <c r="AF304" s="101"/>
      <c r="AG304" s="101"/>
      <c r="AH304" s="101"/>
      <c r="AI304" s="101"/>
      <c r="AJ304" s="101"/>
      <c r="AK304" s="101"/>
      <c r="AL304" s="103"/>
      <c r="AM304" s="103"/>
      <c r="AN304" s="103"/>
      <c r="AO304" s="103"/>
      <c r="AP304" s="103"/>
      <c r="AQ304" s="103"/>
      <c r="AR304" s="103"/>
      <c r="AS304" s="101"/>
      <c r="AT304" s="101"/>
      <c r="AU304" s="101"/>
      <c r="AV304" s="101"/>
      <c r="AW304" s="101"/>
      <c r="AX304" s="101"/>
      <c r="AY304" s="101"/>
      <c r="AZ304" s="103"/>
      <c r="BA304" s="103"/>
      <c r="BB304" s="103"/>
      <c r="BC304" s="101"/>
      <c r="BD304" s="101"/>
      <c r="BE304" s="101"/>
      <c r="BF304" s="101"/>
      <c r="BG304" s="101"/>
      <c r="BK304" s="101"/>
      <c r="BL304" s="101"/>
      <c r="BM304" s="101"/>
      <c r="BN304" s="101"/>
      <c r="BO304" s="101"/>
      <c r="BP304" s="101"/>
      <c r="BQ304" s="101"/>
      <c r="BR304" s="104"/>
      <c r="BS304" s="104"/>
      <c r="BT304" s="104"/>
      <c r="BU304" s="104"/>
      <c r="BV304" s="104"/>
      <c r="BW304" s="104"/>
      <c r="BX304" s="104"/>
      <c r="BY304" s="104"/>
      <c r="BZ304" s="104"/>
      <c r="CA304" s="104"/>
      <c r="CB304" s="104"/>
      <c r="CC304" s="104"/>
      <c r="CD304" s="104"/>
      <c r="CE304" s="104"/>
      <c r="CF304" s="104"/>
      <c r="CG304" s="104"/>
      <c r="CH304" s="104"/>
      <c r="CI304" s="104"/>
      <c r="CJ304" s="104"/>
      <c r="CK304" s="104"/>
      <c r="CL304" s="104"/>
      <c r="CM304" s="104"/>
      <c r="CN304" s="98"/>
      <c r="CP304" s="101"/>
      <c r="CQ304" s="101"/>
      <c r="CR304" s="101"/>
      <c r="CS304" s="101"/>
      <c r="CT304" s="101"/>
      <c r="FJ304" s="103"/>
      <c r="FL304" s="103"/>
      <c r="FN304" s="103"/>
      <c r="FP304" s="103"/>
    </row>
    <row r="305" spans="2:172" x14ac:dyDescent="0.35">
      <c r="B305" s="97"/>
      <c r="G305" s="100"/>
      <c r="K305" s="98"/>
      <c r="L305" s="101"/>
      <c r="M305" s="101"/>
      <c r="N305" s="101"/>
      <c r="O305" s="101"/>
      <c r="P305" s="102"/>
      <c r="Q305" s="101"/>
      <c r="R305" s="98"/>
      <c r="S305" s="98"/>
      <c r="T305" s="98"/>
      <c r="U305" s="98"/>
      <c r="V305" s="98"/>
      <c r="W305" s="98"/>
      <c r="X305" s="103"/>
      <c r="Y305" s="103"/>
      <c r="Z305" s="103"/>
      <c r="AA305" s="103"/>
      <c r="AB305" s="103"/>
      <c r="AC305" s="103"/>
      <c r="AD305" s="103"/>
      <c r="AE305" s="101"/>
      <c r="AF305" s="101"/>
      <c r="AG305" s="101"/>
      <c r="AH305" s="101"/>
      <c r="AI305" s="101"/>
      <c r="AJ305" s="101"/>
      <c r="AK305" s="101"/>
      <c r="AL305" s="103"/>
      <c r="AM305" s="103"/>
      <c r="AN305" s="103"/>
      <c r="AO305" s="103"/>
      <c r="AP305" s="103"/>
      <c r="AQ305" s="103"/>
      <c r="AR305" s="103"/>
      <c r="AS305" s="101"/>
      <c r="AT305" s="101"/>
      <c r="AU305" s="101"/>
      <c r="AV305" s="101"/>
      <c r="AW305" s="101"/>
      <c r="AX305" s="101"/>
      <c r="AY305" s="101"/>
      <c r="AZ305" s="103"/>
      <c r="BA305" s="103"/>
      <c r="BB305" s="103"/>
      <c r="BC305" s="101"/>
      <c r="BD305" s="101"/>
      <c r="BE305" s="101"/>
      <c r="BF305" s="101"/>
      <c r="BG305" s="101"/>
      <c r="BK305" s="101"/>
      <c r="BL305" s="101"/>
      <c r="BM305" s="101"/>
      <c r="BN305" s="101"/>
      <c r="BO305" s="101"/>
      <c r="BP305" s="101"/>
      <c r="BQ305" s="101"/>
      <c r="BR305" s="104"/>
      <c r="BS305" s="104"/>
      <c r="BT305" s="104"/>
      <c r="BU305" s="104"/>
      <c r="BV305" s="104"/>
      <c r="BW305" s="104"/>
      <c r="BX305" s="104"/>
      <c r="BY305" s="104"/>
      <c r="BZ305" s="104"/>
      <c r="CA305" s="104"/>
      <c r="CB305" s="104"/>
      <c r="CC305" s="104"/>
      <c r="CD305" s="104"/>
      <c r="CE305" s="104"/>
      <c r="CF305" s="104"/>
      <c r="CG305" s="104"/>
      <c r="CH305" s="104"/>
      <c r="CI305" s="104"/>
      <c r="CJ305" s="104"/>
      <c r="CK305" s="104"/>
      <c r="CL305" s="104"/>
      <c r="CM305" s="104"/>
      <c r="CN305" s="98"/>
      <c r="CP305" s="101"/>
      <c r="CQ305" s="101"/>
      <c r="CR305" s="101"/>
      <c r="CS305" s="101"/>
      <c r="CT305" s="101"/>
      <c r="FJ305" s="103"/>
      <c r="FL305" s="103"/>
      <c r="FN305" s="103"/>
      <c r="FP305" s="103"/>
    </row>
    <row r="306" spans="2:172" x14ac:dyDescent="0.35">
      <c r="B306" s="97"/>
      <c r="G306" s="100"/>
      <c r="K306" s="98"/>
      <c r="L306" s="101"/>
      <c r="M306" s="101"/>
      <c r="N306" s="101"/>
      <c r="O306" s="101"/>
      <c r="P306" s="102"/>
      <c r="Q306" s="101"/>
      <c r="R306" s="98"/>
      <c r="S306" s="98"/>
      <c r="T306" s="98"/>
      <c r="U306" s="98"/>
      <c r="V306" s="98"/>
      <c r="W306" s="98"/>
      <c r="X306" s="103"/>
      <c r="Y306" s="103"/>
      <c r="Z306" s="103"/>
      <c r="AA306" s="103"/>
      <c r="AB306" s="103"/>
      <c r="AC306" s="103"/>
      <c r="AD306" s="103"/>
      <c r="AE306" s="101"/>
      <c r="AF306" s="101"/>
      <c r="AG306" s="101"/>
      <c r="AH306" s="101"/>
      <c r="AI306" s="101"/>
      <c r="AJ306" s="101"/>
      <c r="AK306" s="101"/>
      <c r="AL306" s="103"/>
      <c r="AM306" s="103"/>
      <c r="AN306" s="103"/>
      <c r="AO306" s="103"/>
      <c r="AP306" s="103"/>
      <c r="AQ306" s="103"/>
      <c r="AR306" s="103"/>
      <c r="AS306" s="101"/>
      <c r="AT306" s="101"/>
      <c r="AU306" s="101"/>
      <c r="AV306" s="101"/>
      <c r="AW306" s="101"/>
      <c r="AX306" s="101"/>
      <c r="AY306" s="101"/>
      <c r="AZ306" s="103"/>
      <c r="BA306" s="103"/>
      <c r="BB306" s="103"/>
      <c r="BC306" s="101"/>
      <c r="BD306" s="101"/>
      <c r="BE306" s="101"/>
      <c r="BF306" s="101"/>
      <c r="BG306" s="101"/>
      <c r="BK306" s="101"/>
      <c r="BL306" s="101"/>
      <c r="BM306" s="101"/>
      <c r="BN306" s="101"/>
      <c r="BO306" s="101"/>
      <c r="BP306" s="101"/>
      <c r="BQ306" s="101"/>
      <c r="BR306" s="104"/>
      <c r="BS306" s="104"/>
      <c r="BT306" s="104"/>
      <c r="BU306" s="104"/>
      <c r="BV306" s="104"/>
      <c r="BW306" s="104"/>
      <c r="BX306" s="104"/>
      <c r="BY306" s="104"/>
      <c r="BZ306" s="104"/>
      <c r="CA306" s="104"/>
      <c r="CB306" s="104"/>
      <c r="CC306" s="104"/>
      <c r="CD306" s="104"/>
      <c r="CE306" s="104"/>
      <c r="CF306" s="104"/>
      <c r="CG306" s="104"/>
      <c r="CH306" s="104"/>
      <c r="CI306" s="104"/>
      <c r="CJ306" s="104"/>
      <c r="CK306" s="104"/>
      <c r="CL306" s="104"/>
      <c r="CM306" s="104"/>
      <c r="CN306" s="98"/>
      <c r="CP306" s="101"/>
      <c r="CQ306" s="101"/>
      <c r="CR306" s="101"/>
      <c r="CS306" s="101"/>
      <c r="CT306" s="101"/>
      <c r="FJ306" s="103"/>
      <c r="FL306" s="103"/>
      <c r="FN306" s="103"/>
      <c r="FP306" s="103"/>
    </row>
    <row r="307" spans="2:172" x14ac:dyDescent="0.35">
      <c r="B307" s="97"/>
      <c r="G307" s="100"/>
      <c r="K307" s="98"/>
      <c r="L307" s="101"/>
      <c r="M307" s="101"/>
      <c r="N307" s="101"/>
      <c r="O307" s="101"/>
      <c r="P307" s="102"/>
      <c r="Q307" s="101"/>
      <c r="R307" s="98"/>
      <c r="S307" s="98"/>
      <c r="T307" s="98"/>
      <c r="U307" s="98"/>
      <c r="V307" s="98"/>
      <c r="W307" s="98"/>
      <c r="X307" s="103"/>
      <c r="Y307" s="103"/>
      <c r="Z307" s="103"/>
      <c r="AA307" s="103"/>
      <c r="AB307" s="103"/>
      <c r="AC307" s="103"/>
      <c r="AD307" s="103"/>
      <c r="AE307" s="101"/>
      <c r="AF307" s="101"/>
      <c r="AG307" s="101"/>
      <c r="AH307" s="101"/>
      <c r="AI307" s="101"/>
      <c r="AJ307" s="101"/>
      <c r="AK307" s="101"/>
      <c r="AL307" s="103"/>
      <c r="AM307" s="103"/>
      <c r="AN307" s="103"/>
      <c r="AO307" s="103"/>
      <c r="AP307" s="103"/>
      <c r="AQ307" s="103"/>
      <c r="AR307" s="103"/>
      <c r="AS307" s="101"/>
      <c r="AT307" s="101"/>
      <c r="AU307" s="101"/>
      <c r="AV307" s="101"/>
      <c r="AW307" s="101"/>
      <c r="AX307" s="101"/>
      <c r="AY307" s="101"/>
      <c r="AZ307" s="103"/>
      <c r="BA307" s="103"/>
      <c r="BB307" s="103"/>
      <c r="BC307" s="101"/>
      <c r="BD307" s="101"/>
      <c r="BE307" s="101"/>
      <c r="BF307" s="101"/>
      <c r="BG307" s="101"/>
      <c r="BK307" s="101"/>
      <c r="BL307" s="101"/>
      <c r="BM307" s="101"/>
      <c r="BN307" s="101"/>
      <c r="BO307" s="101"/>
      <c r="BP307" s="101"/>
      <c r="BQ307" s="101"/>
      <c r="BR307" s="104"/>
      <c r="BS307" s="104"/>
      <c r="BT307" s="104"/>
      <c r="BU307" s="104"/>
      <c r="BV307" s="104"/>
      <c r="BW307" s="104"/>
      <c r="BX307" s="104"/>
      <c r="BY307" s="104"/>
      <c r="BZ307" s="104"/>
      <c r="CA307" s="104"/>
      <c r="CB307" s="104"/>
      <c r="CC307" s="104"/>
      <c r="CD307" s="104"/>
      <c r="CE307" s="104"/>
      <c r="CF307" s="104"/>
      <c r="CG307" s="104"/>
      <c r="CH307" s="104"/>
      <c r="CI307" s="104"/>
      <c r="CJ307" s="104"/>
      <c r="CK307" s="104"/>
      <c r="CL307" s="104"/>
      <c r="CM307" s="104"/>
      <c r="CN307" s="98"/>
      <c r="CP307" s="101"/>
      <c r="CQ307" s="101"/>
      <c r="CR307" s="101"/>
      <c r="CS307" s="101"/>
      <c r="CT307" s="101"/>
      <c r="FJ307" s="103"/>
      <c r="FL307" s="103"/>
      <c r="FN307" s="103"/>
      <c r="FP307" s="103"/>
    </row>
    <row r="308" spans="2:172" x14ac:dyDescent="0.35">
      <c r="B308" s="97"/>
      <c r="G308" s="100"/>
      <c r="K308" s="98"/>
      <c r="L308" s="101"/>
      <c r="M308" s="101"/>
      <c r="N308" s="101"/>
      <c r="O308" s="101"/>
      <c r="P308" s="102"/>
      <c r="Q308" s="101"/>
      <c r="R308" s="98"/>
      <c r="S308" s="98"/>
      <c r="T308" s="98"/>
      <c r="U308" s="98"/>
      <c r="V308" s="98"/>
      <c r="W308" s="98"/>
      <c r="X308" s="103"/>
      <c r="Y308" s="103"/>
      <c r="Z308" s="103"/>
      <c r="AA308" s="103"/>
      <c r="AB308" s="103"/>
      <c r="AC308" s="103"/>
      <c r="AD308" s="103"/>
      <c r="AE308" s="101"/>
      <c r="AF308" s="101"/>
      <c r="AG308" s="101"/>
      <c r="AH308" s="101"/>
      <c r="AI308" s="101"/>
      <c r="AJ308" s="101"/>
      <c r="AK308" s="101"/>
      <c r="AL308" s="103"/>
      <c r="AM308" s="103"/>
      <c r="AN308" s="103"/>
      <c r="AO308" s="103"/>
      <c r="AP308" s="103"/>
      <c r="AQ308" s="103"/>
      <c r="AR308" s="103"/>
      <c r="AS308" s="101"/>
      <c r="AT308" s="101"/>
      <c r="AU308" s="101"/>
      <c r="AV308" s="101"/>
      <c r="AW308" s="101"/>
      <c r="AX308" s="101"/>
      <c r="AY308" s="101"/>
      <c r="AZ308" s="103"/>
      <c r="BA308" s="103"/>
      <c r="BB308" s="103"/>
      <c r="BC308" s="101"/>
      <c r="BD308" s="101"/>
      <c r="BE308" s="101"/>
      <c r="BF308" s="101"/>
      <c r="BG308" s="101"/>
      <c r="BK308" s="101"/>
      <c r="BL308" s="101"/>
      <c r="BM308" s="101"/>
      <c r="BN308" s="101"/>
      <c r="BO308" s="101"/>
      <c r="BP308" s="101"/>
      <c r="BQ308" s="101"/>
      <c r="BR308" s="104"/>
      <c r="BS308" s="104"/>
      <c r="BT308" s="104"/>
      <c r="BU308" s="104"/>
      <c r="BV308" s="104"/>
      <c r="BW308" s="104"/>
      <c r="BX308" s="104"/>
      <c r="BY308" s="104"/>
      <c r="BZ308" s="104"/>
      <c r="CA308" s="104"/>
      <c r="CB308" s="104"/>
      <c r="CC308" s="104"/>
      <c r="CD308" s="104"/>
      <c r="CE308" s="104"/>
      <c r="CF308" s="104"/>
      <c r="CG308" s="104"/>
      <c r="CH308" s="104"/>
      <c r="CI308" s="104"/>
      <c r="CJ308" s="104"/>
      <c r="CK308" s="104"/>
      <c r="CL308" s="104"/>
      <c r="CM308" s="104"/>
      <c r="CN308" s="98"/>
      <c r="CP308" s="101"/>
      <c r="CQ308" s="101"/>
      <c r="CR308" s="101"/>
      <c r="CS308" s="101"/>
      <c r="CT308" s="101"/>
      <c r="FJ308" s="103"/>
      <c r="FL308" s="103"/>
      <c r="FN308" s="103"/>
      <c r="FP308" s="103"/>
    </row>
    <row r="309" spans="2:172" x14ac:dyDescent="0.35">
      <c r="B309" s="97"/>
      <c r="G309" s="100"/>
      <c r="K309" s="98"/>
      <c r="L309" s="101"/>
      <c r="M309" s="101"/>
      <c r="N309" s="101"/>
      <c r="O309" s="101"/>
      <c r="P309" s="102"/>
      <c r="Q309" s="101"/>
      <c r="R309" s="98"/>
      <c r="S309" s="98"/>
      <c r="T309" s="98"/>
      <c r="U309" s="98"/>
      <c r="V309" s="98"/>
      <c r="W309" s="98"/>
      <c r="X309" s="103"/>
      <c r="Y309" s="103"/>
      <c r="Z309" s="103"/>
      <c r="AA309" s="103"/>
      <c r="AB309" s="103"/>
      <c r="AC309" s="103"/>
      <c r="AD309" s="103"/>
      <c r="AE309" s="101"/>
      <c r="AF309" s="101"/>
      <c r="AG309" s="101"/>
      <c r="AH309" s="101"/>
      <c r="AI309" s="101"/>
      <c r="AJ309" s="101"/>
      <c r="AK309" s="101"/>
      <c r="AL309" s="103"/>
      <c r="AM309" s="103"/>
      <c r="AN309" s="103"/>
      <c r="AO309" s="103"/>
      <c r="AP309" s="103"/>
      <c r="AQ309" s="103"/>
      <c r="AR309" s="103"/>
      <c r="AS309" s="101"/>
      <c r="AT309" s="101"/>
      <c r="AU309" s="101"/>
      <c r="AV309" s="101"/>
      <c r="AW309" s="101"/>
      <c r="AX309" s="101"/>
      <c r="AY309" s="101"/>
      <c r="AZ309" s="103"/>
      <c r="BA309" s="103"/>
      <c r="BB309" s="103"/>
      <c r="BC309" s="101"/>
      <c r="BD309" s="101"/>
      <c r="BE309" s="101"/>
      <c r="BF309" s="101"/>
      <c r="BG309" s="101"/>
      <c r="BK309" s="101"/>
      <c r="BL309" s="101"/>
      <c r="BM309" s="101"/>
      <c r="BN309" s="101"/>
      <c r="BO309" s="101"/>
      <c r="BP309" s="101"/>
      <c r="BQ309" s="101"/>
      <c r="BR309" s="104"/>
      <c r="BS309" s="104"/>
      <c r="BT309" s="104"/>
      <c r="BU309" s="104"/>
      <c r="BV309" s="104"/>
      <c r="BW309" s="104"/>
      <c r="BX309" s="104"/>
      <c r="BY309" s="104"/>
      <c r="BZ309" s="104"/>
      <c r="CA309" s="104"/>
      <c r="CB309" s="104"/>
      <c r="CC309" s="104"/>
      <c r="CD309" s="104"/>
      <c r="CE309" s="104"/>
      <c r="CF309" s="104"/>
      <c r="CG309" s="104"/>
      <c r="CH309" s="104"/>
      <c r="CI309" s="104"/>
      <c r="CJ309" s="104"/>
      <c r="CK309" s="104"/>
      <c r="CL309" s="104"/>
      <c r="CM309" s="104"/>
      <c r="CN309" s="98"/>
      <c r="CP309" s="101"/>
      <c r="CQ309" s="101"/>
      <c r="CR309" s="101"/>
      <c r="CS309" s="101"/>
      <c r="CT309" s="101"/>
      <c r="FJ309" s="103"/>
      <c r="FL309" s="103"/>
      <c r="FN309" s="103"/>
      <c r="FP309" s="103"/>
    </row>
    <row r="310" spans="2:172" x14ac:dyDescent="0.35">
      <c r="B310" s="97"/>
      <c r="G310" s="100"/>
      <c r="K310" s="98"/>
      <c r="L310" s="101"/>
      <c r="M310" s="101"/>
      <c r="N310" s="101"/>
      <c r="O310" s="101"/>
      <c r="P310" s="102"/>
      <c r="Q310" s="101"/>
      <c r="R310" s="98"/>
      <c r="S310" s="98"/>
      <c r="T310" s="98"/>
      <c r="U310" s="98"/>
      <c r="V310" s="98"/>
      <c r="W310" s="98"/>
      <c r="X310" s="103"/>
      <c r="Y310" s="103"/>
      <c r="Z310" s="103"/>
      <c r="AA310" s="103"/>
      <c r="AB310" s="103"/>
      <c r="AC310" s="103"/>
      <c r="AD310" s="103"/>
      <c r="AE310" s="101"/>
      <c r="AF310" s="101"/>
      <c r="AG310" s="101"/>
      <c r="AH310" s="101"/>
      <c r="AI310" s="101"/>
      <c r="AJ310" s="101"/>
      <c r="AK310" s="101"/>
      <c r="AL310" s="103"/>
      <c r="AM310" s="103"/>
      <c r="AN310" s="103"/>
      <c r="AO310" s="103"/>
      <c r="AP310" s="103"/>
      <c r="AQ310" s="103"/>
      <c r="AR310" s="103"/>
      <c r="AS310" s="101"/>
      <c r="AT310" s="101"/>
      <c r="AU310" s="101"/>
      <c r="AV310" s="101"/>
      <c r="AW310" s="101"/>
      <c r="AX310" s="101"/>
      <c r="AY310" s="101"/>
      <c r="AZ310" s="103"/>
      <c r="BA310" s="103"/>
      <c r="BB310" s="103"/>
      <c r="BC310" s="101"/>
      <c r="BD310" s="101"/>
      <c r="BE310" s="101"/>
      <c r="BF310" s="101"/>
      <c r="BG310" s="101"/>
      <c r="BK310" s="101"/>
      <c r="BL310" s="101"/>
      <c r="BM310" s="101"/>
      <c r="BN310" s="101"/>
      <c r="BO310" s="101"/>
      <c r="BP310" s="101"/>
      <c r="BQ310" s="101"/>
      <c r="BR310" s="104"/>
      <c r="BS310" s="104"/>
      <c r="BT310" s="104"/>
      <c r="BU310" s="104"/>
      <c r="BV310" s="104"/>
      <c r="BW310" s="104"/>
      <c r="BX310" s="104"/>
      <c r="BY310" s="104"/>
      <c r="BZ310" s="104"/>
      <c r="CA310" s="104"/>
      <c r="CB310" s="104"/>
      <c r="CC310" s="104"/>
      <c r="CD310" s="104"/>
      <c r="CE310" s="104"/>
      <c r="CF310" s="104"/>
      <c r="CG310" s="104"/>
      <c r="CH310" s="104"/>
      <c r="CI310" s="104"/>
      <c r="CJ310" s="104"/>
      <c r="CK310" s="104"/>
      <c r="CL310" s="104"/>
      <c r="CM310" s="104"/>
      <c r="CN310" s="98"/>
      <c r="CP310" s="101"/>
      <c r="CQ310" s="101"/>
      <c r="CR310" s="101"/>
      <c r="CS310" s="101"/>
      <c r="CT310" s="101"/>
      <c r="FJ310" s="103"/>
      <c r="FL310" s="103"/>
      <c r="FN310" s="103"/>
      <c r="FP310" s="103"/>
    </row>
    <row r="311" spans="2:172" x14ac:dyDescent="0.35">
      <c r="B311" s="97"/>
      <c r="G311" s="100"/>
      <c r="K311" s="98"/>
      <c r="L311" s="101"/>
      <c r="M311" s="101"/>
      <c r="N311" s="101"/>
      <c r="O311" s="101"/>
      <c r="P311" s="102"/>
      <c r="Q311" s="101"/>
      <c r="R311" s="98"/>
      <c r="S311" s="98"/>
      <c r="T311" s="98"/>
      <c r="U311" s="98"/>
      <c r="V311" s="98"/>
      <c r="W311" s="98"/>
      <c r="X311" s="103"/>
      <c r="Y311" s="103"/>
      <c r="Z311" s="103"/>
      <c r="AA311" s="103"/>
      <c r="AB311" s="103"/>
      <c r="AC311" s="103"/>
      <c r="AD311" s="103"/>
      <c r="AE311" s="101"/>
      <c r="AF311" s="101"/>
      <c r="AG311" s="101"/>
      <c r="AH311" s="101"/>
      <c r="AI311" s="101"/>
      <c r="AJ311" s="101"/>
      <c r="AK311" s="101"/>
      <c r="AL311" s="103"/>
      <c r="AM311" s="103"/>
      <c r="AN311" s="103"/>
      <c r="AO311" s="103"/>
      <c r="AP311" s="103"/>
      <c r="AQ311" s="103"/>
      <c r="AR311" s="103"/>
      <c r="AS311" s="101"/>
      <c r="AT311" s="101"/>
      <c r="AU311" s="101"/>
      <c r="AV311" s="101"/>
      <c r="AW311" s="101"/>
      <c r="AX311" s="101"/>
      <c r="AY311" s="101"/>
      <c r="AZ311" s="103"/>
      <c r="BA311" s="103"/>
      <c r="BB311" s="103"/>
      <c r="BC311" s="101"/>
      <c r="BD311" s="101"/>
      <c r="BE311" s="101"/>
      <c r="BF311" s="101"/>
      <c r="BG311" s="101"/>
      <c r="BK311" s="101"/>
      <c r="BL311" s="101"/>
      <c r="BM311" s="101"/>
      <c r="BN311" s="101"/>
      <c r="BO311" s="101"/>
      <c r="BP311" s="101"/>
      <c r="BQ311" s="101"/>
      <c r="BR311" s="104"/>
      <c r="BS311" s="104"/>
      <c r="BT311" s="104"/>
      <c r="BU311" s="104"/>
      <c r="BV311" s="104"/>
      <c r="BW311" s="104"/>
      <c r="BX311" s="104"/>
      <c r="BY311" s="104"/>
      <c r="BZ311" s="104"/>
      <c r="CA311" s="104"/>
      <c r="CB311" s="104"/>
      <c r="CC311" s="104"/>
      <c r="CD311" s="104"/>
      <c r="CE311" s="104"/>
      <c r="CF311" s="104"/>
      <c r="CG311" s="104"/>
      <c r="CH311" s="104"/>
      <c r="CI311" s="104"/>
      <c r="CJ311" s="104"/>
      <c r="CK311" s="104"/>
      <c r="CL311" s="104"/>
      <c r="CM311" s="104"/>
      <c r="CN311" s="98"/>
      <c r="CP311" s="101"/>
      <c r="CQ311" s="101"/>
      <c r="CR311" s="101"/>
      <c r="CS311" s="101"/>
      <c r="CT311" s="101"/>
      <c r="FJ311" s="103"/>
      <c r="FL311" s="103"/>
      <c r="FN311" s="103"/>
      <c r="FP311" s="103"/>
    </row>
    <row r="312" spans="2:172" x14ac:dyDescent="0.35">
      <c r="B312" s="97"/>
      <c r="G312" s="100"/>
      <c r="K312" s="98"/>
      <c r="L312" s="101"/>
      <c r="M312" s="101"/>
      <c r="N312" s="101"/>
      <c r="O312" s="101"/>
      <c r="P312" s="102"/>
      <c r="Q312" s="101"/>
      <c r="R312" s="98"/>
      <c r="S312" s="98"/>
      <c r="T312" s="98"/>
      <c r="U312" s="98"/>
      <c r="V312" s="98"/>
      <c r="W312" s="98"/>
      <c r="X312" s="103"/>
      <c r="Y312" s="103"/>
      <c r="Z312" s="103"/>
      <c r="AA312" s="103"/>
      <c r="AB312" s="103"/>
      <c r="AC312" s="103"/>
      <c r="AD312" s="103"/>
      <c r="AE312" s="101"/>
      <c r="AF312" s="101"/>
      <c r="AG312" s="101"/>
      <c r="AH312" s="101"/>
      <c r="AI312" s="101"/>
      <c r="AJ312" s="101"/>
      <c r="AK312" s="101"/>
      <c r="AL312" s="103"/>
      <c r="AM312" s="103"/>
      <c r="AN312" s="103"/>
      <c r="AO312" s="103"/>
      <c r="AP312" s="103"/>
      <c r="AQ312" s="103"/>
      <c r="AR312" s="103"/>
      <c r="AS312" s="101"/>
      <c r="AT312" s="101"/>
      <c r="AU312" s="101"/>
      <c r="AV312" s="101"/>
      <c r="AW312" s="101"/>
      <c r="AX312" s="101"/>
      <c r="AY312" s="101"/>
      <c r="AZ312" s="103"/>
      <c r="BA312" s="103"/>
      <c r="BB312" s="103"/>
      <c r="BC312" s="101"/>
      <c r="BD312" s="101"/>
      <c r="BE312" s="101"/>
      <c r="BF312" s="101"/>
      <c r="BG312" s="101"/>
      <c r="BK312" s="101"/>
      <c r="BL312" s="101"/>
      <c r="BM312" s="101"/>
      <c r="BN312" s="101"/>
      <c r="BO312" s="101"/>
      <c r="BP312" s="101"/>
      <c r="BQ312" s="101"/>
      <c r="BR312" s="104"/>
      <c r="BS312" s="104"/>
      <c r="BT312" s="104"/>
      <c r="BU312" s="104"/>
      <c r="BV312" s="104"/>
      <c r="BW312" s="104"/>
      <c r="BX312" s="104"/>
      <c r="BY312" s="104"/>
      <c r="BZ312" s="104"/>
      <c r="CA312" s="104"/>
      <c r="CB312" s="104"/>
      <c r="CC312" s="104"/>
      <c r="CD312" s="104"/>
      <c r="CE312" s="104"/>
      <c r="CF312" s="104"/>
      <c r="CG312" s="104"/>
      <c r="CH312" s="104"/>
      <c r="CI312" s="104"/>
      <c r="CJ312" s="104"/>
      <c r="CK312" s="104"/>
      <c r="CL312" s="104"/>
      <c r="CM312" s="104"/>
      <c r="CN312" s="98"/>
      <c r="CP312" s="101"/>
      <c r="CQ312" s="101"/>
      <c r="CR312" s="101"/>
      <c r="CS312" s="101"/>
      <c r="CT312" s="101"/>
      <c r="FJ312" s="103"/>
      <c r="FL312" s="103"/>
      <c r="FN312" s="103"/>
      <c r="FP312" s="103"/>
    </row>
    <row r="313" spans="2:172" x14ac:dyDescent="0.35">
      <c r="B313" s="97"/>
      <c r="G313" s="100"/>
      <c r="K313" s="98"/>
      <c r="L313" s="101"/>
      <c r="M313" s="101"/>
      <c r="N313" s="101"/>
      <c r="O313" s="101"/>
      <c r="P313" s="102"/>
      <c r="Q313" s="101"/>
      <c r="R313" s="98"/>
      <c r="S313" s="98"/>
      <c r="T313" s="98"/>
      <c r="U313" s="98"/>
      <c r="V313" s="98"/>
      <c r="W313" s="98"/>
      <c r="X313" s="103"/>
      <c r="Y313" s="103"/>
      <c r="Z313" s="103"/>
      <c r="AA313" s="103"/>
      <c r="AB313" s="103"/>
      <c r="AC313" s="103"/>
      <c r="AD313" s="103"/>
      <c r="AE313" s="101"/>
      <c r="AF313" s="101"/>
      <c r="AG313" s="101"/>
      <c r="AH313" s="101"/>
      <c r="AI313" s="101"/>
      <c r="AJ313" s="101"/>
      <c r="AK313" s="101"/>
      <c r="AL313" s="103"/>
      <c r="AM313" s="103"/>
      <c r="AN313" s="103"/>
      <c r="AO313" s="103"/>
      <c r="AP313" s="103"/>
      <c r="AQ313" s="103"/>
      <c r="AR313" s="103"/>
      <c r="AS313" s="101"/>
      <c r="AT313" s="101"/>
      <c r="AU313" s="101"/>
      <c r="AV313" s="101"/>
      <c r="AW313" s="101"/>
      <c r="AX313" s="101"/>
      <c r="AY313" s="101"/>
      <c r="AZ313" s="103"/>
      <c r="BA313" s="103"/>
      <c r="BB313" s="103"/>
      <c r="BC313" s="101"/>
      <c r="BD313" s="101"/>
      <c r="BE313" s="101"/>
      <c r="BF313" s="101"/>
      <c r="BG313" s="101"/>
      <c r="BK313" s="101"/>
      <c r="BL313" s="101"/>
      <c r="BM313" s="101"/>
      <c r="BN313" s="101"/>
      <c r="BO313" s="101"/>
      <c r="BP313" s="101"/>
      <c r="BQ313" s="101"/>
      <c r="BR313" s="104"/>
      <c r="BS313" s="104"/>
      <c r="BT313" s="104"/>
      <c r="BU313" s="104"/>
      <c r="BV313" s="104"/>
      <c r="BW313" s="104"/>
      <c r="BX313" s="104"/>
      <c r="BY313" s="104"/>
      <c r="BZ313" s="104"/>
      <c r="CA313" s="104"/>
      <c r="CB313" s="104"/>
      <c r="CC313" s="104"/>
      <c r="CD313" s="104"/>
      <c r="CE313" s="104"/>
      <c r="CF313" s="104"/>
      <c r="CG313" s="104"/>
      <c r="CH313" s="104"/>
      <c r="CI313" s="104"/>
      <c r="CJ313" s="104"/>
      <c r="CK313" s="104"/>
      <c r="CL313" s="104"/>
      <c r="CM313" s="104"/>
      <c r="CN313" s="98"/>
      <c r="CP313" s="101"/>
      <c r="CQ313" s="101"/>
      <c r="CR313" s="101"/>
      <c r="CS313" s="101"/>
      <c r="CT313" s="101"/>
      <c r="FJ313" s="103"/>
      <c r="FL313" s="103"/>
      <c r="FN313" s="103"/>
      <c r="FP313" s="103"/>
    </row>
    <row r="314" spans="2:172" x14ac:dyDescent="0.35">
      <c r="B314" s="97"/>
      <c r="G314" s="100"/>
      <c r="K314" s="98"/>
      <c r="L314" s="101"/>
      <c r="M314" s="101"/>
      <c r="N314" s="101"/>
      <c r="O314" s="101"/>
      <c r="P314" s="102"/>
      <c r="Q314" s="101"/>
      <c r="R314" s="98"/>
      <c r="S314" s="98"/>
      <c r="T314" s="98"/>
      <c r="U314" s="98"/>
      <c r="V314" s="98"/>
      <c r="W314" s="98"/>
      <c r="X314" s="103"/>
      <c r="Y314" s="103"/>
      <c r="Z314" s="103"/>
      <c r="AA314" s="103"/>
      <c r="AB314" s="103"/>
      <c r="AC314" s="103"/>
      <c r="AD314" s="103"/>
      <c r="AE314" s="101"/>
      <c r="AF314" s="101"/>
      <c r="AG314" s="101"/>
      <c r="AH314" s="101"/>
      <c r="AI314" s="101"/>
      <c r="AJ314" s="101"/>
      <c r="AK314" s="101"/>
      <c r="AL314" s="103"/>
      <c r="AM314" s="103"/>
      <c r="AN314" s="103"/>
      <c r="AO314" s="103"/>
      <c r="AP314" s="103"/>
      <c r="AQ314" s="103"/>
      <c r="AR314" s="103"/>
      <c r="AS314" s="101"/>
      <c r="AT314" s="101"/>
      <c r="AU314" s="101"/>
      <c r="AV314" s="101"/>
      <c r="AW314" s="101"/>
      <c r="AX314" s="101"/>
      <c r="AY314" s="101"/>
      <c r="AZ314" s="103"/>
      <c r="BA314" s="103"/>
      <c r="BB314" s="103"/>
      <c r="BC314" s="101"/>
      <c r="BD314" s="101"/>
      <c r="BE314" s="101"/>
      <c r="BF314" s="101"/>
      <c r="BG314" s="101"/>
      <c r="BK314" s="101"/>
      <c r="BL314" s="101"/>
      <c r="BM314" s="101"/>
      <c r="BN314" s="101"/>
      <c r="BO314" s="101"/>
      <c r="BP314" s="101"/>
      <c r="BQ314" s="101"/>
      <c r="BR314" s="104"/>
      <c r="BS314" s="104"/>
      <c r="BT314" s="104"/>
      <c r="BU314" s="104"/>
      <c r="BV314" s="104"/>
      <c r="BW314" s="104"/>
      <c r="BX314" s="104"/>
      <c r="BY314" s="104"/>
      <c r="BZ314" s="104"/>
      <c r="CA314" s="104"/>
      <c r="CB314" s="104"/>
      <c r="CC314" s="104"/>
      <c r="CD314" s="104"/>
      <c r="CE314" s="104"/>
      <c r="CF314" s="104"/>
      <c r="CG314" s="104"/>
      <c r="CH314" s="104"/>
      <c r="CI314" s="104"/>
      <c r="CJ314" s="104"/>
      <c r="CK314" s="104"/>
      <c r="CL314" s="104"/>
      <c r="CM314" s="104"/>
      <c r="CN314" s="98"/>
      <c r="CP314" s="101"/>
      <c r="CQ314" s="101"/>
      <c r="CR314" s="101"/>
      <c r="CS314" s="101"/>
      <c r="CT314" s="101"/>
      <c r="FJ314" s="103"/>
      <c r="FL314" s="103"/>
      <c r="FN314" s="103"/>
      <c r="FP314" s="103"/>
    </row>
    <row r="315" spans="2:172" x14ac:dyDescent="0.35">
      <c r="B315" s="97"/>
      <c r="G315" s="100"/>
      <c r="K315" s="98"/>
      <c r="L315" s="101"/>
      <c r="M315" s="101"/>
      <c r="N315" s="101"/>
      <c r="O315" s="101"/>
      <c r="P315" s="102"/>
      <c r="Q315" s="101"/>
      <c r="R315" s="98"/>
      <c r="S315" s="98"/>
      <c r="T315" s="98"/>
      <c r="U315" s="98"/>
      <c r="V315" s="98"/>
      <c r="W315" s="98"/>
      <c r="X315" s="103"/>
      <c r="Y315" s="103"/>
      <c r="Z315" s="103"/>
      <c r="AA315" s="103"/>
      <c r="AB315" s="103"/>
      <c r="AC315" s="103"/>
      <c r="AD315" s="103"/>
      <c r="AE315" s="101"/>
      <c r="AF315" s="101"/>
      <c r="AG315" s="101"/>
      <c r="AH315" s="101"/>
      <c r="AI315" s="101"/>
      <c r="AJ315" s="101"/>
      <c r="AK315" s="101"/>
      <c r="AL315" s="103"/>
      <c r="AM315" s="103"/>
      <c r="AN315" s="103"/>
      <c r="AO315" s="103"/>
      <c r="AP315" s="103"/>
      <c r="AQ315" s="103"/>
      <c r="AR315" s="103"/>
      <c r="AS315" s="101"/>
      <c r="AT315" s="101"/>
      <c r="AU315" s="101"/>
      <c r="AV315" s="101"/>
      <c r="AW315" s="101"/>
      <c r="AX315" s="101"/>
      <c r="AY315" s="101"/>
      <c r="AZ315" s="103"/>
      <c r="BA315" s="103"/>
      <c r="BB315" s="103"/>
      <c r="BC315" s="101"/>
      <c r="BD315" s="101"/>
      <c r="BE315" s="101"/>
      <c r="BF315" s="101"/>
      <c r="BG315" s="101"/>
      <c r="BK315" s="101"/>
      <c r="BL315" s="101"/>
      <c r="BM315" s="101"/>
      <c r="BN315" s="101"/>
      <c r="BO315" s="101"/>
      <c r="BP315" s="101"/>
      <c r="BQ315" s="101"/>
      <c r="BR315" s="104"/>
      <c r="BS315" s="104"/>
      <c r="BT315" s="104"/>
      <c r="BU315" s="104"/>
      <c r="BV315" s="104"/>
      <c r="BW315" s="104"/>
      <c r="BX315" s="104"/>
      <c r="BY315" s="104"/>
      <c r="BZ315" s="104"/>
      <c r="CA315" s="104"/>
      <c r="CB315" s="104"/>
      <c r="CC315" s="104"/>
      <c r="CD315" s="104"/>
      <c r="CE315" s="104"/>
      <c r="CF315" s="104"/>
      <c r="CG315" s="104"/>
      <c r="CH315" s="104"/>
      <c r="CI315" s="104"/>
      <c r="CJ315" s="104"/>
      <c r="CK315" s="104"/>
      <c r="CL315" s="104"/>
      <c r="CM315" s="104"/>
      <c r="CN315" s="98"/>
      <c r="CP315" s="101"/>
      <c r="CQ315" s="101"/>
      <c r="CR315" s="101"/>
      <c r="CS315" s="101"/>
      <c r="CT315" s="101"/>
      <c r="FJ315" s="103"/>
      <c r="FL315" s="103"/>
      <c r="FN315" s="103"/>
      <c r="FP315" s="103"/>
    </row>
    <row r="316" spans="2:172" x14ac:dyDescent="0.35">
      <c r="B316" s="97"/>
      <c r="G316" s="100"/>
      <c r="K316" s="98"/>
      <c r="L316" s="101"/>
      <c r="M316" s="101"/>
      <c r="N316" s="101"/>
      <c r="O316" s="101"/>
      <c r="P316" s="102"/>
      <c r="Q316" s="101"/>
      <c r="R316" s="98"/>
      <c r="S316" s="98"/>
      <c r="T316" s="98"/>
      <c r="U316" s="98"/>
      <c r="V316" s="98"/>
      <c r="W316" s="98"/>
      <c r="X316" s="103"/>
      <c r="Y316" s="103"/>
      <c r="Z316" s="103"/>
      <c r="AA316" s="103"/>
      <c r="AB316" s="103"/>
      <c r="AC316" s="103"/>
      <c r="AD316" s="103"/>
      <c r="AE316" s="101"/>
      <c r="AF316" s="101"/>
      <c r="AG316" s="101"/>
      <c r="AH316" s="101"/>
      <c r="AI316" s="101"/>
      <c r="AJ316" s="101"/>
      <c r="AK316" s="101"/>
      <c r="AL316" s="103"/>
      <c r="AM316" s="103"/>
      <c r="AN316" s="103"/>
      <c r="AO316" s="103"/>
      <c r="AP316" s="103"/>
      <c r="AQ316" s="103"/>
      <c r="AR316" s="103"/>
      <c r="AS316" s="101"/>
      <c r="AT316" s="101"/>
      <c r="AU316" s="101"/>
      <c r="AV316" s="101"/>
      <c r="AW316" s="101"/>
      <c r="AX316" s="101"/>
      <c r="AY316" s="101"/>
      <c r="AZ316" s="103"/>
      <c r="BA316" s="103"/>
      <c r="BB316" s="103"/>
      <c r="BC316" s="101"/>
      <c r="BD316" s="101"/>
      <c r="BE316" s="101"/>
      <c r="BF316" s="101"/>
      <c r="BG316" s="101"/>
      <c r="BK316" s="101"/>
      <c r="BL316" s="101"/>
      <c r="BM316" s="101"/>
      <c r="BN316" s="101"/>
      <c r="BO316" s="101"/>
      <c r="BP316" s="101"/>
      <c r="BQ316" s="101"/>
      <c r="BR316" s="104"/>
      <c r="BS316" s="104"/>
      <c r="BT316" s="104"/>
      <c r="BU316" s="104"/>
      <c r="BV316" s="104"/>
      <c r="BW316" s="104"/>
      <c r="BX316" s="104"/>
      <c r="BY316" s="104"/>
      <c r="BZ316" s="104"/>
      <c r="CA316" s="104"/>
      <c r="CB316" s="104"/>
      <c r="CC316" s="104"/>
      <c r="CD316" s="104"/>
      <c r="CE316" s="104"/>
      <c r="CF316" s="104"/>
      <c r="CG316" s="104"/>
      <c r="CH316" s="104"/>
      <c r="CI316" s="104"/>
      <c r="CJ316" s="104"/>
      <c r="CK316" s="104"/>
      <c r="CL316" s="104"/>
      <c r="CM316" s="104"/>
      <c r="CN316" s="98"/>
      <c r="CP316" s="101"/>
      <c r="CQ316" s="101"/>
      <c r="CR316" s="101"/>
      <c r="CS316" s="101"/>
      <c r="CT316" s="101"/>
      <c r="FJ316" s="103"/>
      <c r="FL316" s="103"/>
      <c r="FN316" s="103"/>
      <c r="FP316" s="103"/>
    </row>
    <row r="317" spans="2:172" x14ac:dyDescent="0.35">
      <c r="B317" s="97"/>
      <c r="G317" s="100"/>
      <c r="K317" s="98"/>
      <c r="L317" s="101"/>
      <c r="M317" s="101"/>
      <c r="N317" s="101"/>
      <c r="O317" s="101"/>
      <c r="P317" s="102"/>
      <c r="Q317" s="101"/>
      <c r="R317" s="98"/>
      <c r="S317" s="98"/>
      <c r="T317" s="98"/>
      <c r="U317" s="98"/>
      <c r="V317" s="98"/>
      <c r="W317" s="98"/>
      <c r="X317" s="103"/>
      <c r="Y317" s="103"/>
      <c r="Z317" s="103"/>
      <c r="AA317" s="103"/>
      <c r="AB317" s="103"/>
      <c r="AC317" s="103"/>
      <c r="AD317" s="103"/>
      <c r="AE317" s="101"/>
      <c r="AF317" s="101"/>
      <c r="AG317" s="101"/>
      <c r="AH317" s="101"/>
      <c r="AI317" s="101"/>
      <c r="AJ317" s="101"/>
      <c r="AK317" s="101"/>
      <c r="AL317" s="103"/>
      <c r="AM317" s="103"/>
      <c r="AN317" s="103"/>
      <c r="AO317" s="103"/>
      <c r="AP317" s="103"/>
      <c r="AQ317" s="103"/>
      <c r="AR317" s="103"/>
      <c r="AS317" s="101"/>
      <c r="AT317" s="101"/>
      <c r="AU317" s="101"/>
      <c r="AV317" s="101"/>
      <c r="AW317" s="101"/>
      <c r="AX317" s="101"/>
      <c r="AY317" s="101"/>
      <c r="AZ317" s="103"/>
      <c r="BA317" s="103"/>
      <c r="BB317" s="103"/>
      <c r="BC317" s="101"/>
      <c r="BD317" s="101"/>
      <c r="BE317" s="101"/>
      <c r="BF317" s="101"/>
      <c r="BG317" s="101"/>
      <c r="BK317" s="101"/>
      <c r="BL317" s="101"/>
      <c r="BM317" s="101"/>
      <c r="BN317" s="101"/>
      <c r="BO317" s="101"/>
      <c r="BP317" s="101"/>
      <c r="BQ317" s="101"/>
      <c r="BR317" s="104"/>
      <c r="BS317" s="104"/>
      <c r="BT317" s="104"/>
      <c r="BU317" s="104"/>
      <c r="BV317" s="104"/>
      <c r="BW317" s="104"/>
      <c r="BX317" s="104"/>
      <c r="BY317" s="104"/>
      <c r="BZ317" s="104"/>
      <c r="CA317" s="104"/>
      <c r="CB317" s="104"/>
      <c r="CC317" s="104"/>
      <c r="CD317" s="104"/>
      <c r="CE317" s="104"/>
      <c r="CF317" s="104"/>
      <c r="CG317" s="104"/>
      <c r="CH317" s="104"/>
      <c r="CI317" s="104"/>
      <c r="CJ317" s="104"/>
      <c r="CK317" s="104"/>
      <c r="CL317" s="104"/>
      <c r="CM317" s="104"/>
      <c r="CN317" s="98"/>
      <c r="CP317" s="101"/>
      <c r="CQ317" s="101"/>
      <c r="CR317" s="101"/>
      <c r="CS317" s="101"/>
      <c r="CT317" s="101"/>
      <c r="FJ317" s="103"/>
      <c r="FL317" s="103"/>
      <c r="FN317" s="103"/>
      <c r="FP317" s="103"/>
    </row>
    <row r="318" spans="2:172" x14ac:dyDescent="0.35">
      <c r="B318" s="97"/>
      <c r="G318" s="100"/>
      <c r="K318" s="98"/>
      <c r="L318" s="101"/>
      <c r="M318" s="101"/>
      <c r="N318" s="101"/>
      <c r="O318" s="101"/>
      <c r="P318" s="102"/>
      <c r="Q318" s="101"/>
      <c r="R318" s="98"/>
      <c r="S318" s="98"/>
      <c r="T318" s="98"/>
      <c r="U318" s="98"/>
      <c r="V318" s="98"/>
      <c r="W318" s="98"/>
      <c r="X318" s="103"/>
      <c r="Y318" s="103"/>
      <c r="Z318" s="103"/>
      <c r="AA318" s="103"/>
      <c r="AB318" s="103"/>
      <c r="AC318" s="103"/>
      <c r="AD318" s="103"/>
      <c r="AE318" s="101"/>
      <c r="AF318" s="101"/>
      <c r="AG318" s="101"/>
      <c r="AH318" s="101"/>
      <c r="AI318" s="101"/>
      <c r="AJ318" s="101"/>
      <c r="AK318" s="101"/>
      <c r="AL318" s="103"/>
      <c r="AM318" s="103"/>
      <c r="AN318" s="103"/>
      <c r="AO318" s="103"/>
      <c r="AP318" s="103"/>
      <c r="AQ318" s="103"/>
      <c r="AR318" s="103"/>
      <c r="AS318" s="101"/>
      <c r="AT318" s="101"/>
      <c r="AU318" s="101"/>
      <c r="AV318" s="101"/>
      <c r="AW318" s="101"/>
      <c r="AX318" s="101"/>
      <c r="AY318" s="101"/>
      <c r="AZ318" s="103"/>
      <c r="BA318" s="103"/>
      <c r="BB318" s="103"/>
      <c r="BC318" s="101"/>
      <c r="BD318" s="101"/>
      <c r="BE318" s="101"/>
      <c r="BF318" s="101"/>
      <c r="BG318" s="101"/>
      <c r="BK318" s="101"/>
      <c r="BL318" s="101"/>
      <c r="BM318" s="101"/>
      <c r="BN318" s="101"/>
      <c r="BO318" s="101"/>
      <c r="BP318" s="101"/>
      <c r="BQ318" s="101"/>
      <c r="BR318" s="104"/>
      <c r="BS318" s="104"/>
      <c r="BT318" s="104"/>
      <c r="BU318" s="104"/>
      <c r="BV318" s="104"/>
      <c r="BW318" s="104"/>
      <c r="BX318" s="104"/>
      <c r="BY318" s="104"/>
      <c r="BZ318" s="104"/>
      <c r="CA318" s="104"/>
      <c r="CB318" s="104"/>
      <c r="CC318" s="104"/>
      <c r="CD318" s="104"/>
      <c r="CE318" s="104"/>
      <c r="CF318" s="104"/>
      <c r="CG318" s="104"/>
      <c r="CH318" s="104"/>
      <c r="CI318" s="104"/>
      <c r="CJ318" s="104"/>
      <c r="CK318" s="104"/>
      <c r="CL318" s="104"/>
      <c r="CM318" s="104"/>
      <c r="CN318" s="98"/>
      <c r="CP318" s="101"/>
      <c r="CQ318" s="101"/>
      <c r="CR318" s="101"/>
      <c r="CS318" s="101"/>
      <c r="CT318" s="101"/>
      <c r="FJ318" s="103"/>
      <c r="FL318" s="103"/>
      <c r="FN318" s="103"/>
      <c r="FP318" s="103"/>
    </row>
    <row r="319" spans="2:172" x14ac:dyDescent="0.35">
      <c r="B319" s="97"/>
      <c r="G319" s="100"/>
      <c r="K319" s="98"/>
      <c r="L319" s="101"/>
      <c r="M319" s="101"/>
      <c r="N319" s="101"/>
      <c r="O319" s="101"/>
      <c r="P319" s="102"/>
      <c r="Q319" s="101"/>
      <c r="R319" s="98"/>
      <c r="S319" s="98"/>
      <c r="T319" s="98"/>
      <c r="U319" s="98"/>
      <c r="V319" s="98"/>
      <c r="W319" s="98"/>
      <c r="X319" s="103"/>
      <c r="Y319" s="103"/>
      <c r="Z319" s="103"/>
      <c r="AA319" s="103"/>
      <c r="AB319" s="103"/>
      <c r="AC319" s="103"/>
      <c r="AD319" s="103"/>
      <c r="AE319" s="101"/>
      <c r="AF319" s="101"/>
      <c r="AG319" s="101"/>
      <c r="AH319" s="101"/>
      <c r="AI319" s="101"/>
      <c r="AJ319" s="101"/>
      <c r="AK319" s="101"/>
      <c r="AL319" s="103"/>
      <c r="AM319" s="103"/>
      <c r="AN319" s="103"/>
      <c r="AO319" s="103"/>
      <c r="AP319" s="103"/>
      <c r="AQ319" s="103"/>
      <c r="AR319" s="103"/>
      <c r="AS319" s="101"/>
      <c r="AT319" s="101"/>
      <c r="AU319" s="101"/>
      <c r="AV319" s="101"/>
      <c r="AW319" s="101"/>
      <c r="AX319" s="101"/>
      <c r="AY319" s="101"/>
      <c r="AZ319" s="103"/>
      <c r="BA319" s="103"/>
      <c r="BB319" s="103"/>
      <c r="BC319" s="101"/>
      <c r="BD319" s="101"/>
      <c r="BE319" s="101"/>
      <c r="BF319" s="101"/>
      <c r="BG319" s="101"/>
      <c r="BK319" s="101"/>
      <c r="BL319" s="101"/>
      <c r="BM319" s="101"/>
      <c r="BN319" s="101"/>
      <c r="BO319" s="101"/>
      <c r="BP319" s="101"/>
      <c r="BQ319" s="101"/>
      <c r="BR319" s="104"/>
      <c r="BS319" s="104"/>
      <c r="BT319" s="104"/>
      <c r="BU319" s="104"/>
      <c r="BV319" s="104"/>
      <c r="BW319" s="104"/>
      <c r="BX319" s="104"/>
      <c r="BY319" s="104"/>
      <c r="BZ319" s="104"/>
      <c r="CA319" s="104"/>
      <c r="CB319" s="104"/>
      <c r="CC319" s="104"/>
      <c r="CD319" s="104"/>
      <c r="CE319" s="104"/>
      <c r="CF319" s="104"/>
      <c r="CG319" s="104"/>
      <c r="CH319" s="104"/>
      <c r="CI319" s="104"/>
      <c r="CJ319" s="104"/>
      <c r="CK319" s="104"/>
      <c r="CL319" s="104"/>
      <c r="CM319" s="104"/>
      <c r="CN319" s="98"/>
      <c r="CP319" s="101"/>
      <c r="CQ319" s="101"/>
      <c r="CR319" s="101"/>
      <c r="CS319" s="101"/>
      <c r="CT319" s="101"/>
      <c r="FJ319" s="103"/>
      <c r="FL319" s="103"/>
      <c r="FN319" s="103"/>
      <c r="FP319" s="103"/>
    </row>
    <row r="320" spans="2:172" x14ac:dyDescent="0.35">
      <c r="B320" s="97"/>
      <c r="G320" s="100"/>
      <c r="K320" s="98"/>
      <c r="L320" s="101"/>
      <c r="M320" s="101"/>
      <c r="N320" s="101"/>
      <c r="O320" s="101"/>
      <c r="P320" s="102"/>
      <c r="Q320" s="101"/>
      <c r="R320" s="98"/>
      <c r="S320" s="98"/>
      <c r="T320" s="98"/>
      <c r="U320" s="98"/>
      <c r="V320" s="98"/>
      <c r="W320" s="98"/>
      <c r="X320" s="103"/>
      <c r="Y320" s="103"/>
      <c r="Z320" s="103"/>
      <c r="AA320" s="103"/>
      <c r="AB320" s="103"/>
      <c r="AC320" s="103"/>
      <c r="AD320" s="103"/>
      <c r="AE320" s="101"/>
      <c r="AF320" s="101"/>
      <c r="AG320" s="101"/>
      <c r="AH320" s="101"/>
      <c r="AI320" s="101"/>
      <c r="AJ320" s="101"/>
      <c r="AK320" s="101"/>
      <c r="AL320" s="103"/>
      <c r="AM320" s="103"/>
      <c r="AN320" s="103"/>
      <c r="AO320" s="103"/>
      <c r="AP320" s="103"/>
      <c r="AQ320" s="103"/>
      <c r="AR320" s="103"/>
      <c r="AS320" s="101"/>
      <c r="AT320" s="101"/>
      <c r="AU320" s="101"/>
      <c r="AV320" s="101"/>
      <c r="AW320" s="101"/>
      <c r="AX320" s="101"/>
      <c r="AY320" s="101"/>
      <c r="AZ320" s="103"/>
      <c r="BA320" s="103"/>
      <c r="BB320" s="103"/>
      <c r="BC320" s="101"/>
      <c r="BD320" s="101"/>
      <c r="BE320" s="101"/>
      <c r="BF320" s="101"/>
      <c r="BG320" s="101"/>
      <c r="BK320" s="101"/>
      <c r="BL320" s="101"/>
      <c r="BM320" s="101"/>
      <c r="BN320" s="101"/>
      <c r="BO320" s="101"/>
      <c r="BP320" s="101"/>
      <c r="BQ320" s="101"/>
      <c r="BR320" s="104"/>
      <c r="BS320" s="104"/>
      <c r="BT320" s="104"/>
      <c r="BU320" s="104"/>
      <c r="BV320" s="104"/>
      <c r="BW320" s="104"/>
      <c r="BX320" s="104"/>
      <c r="BY320" s="104"/>
      <c r="BZ320" s="104"/>
      <c r="CA320" s="104"/>
      <c r="CB320" s="104"/>
      <c r="CC320" s="104"/>
      <c r="CD320" s="104"/>
      <c r="CE320" s="104"/>
      <c r="CF320" s="104"/>
      <c r="CG320" s="104"/>
      <c r="CH320" s="104"/>
      <c r="CI320" s="104"/>
      <c r="CJ320" s="104"/>
      <c r="CK320" s="104"/>
      <c r="CL320" s="104"/>
      <c r="CM320" s="104"/>
      <c r="CN320" s="98"/>
      <c r="CP320" s="101"/>
      <c r="CQ320" s="101"/>
      <c r="CR320" s="101"/>
      <c r="CS320" s="101"/>
      <c r="CT320" s="101"/>
      <c r="FJ320" s="103"/>
      <c r="FL320" s="103"/>
      <c r="FN320" s="103"/>
      <c r="FP320" s="103"/>
    </row>
    <row r="321" spans="2:172" x14ac:dyDescent="0.35">
      <c r="B321" s="97"/>
      <c r="G321" s="100"/>
      <c r="K321" s="98"/>
      <c r="L321" s="101"/>
      <c r="M321" s="101"/>
      <c r="N321" s="101"/>
      <c r="O321" s="101"/>
      <c r="P321" s="102"/>
      <c r="Q321" s="101"/>
      <c r="R321" s="98"/>
      <c r="S321" s="98"/>
      <c r="T321" s="98"/>
      <c r="U321" s="98"/>
      <c r="V321" s="98"/>
      <c r="W321" s="98"/>
      <c r="X321" s="103"/>
      <c r="Y321" s="103"/>
      <c r="Z321" s="103"/>
      <c r="AA321" s="103"/>
      <c r="AB321" s="103"/>
      <c r="AC321" s="103"/>
      <c r="AD321" s="103"/>
      <c r="AE321" s="101"/>
      <c r="AF321" s="101"/>
      <c r="AG321" s="101"/>
      <c r="AH321" s="101"/>
      <c r="AI321" s="101"/>
      <c r="AJ321" s="101"/>
      <c r="AK321" s="101"/>
      <c r="AL321" s="103"/>
      <c r="AM321" s="103"/>
      <c r="AN321" s="103"/>
      <c r="AO321" s="103"/>
      <c r="AP321" s="103"/>
      <c r="AQ321" s="103"/>
      <c r="AR321" s="103"/>
      <c r="AS321" s="101"/>
      <c r="AT321" s="101"/>
      <c r="AU321" s="101"/>
      <c r="AV321" s="101"/>
      <c r="AW321" s="101"/>
      <c r="AX321" s="101"/>
      <c r="AY321" s="101"/>
      <c r="AZ321" s="103"/>
      <c r="BA321" s="103"/>
      <c r="BB321" s="103"/>
      <c r="BC321" s="101"/>
      <c r="BD321" s="101"/>
      <c r="BE321" s="101"/>
      <c r="BF321" s="101"/>
      <c r="BG321" s="101"/>
      <c r="BK321" s="101"/>
      <c r="BL321" s="101"/>
      <c r="BM321" s="101"/>
      <c r="BN321" s="101"/>
      <c r="BO321" s="101"/>
      <c r="BP321" s="101"/>
      <c r="BQ321" s="101"/>
      <c r="BR321" s="104"/>
      <c r="BS321" s="104"/>
      <c r="BT321" s="104"/>
      <c r="BU321" s="104"/>
      <c r="BV321" s="104"/>
      <c r="BW321" s="104"/>
      <c r="BX321" s="104"/>
      <c r="BY321" s="104"/>
      <c r="BZ321" s="104"/>
      <c r="CA321" s="104"/>
      <c r="CB321" s="104"/>
      <c r="CC321" s="104"/>
      <c r="CD321" s="104"/>
      <c r="CE321" s="104"/>
      <c r="CF321" s="104"/>
      <c r="CG321" s="104"/>
      <c r="CH321" s="104"/>
      <c r="CI321" s="104"/>
      <c r="CJ321" s="104"/>
      <c r="CK321" s="104"/>
      <c r="CL321" s="104"/>
      <c r="CM321" s="104"/>
      <c r="CN321" s="98"/>
      <c r="CP321" s="101"/>
      <c r="CQ321" s="101"/>
      <c r="CR321" s="101"/>
      <c r="CS321" s="101"/>
      <c r="CT321" s="101"/>
      <c r="FJ321" s="103"/>
      <c r="FL321" s="103"/>
      <c r="FN321" s="103"/>
      <c r="FP321" s="103"/>
    </row>
    <row r="322" spans="2:172" x14ac:dyDescent="0.35">
      <c r="B322" s="97"/>
      <c r="G322" s="100"/>
      <c r="K322" s="98"/>
      <c r="L322" s="101"/>
      <c r="M322" s="101"/>
      <c r="N322" s="101"/>
      <c r="O322" s="101"/>
      <c r="P322" s="102"/>
      <c r="Q322" s="101"/>
      <c r="R322" s="98"/>
      <c r="S322" s="98"/>
      <c r="T322" s="98"/>
      <c r="U322" s="98"/>
      <c r="V322" s="98"/>
      <c r="W322" s="98"/>
      <c r="X322" s="103"/>
      <c r="Y322" s="103"/>
      <c r="Z322" s="103"/>
      <c r="AA322" s="103"/>
      <c r="AB322" s="103"/>
      <c r="AC322" s="103"/>
      <c r="AD322" s="103"/>
      <c r="AE322" s="101"/>
      <c r="AF322" s="101"/>
      <c r="AG322" s="101"/>
      <c r="AH322" s="101"/>
      <c r="AI322" s="101"/>
      <c r="AJ322" s="101"/>
      <c r="AK322" s="101"/>
      <c r="AL322" s="103"/>
      <c r="AM322" s="103"/>
      <c r="AN322" s="103"/>
      <c r="AO322" s="103"/>
      <c r="AP322" s="103"/>
      <c r="AQ322" s="103"/>
      <c r="AR322" s="103"/>
      <c r="AS322" s="101"/>
      <c r="AT322" s="101"/>
      <c r="AU322" s="101"/>
      <c r="AV322" s="101"/>
      <c r="AW322" s="101"/>
      <c r="AX322" s="101"/>
      <c r="AY322" s="101"/>
      <c r="AZ322" s="103"/>
      <c r="BA322" s="103"/>
      <c r="BB322" s="103"/>
      <c r="BC322" s="101"/>
      <c r="BD322" s="101"/>
      <c r="BE322" s="101"/>
      <c r="BF322" s="101"/>
      <c r="BG322" s="101"/>
      <c r="BK322" s="101"/>
      <c r="BL322" s="101"/>
      <c r="BM322" s="101"/>
      <c r="BN322" s="101"/>
      <c r="BO322" s="101"/>
      <c r="BP322" s="101"/>
      <c r="BQ322" s="101"/>
      <c r="BR322" s="104"/>
      <c r="BS322" s="104"/>
      <c r="BT322" s="104"/>
      <c r="BU322" s="104"/>
      <c r="BV322" s="104"/>
      <c r="BW322" s="104"/>
      <c r="BX322" s="104"/>
      <c r="BY322" s="104"/>
      <c r="BZ322" s="104"/>
      <c r="CA322" s="104"/>
      <c r="CB322" s="104"/>
      <c r="CC322" s="104"/>
      <c r="CD322" s="104"/>
      <c r="CE322" s="104"/>
      <c r="CF322" s="104"/>
      <c r="CG322" s="104"/>
      <c r="CH322" s="104"/>
      <c r="CI322" s="104"/>
      <c r="CJ322" s="104"/>
      <c r="CK322" s="104"/>
      <c r="CL322" s="104"/>
      <c r="CM322" s="104"/>
      <c r="CN322" s="98"/>
      <c r="CP322" s="101"/>
      <c r="CQ322" s="101"/>
      <c r="CR322" s="101"/>
      <c r="CS322" s="101"/>
      <c r="CT322" s="101"/>
      <c r="FJ322" s="103"/>
      <c r="FL322" s="103"/>
      <c r="FN322" s="103"/>
      <c r="FP322" s="103"/>
    </row>
    <row r="323" spans="2:172" x14ac:dyDescent="0.35">
      <c r="B323" s="97"/>
      <c r="G323" s="100"/>
      <c r="K323" s="98"/>
      <c r="L323" s="101"/>
      <c r="M323" s="101"/>
      <c r="N323" s="101"/>
      <c r="O323" s="101"/>
      <c r="P323" s="102"/>
      <c r="Q323" s="101"/>
      <c r="R323" s="98"/>
      <c r="S323" s="98"/>
      <c r="T323" s="98"/>
      <c r="U323" s="98"/>
      <c r="V323" s="98"/>
      <c r="W323" s="98"/>
      <c r="X323" s="103"/>
      <c r="Y323" s="103"/>
      <c r="Z323" s="103"/>
      <c r="AA323" s="103"/>
      <c r="AB323" s="103"/>
      <c r="AC323" s="103"/>
      <c r="AD323" s="103"/>
      <c r="AE323" s="101"/>
      <c r="AF323" s="101"/>
      <c r="AG323" s="101"/>
      <c r="AH323" s="101"/>
      <c r="AI323" s="101"/>
      <c r="AJ323" s="101"/>
      <c r="AK323" s="101"/>
      <c r="AL323" s="103"/>
      <c r="AM323" s="103"/>
      <c r="AN323" s="103"/>
      <c r="AO323" s="103"/>
      <c r="AP323" s="103"/>
      <c r="AQ323" s="103"/>
      <c r="AR323" s="103"/>
      <c r="AS323" s="101"/>
      <c r="AT323" s="101"/>
      <c r="AU323" s="101"/>
      <c r="AV323" s="101"/>
      <c r="AW323" s="101"/>
      <c r="AX323" s="101"/>
      <c r="AY323" s="101"/>
      <c r="AZ323" s="103"/>
      <c r="BA323" s="103"/>
      <c r="BB323" s="103"/>
      <c r="BC323" s="101"/>
      <c r="BD323" s="101"/>
      <c r="BE323" s="101"/>
      <c r="BF323" s="101"/>
      <c r="BG323" s="101"/>
      <c r="BK323" s="101"/>
      <c r="BL323" s="101"/>
      <c r="BM323" s="101"/>
      <c r="BN323" s="101"/>
      <c r="BO323" s="101"/>
      <c r="BP323" s="101"/>
      <c r="BQ323" s="101"/>
      <c r="BR323" s="104"/>
      <c r="BS323" s="104"/>
      <c r="BT323" s="104"/>
      <c r="BU323" s="104"/>
      <c r="BV323" s="104"/>
      <c r="BW323" s="104"/>
      <c r="BX323" s="104"/>
      <c r="BY323" s="104"/>
      <c r="BZ323" s="104"/>
      <c r="CA323" s="104"/>
      <c r="CB323" s="104"/>
      <c r="CC323" s="104"/>
      <c r="CD323" s="104"/>
      <c r="CE323" s="104"/>
      <c r="CF323" s="104"/>
      <c r="CG323" s="104"/>
      <c r="CH323" s="104"/>
      <c r="CI323" s="104"/>
      <c r="CJ323" s="104"/>
      <c r="CK323" s="104"/>
      <c r="CL323" s="104"/>
      <c r="CM323" s="104"/>
      <c r="CN323" s="98"/>
      <c r="CP323" s="101"/>
      <c r="CQ323" s="101"/>
      <c r="CR323" s="101"/>
      <c r="CS323" s="101"/>
      <c r="CT323" s="101"/>
      <c r="FJ323" s="103"/>
      <c r="FL323" s="103"/>
      <c r="FN323" s="103"/>
      <c r="FP323" s="103"/>
    </row>
    <row r="324" spans="2:172" x14ac:dyDescent="0.35">
      <c r="B324" s="97"/>
      <c r="G324" s="100"/>
      <c r="K324" s="98"/>
      <c r="L324" s="101"/>
      <c r="M324" s="101"/>
      <c r="N324" s="101"/>
      <c r="O324" s="101"/>
      <c r="P324" s="102"/>
      <c r="Q324" s="101"/>
      <c r="R324" s="98"/>
      <c r="S324" s="98"/>
      <c r="T324" s="98"/>
      <c r="U324" s="98"/>
      <c r="V324" s="98"/>
      <c r="W324" s="98"/>
      <c r="X324" s="103"/>
      <c r="Y324" s="103"/>
      <c r="Z324" s="103"/>
      <c r="AA324" s="103"/>
      <c r="AB324" s="103"/>
      <c r="AC324" s="103"/>
      <c r="AD324" s="103"/>
      <c r="AE324" s="101"/>
      <c r="AF324" s="101"/>
      <c r="AG324" s="101"/>
      <c r="AH324" s="101"/>
      <c r="AI324" s="101"/>
      <c r="AJ324" s="101"/>
      <c r="AK324" s="101"/>
      <c r="AL324" s="103"/>
      <c r="AM324" s="103"/>
      <c r="AN324" s="103"/>
      <c r="AO324" s="103"/>
      <c r="AP324" s="103"/>
      <c r="AQ324" s="103"/>
      <c r="AR324" s="103"/>
      <c r="AS324" s="101"/>
      <c r="AT324" s="101"/>
      <c r="AU324" s="101"/>
      <c r="AV324" s="101"/>
      <c r="AW324" s="101"/>
      <c r="AX324" s="101"/>
      <c r="AY324" s="101"/>
      <c r="AZ324" s="103"/>
      <c r="BA324" s="103"/>
      <c r="BB324" s="103"/>
      <c r="BC324" s="101"/>
      <c r="BD324" s="101"/>
      <c r="BE324" s="101"/>
      <c r="BF324" s="101"/>
      <c r="BG324" s="101"/>
      <c r="BK324" s="101"/>
      <c r="BL324" s="101"/>
      <c r="BM324" s="101"/>
      <c r="BN324" s="101"/>
      <c r="BO324" s="101"/>
      <c r="BP324" s="101"/>
      <c r="BQ324" s="101"/>
      <c r="BR324" s="104"/>
      <c r="BS324" s="104"/>
      <c r="BT324" s="104"/>
      <c r="BU324" s="104"/>
      <c r="BV324" s="104"/>
      <c r="BW324" s="104"/>
      <c r="BX324" s="104"/>
      <c r="BY324" s="104"/>
      <c r="BZ324" s="104"/>
      <c r="CA324" s="104"/>
      <c r="CB324" s="104"/>
      <c r="CC324" s="104"/>
      <c r="CD324" s="104"/>
      <c r="CE324" s="104"/>
      <c r="CF324" s="104"/>
      <c r="CG324" s="104"/>
      <c r="CH324" s="104"/>
      <c r="CI324" s="104"/>
      <c r="CJ324" s="104"/>
      <c r="CK324" s="104"/>
      <c r="CL324" s="104"/>
      <c r="CM324" s="104"/>
      <c r="CN324" s="98"/>
      <c r="CP324" s="101"/>
      <c r="CQ324" s="101"/>
      <c r="CR324" s="101"/>
      <c r="CS324" s="101"/>
      <c r="CT324" s="101"/>
      <c r="FJ324" s="103"/>
      <c r="FL324" s="103"/>
      <c r="FN324" s="103"/>
      <c r="FP324" s="103"/>
    </row>
    <row r="325" spans="2:172" x14ac:dyDescent="0.35">
      <c r="B325" s="97"/>
      <c r="G325" s="100"/>
      <c r="K325" s="98"/>
      <c r="L325" s="101"/>
      <c r="M325" s="101"/>
      <c r="N325" s="101"/>
      <c r="O325" s="101"/>
      <c r="P325" s="102"/>
      <c r="Q325" s="101"/>
      <c r="R325" s="98"/>
      <c r="S325" s="98"/>
      <c r="T325" s="98"/>
      <c r="U325" s="98"/>
      <c r="V325" s="98"/>
      <c r="W325" s="98"/>
      <c r="X325" s="103"/>
      <c r="Y325" s="103"/>
      <c r="Z325" s="103"/>
      <c r="AA325" s="103"/>
      <c r="AB325" s="103"/>
      <c r="AC325" s="103"/>
      <c r="AD325" s="103"/>
      <c r="AE325" s="101"/>
      <c r="AF325" s="101"/>
      <c r="AG325" s="101"/>
      <c r="AH325" s="101"/>
      <c r="AI325" s="101"/>
      <c r="AJ325" s="101"/>
      <c r="AK325" s="101"/>
      <c r="AL325" s="103"/>
      <c r="AM325" s="103"/>
      <c r="AN325" s="103"/>
      <c r="AO325" s="103"/>
      <c r="AP325" s="103"/>
      <c r="AQ325" s="103"/>
      <c r="AR325" s="103"/>
      <c r="AS325" s="101"/>
      <c r="AT325" s="101"/>
      <c r="AU325" s="101"/>
      <c r="AV325" s="101"/>
      <c r="AW325" s="101"/>
      <c r="AX325" s="101"/>
      <c r="AY325" s="101"/>
      <c r="AZ325" s="103"/>
      <c r="BA325" s="103"/>
      <c r="BB325" s="103"/>
      <c r="BC325" s="101"/>
      <c r="BD325" s="101"/>
      <c r="BE325" s="101"/>
      <c r="BF325" s="101"/>
      <c r="BG325" s="101"/>
      <c r="BK325" s="101"/>
      <c r="BL325" s="101"/>
      <c r="BM325" s="101"/>
      <c r="BN325" s="101"/>
      <c r="BO325" s="101"/>
      <c r="BP325" s="101"/>
      <c r="BQ325" s="101"/>
      <c r="BR325" s="104"/>
      <c r="BS325" s="104"/>
      <c r="BT325" s="104"/>
      <c r="BU325" s="104"/>
      <c r="BV325" s="104"/>
      <c r="BW325" s="104"/>
      <c r="BX325" s="104"/>
      <c r="BY325" s="104"/>
      <c r="BZ325" s="104"/>
      <c r="CA325" s="104"/>
      <c r="CB325" s="104"/>
      <c r="CC325" s="104"/>
      <c r="CD325" s="104"/>
      <c r="CE325" s="104"/>
      <c r="CF325" s="104"/>
      <c r="CG325" s="104"/>
      <c r="CH325" s="104"/>
      <c r="CI325" s="104"/>
      <c r="CJ325" s="104"/>
      <c r="CK325" s="104"/>
      <c r="CL325" s="104"/>
      <c r="CM325" s="104"/>
      <c r="CN325" s="98"/>
      <c r="CP325" s="101"/>
      <c r="CQ325" s="101"/>
      <c r="CR325" s="101"/>
      <c r="CS325" s="101"/>
      <c r="CT325" s="101"/>
      <c r="FJ325" s="103"/>
      <c r="FL325" s="103"/>
      <c r="FN325" s="103"/>
      <c r="FP325" s="103"/>
    </row>
    <row r="326" spans="2:172" x14ac:dyDescent="0.35">
      <c r="B326" s="97"/>
      <c r="G326" s="100"/>
      <c r="K326" s="98"/>
      <c r="L326" s="101"/>
      <c r="M326" s="101"/>
      <c r="N326" s="101"/>
      <c r="O326" s="101"/>
      <c r="P326" s="102"/>
      <c r="Q326" s="101"/>
      <c r="R326" s="98"/>
      <c r="S326" s="98"/>
      <c r="T326" s="98"/>
      <c r="U326" s="98"/>
      <c r="V326" s="98"/>
      <c r="W326" s="98"/>
      <c r="X326" s="103"/>
      <c r="Y326" s="103"/>
      <c r="Z326" s="103"/>
      <c r="AA326" s="103"/>
      <c r="AB326" s="103"/>
      <c r="AC326" s="103"/>
      <c r="AD326" s="103"/>
      <c r="AE326" s="101"/>
      <c r="AF326" s="101"/>
      <c r="AG326" s="101"/>
      <c r="AH326" s="101"/>
      <c r="AI326" s="101"/>
      <c r="AJ326" s="101"/>
      <c r="AK326" s="101"/>
      <c r="AL326" s="103"/>
      <c r="AM326" s="103"/>
      <c r="AN326" s="103"/>
      <c r="AO326" s="103"/>
      <c r="AP326" s="103"/>
      <c r="AQ326" s="103"/>
      <c r="AR326" s="103"/>
      <c r="AS326" s="101"/>
      <c r="AT326" s="101"/>
      <c r="AU326" s="101"/>
      <c r="AV326" s="101"/>
      <c r="AW326" s="101"/>
      <c r="AX326" s="101"/>
      <c r="AY326" s="101"/>
      <c r="AZ326" s="103"/>
      <c r="BA326" s="103"/>
      <c r="BB326" s="103"/>
      <c r="BC326" s="101"/>
      <c r="BD326" s="101"/>
      <c r="BE326" s="101"/>
      <c r="BF326" s="101"/>
      <c r="BG326" s="101"/>
      <c r="BK326" s="101"/>
      <c r="BL326" s="101"/>
      <c r="BM326" s="101"/>
      <c r="BN326" s="101"/>
      <c r="BO326" s="101"/>
      <c r="BP326" s="101"/>
      <c r="BQ326" s="101"/>
      <c r="BR326" s="104"/>
      <c r="BS326" s="104"/>
      <c r="BT326" s="104"/>
      <c r="BU326" s="104"/>
      <c r="BV326" s="104"/>
      <c r="BW326" s="104"/>
      <c r="BX326" s="104"/>
      <c r="BY326" s="104"/>
      <c r="BZ326" s="104"/>
      <c r="CA326" s="104"/>
      <c r="CB326" s="104"/>
      <c r="CC326" s="104"/>
      <c r="CD326" s="104"/>
      <c r="CE326" s="104"/>
      <c r="CF326" s="104"/>
      <c r="CG326" s="104"/>
      <c r="CH326" s="104"/>
      <c r="CI326" s="104"/>
      <c r="CJ326" s="104"/>
      <c r="CK326" s="104"/>
      <c r="CL326" s="104"/>
      <c r="CM326" s="104"/>
      <c r="CN326" s="98"/>
      <c r="CP326" s="101"/>
      <c r="CQ326" s="101"/>
      <c r="CR326" s="101"/>
      <c r="CS326" s="101"/>
      <c r="CT326" s="101"/>
      <c r="FJ326" s="103"/>
      <c r="FL326" s="103"/>
      <c r="FN326" s="103"/>
      <c r="FP326" s="103"/>
    </row>
    <row r="327" spans="2:172" x14ac:dyDescent="0.35">
      <c r="B327" s="97"/>
      <c r="G327" s="100"/>
      <c r="K327" s="98"/>
      <c r="L327" s="101"/>
      <c r="M327" s="101"/>
      <c r="N327" s="101"/>
      <c r="O327" s="101"/>
      <c r="P327" s="102"/>
      <c r="Q327" s="101"/>
      <c r="R327" s="98"/>
      <c r="S327" s="98"/>
      <c r="T327" s="98"/>
      <c r="U327" s="98"/>
      <c r="V327" s="98"/>
      <c r="W327" s="98"/>
      <c r="X327" s="103"/>
      <c r="Y327" s="103"/>
      <c r="Z327" s="103"/>
      <c r="AA327" s="103"/>
      <c r="AB327" s="103"/>
      <c r="AC327" s="103"/>
      <c r="AD327" s="103"/>
      <c r="AE327" s="101"/>
      <c r="AF327" s="101"/>
      <c r="AG327" s="101"/>
      <c r="AH327" s="101"/>
      <c r="AI327" s="101"/>
      <c r="AJ327" s="101"/>
      <c r="AK327" s="101"/>
      <c r="AL327" s="103"/>
      <c r="AM327" s="103"/>
      <c r="AN327" s="103"/>
      <c r="AO327" s="103"/>
      <c r="AP327" s="103"/>
      <c r="AQ327" s="103"/>
      <c r="AR327" s="103"/>
      <c r="AS327" s="101"/>
      <c r="AT327" s="101"/>
      <c r="AU327" s="101"/>
      <c r="AV327" s="101"/>
      <c r="AW327" s="101"/>
      <c r="AX327" s="101"/>
      <c r="AY327" s="101"/>
      <c r="AZ327" s="103"/>
      <c r="BA327" s="103"/>
      <c r="BB327" s="103"/>
      <c r="BC327" s="101"/>
      <c r="BD327" s="101"/>
      <c r="BE327" s="101"/>
      <c r="BF327" s="101"/>
      <c r="BG327" s="101"/>
      <c r="BK327" s="101"/>
      <c r="BL327" s="101"/>
      <c r="BM327" s="101"/>
      <c r="BN327" s="101"/>
      <c r="BO327" s="101"/>
      <c r="BP327" s="101"/>
      <c r="BQ327" s="101"/>
      <c r="BR327" s="104"/>
      <c r="BS327" s="104"/>
      <c r="BT327" s="104"/>
      <c r="BU327" s="104"/>
      <c r="BV327" s="104"/>
      <c r="BW327" s="104"/>
      <c r="BX327" s="104"/>
      <c r="BY327" s="104"/>
      <c r="BZ327" s="104"/>
      <c r="CA327" s="104"/>
      <c r="CB327" s="104"/>
      <c r="CC327" s="104"/>
      <c r="CD327" s="104"/>
      <c r="CE327" s="104"/>
      <c r="CF327" s="104"/>
      <c r="CG327" s="104"/>
      <c r="CH327" s="104"/>
      <c r="CI327" s="104"/>
      <c r="CJ327" s="104"/>
      <c r="CK327" s="104"/>
      <c r="CL327" s="104"/>
      <c r="CM327" s="104"/>
      <c r="CN327" s="98"/>
      <c r="CP327" s="101"/>
      <c r="CQ327" s="101"/>
      <c r="CR327" s="101"/>
      <c r="CS327" s="101"/>
      <c r="CT327" s="101"/>
      <c r="FJ327" s="103"/>
      <c r="FL327" s="103"/>
      <c r="FN327" s="103"/>
      <c r="FP327" s="103"/>
    </row>
    <row r="328" spans="2:172" x14ac:dyDescent="0.35">
      <c r="B328" s="97"/>
      <c r="G328" s="100"/>
      <c r="K328" s="98"/>
      <c r="L328" s="101"/>
      <c r="M328" s="101"/>
      <c r="N328" s="101"/>
      <c r="O328" s="101"/>
      <c r="P328" s="102"/>
      <c r="Q328" s="101"/>
      <c r="R328" s="98"/>
      <c r="S328" s="98"/>
      <c r="T328" s="98"/>
      <c r="U328" s="98"/>
      <c r="V328" s="98"/>
      <c r="W328" s="98"/>
      <c r="X328" s="103"/>
      <c r="Y328" s="103"/>
      <c r="Z328" s="103"/>
      <c r="AA328" s="103"/>
      <c r="AB328" s="103"/>
      <c r="AC328" s="103"/>
      <c r="AD328" s="103"/>
      <c r="AE328" s="101"/>
      <c r="AF328" s="101"/>
      <c r="AG328" s="101"/>
      <c r="AH328" s="101"/>
      <c r="AI328" s="101"/>
      <c r="AJ328" s="101"/>
      <c r="AK328" s="101"/>
      <c r="AL328" s="103"/>
      <c r="AM328" s="103"/>
      <c r="AN328" s="103"/>
      <c r="AO328" s="103"/>
      <c r="AP328" s="103"/>
      <c r="AQ328" s="103"/>
      <c r="AR328" s="103"/>
      <c r="AS328" s="101"/>
      <c r="AT328" s="101"/>
      <c r="AU328" s="101"/>
      <c r="AV328" s="101"/>
      <c r="AW328" s="101"/>
      <c r="AX328" s="101"/>
      <c r="AY328" s="101"/>
      <c r="AZ328" s="103"/>
      <c r="BA328" s="103"/>
      <c r="BB328" s="103"/>
      <c r="BC328" s="101"/>
      <c r="BD328" s="101"/>
      <c r="BE328" s="101"/>
      <c r="BF328" s="101"/>
      <c r="BG328" s="101"/>
      <c r="BK328" s="101"/>
      <c r="BL328" s="101"/>
      <c r="BM328" s="101"/>
      <c r="BN328" s="101"/>
      <c r="BO328" s="101"/>
      <c r="BP328" s="101"/>
      <c r="BQ328" s="101"/>
      <c r="BR328" s="104"/>
      <c r="BS328" s="104"/>
      <c r="BT328" s="104"/>
      <c r="BU328" s="104"/>
      <c r="BV328" s="104"/>
      <c r="BW328" s="104"/>
      <c r="BX328" s="104"/>
      <c r="BY328" s="104"/>
      <c r="BZ328" s="104"/>
      <c r="CA328" s="104"/>
      <c r="CB328" s="104"/>
      <c r="CC328" s="104"/>
      <c r="CD328" s="104"/>
      <c r="CE328" s="104"/>
      <c r="CF328" s="104"/>
      <c r="CG328" s="104"/>
      <c r="CH328" s="104"/>
      <c r="CI328" s="104"/>
      <c r="CJ328" s="104"/>
      <c r="CK328" s="104"/>
      <c r="CL328" s="104"/>
      <c r="CM328" s="104"/>
      <c r="CN328" s="98"/>
      <c r="CP328" s="101"/>
      <c r="CQ328" s="101"/>
      <c r="CR328" s="101"/>
      <c r="CS328" s="101"/>
      <c r="CT328" s="101"/>
      <c r="FJ328" s="103"/>
      <c r="FL328" s="103"/>
      <c r="FN328" s="103"/>
      <c r="FP328" s="103"/>
    </row>
    <row r="329" spans="2:172" x14ac:dyDescent="0.35">
      <c r="B329" s="97"/>
      <c r="G329" s="100"/>
      <c r="K329" s="98"/>
      <c r="L329" s="101"/>
      <c r="M329" s="101"/>
      <c r="N329" s="101"/>
      <c r="O329" s="101"/>
      <c r="P329" s="102"/>
      <c r="Q329" s="101"/>
      <c r="R329" s="98"/>
      <c r="S329" s="98"/>
      <c r="T329" s="98"/>
      <c r="U329" s="98"/>
      <c r="V329" s="98"/>
      <c r="W329" s="98"/>
      <c r="X329" s="103"/>
      <c r="Y329" s="103"/>
      <c r="Z329" s="103"/>
      <c r="AA329" s="103"/>
      <c r="AB329" s="103"/>
      <c r="AC329" s="103"/>
      <c r="AD329" s="103"/>
      <c r="AE329" s="101"/>
      <c r="AF329" s="101"/>
      <c r="AG329" s="101"/>
      <c r="AH329" s="101"/>
      <c r="AI329" s="101"/>
      <c r="AJ329" s="101"/>
      <c r="AK329" s="101"/>
      <c r="AL329" s="103"/>
      <c r="AM329" s="103"/>
      <c r="AN329" s="103"/>
      <c r="AO329" s="103"/>
      <c r="AP329" s="103"/>
      <c r="AQ329" s="103"/>
      <c r="AR329" s="103"/>
      <c r="AS329" s="101"/>
      <c r="AT329" s="101"/>
      <c r="AU329" s="101"/>
      <c r="AV329" s="101"/>
      <c r="AW329" s="101"/>
      <c r="AX329" s="101"/>
      <c r="AY329" s="101"/>
      <c r="AZ329" s="103"/>
      <c r="BA329" s="103"/>
      <c r="BB329" s="103"/>
      <c r="BC329" s="101"/>
      <c r="BD329" s="101"/>
      <c r="BE329" s="101"/>
      <c r="BF329" s="101"/>
      <c r="BG329" s="101"/>
      <c r="BK329" s="101"/>
      <c r="BL329" s="101"/>
      <c r="BM329" s="101"/>
      <c r="BN329" s="101"/>
      <c r="BO329" s="101"/>
      <c r="BP329" s="101"/>
      <c r="BQ329" s="101"/>
      <c r="BR329" s="104"/>
      <c r="BS329" s="104"/>
      <c r="BT329" s="104"/>
      <c r="BU329" s="104"/>
      <c r="BV329" s="104"/>
      <c r="BW329" s="104"/>
      <c r="BX329" s="104"/>
      <c r="BY329" s="104"/>
      <c r="BZ329" s="104"/>
      <c r="CA329" s="104"/>
      <c r="CB329" s="104"/>
      <c r="CC329" s="104"/>
      <c r="CD329" s="104"/>
      <c r="CE329" s="104"/>
      <c r="CF329" s="104"/>
      <c r="CG329" s="104"/>
      <c r="CH329" s="104"/>
      <c r="CI329" s="104"/>
      <c r="CJ329" s="104"/>
      <c r="CK329" s="104"/>
      <c r="CL329" s="104"/>
      <c r="CM329" s="104"/>
      <c r="CN329" s="98"/>
      <c r="CP329" s="101"/>
      <c r="CQ329" s="101"/>
      <c r="CR329" s="101"/>
      <c r="CS329" s="101"/>
      <c r="CT329" s="101"/>
      <c r="FJ329" s="103"/>
      <c r="FL329" s="103"/>
      <c r="FN329" s="103"/>
      <c r="FP329" s="103"/>
    </row>
    <row r="330" spans="2:172" x14ac:dyDescent="0.35">
      <c r="B330" s="97"/>
      <c r="G330" s="100"/>
      <c r="K330" s="98"/>
      <c r="L330" s="101"/>
      <c r="M330" s="101"/>
      <c r="N330" s="101"/>
      <c r="O330" s="101"/>
      <c r="P330" s="102"/>
      <c r="Q330" s="101"/>
      <c r="R330" s="98"/>
      <c r="S330" s="98"/>
      <c r="T330" s="98"/>
      <c r="U330" s="98"/>
      <c r="V330" s="98"/>
      <c r="W330" s="98"/>
      <c r="X330" s="103"/>
      <c r="Y330" s="103"/>
      <c r="Z330" s="103"/>
      <c r="AA330" s="103"/>
      <c r="AB330" s="103"/>
      <c r="AC330" s="103"/>
      <c r="AD330" s="103"/>
      <c r="AE330" s="101"/>
      <c r="AF330" s="101"/>
      <c r="AG330" s="101"/>
      <c r="AH330" s="101"/>
      <c r="AI330" s="101"/>
      <c r="AJ330" s="101"/>
      <c r="AK330" s="101"/>
      <c r="AL330" s="103"/>
      <c r="AM330" s="103"/>
      <c r="AN330" s="103"/>
      <c r="AO330" s="103"/>
      <c r="AP330" s="103"/>
      <c r="AQ330" s="103"/>
      <c r="AR330" s="103"/>
      <c r="AS330" s="101"/>
      <c r="AT330" s="101"/>
      <c r="AU330" s="101"/>
      <c r="AV330" s="101"/>
      <c r="AW330" s="101"/>
      <c r="AX330" s="101"/>
      <c r="AY330" s="101"/>
      <c r="AZ330" s="103"/>
      <c r="BA330" s="103"/>
      <c r="BB330" s="103"/>
      <c r="BC330" s="101"/>
      <c r="BD330" s="101"/>
      <c r="BE330" s="101"/>
      <c r="BF330" s="101"/>
      <c r="BG330" s="101"/>
      <c r="BK330" s="101"/>
      <c r="BL330" s="101"/>
      <c r="BM330" s="101"/>
      <c r="BN330" s="101"/>
      <c r="BO330" s="101"/>
      <c r="BP330" s="101"/>
      <c r="BQ330" s="101"/>
      <c r="BR330" s="104"/>
      <c r="BS330" s="104"/>
      <c r="BT330" s="104"/>
      <c r="BU330" s="104"/>
      <c r="BV330" s="104"/>
      <c r="BW330" s="104"/>
      <c r="BX330" s="104"/>
      <c r="BY330" s="104"/>
      <c r="BZ330" s="104"/>
      <c r="CA330" s="104"/>
      <c r="CB330" s="104"/>
      <c r="CC330" s="104"/>
      <c r="CD330" s="104"/>
      <c r="CE330" s="104"/>
      <c r="CF330" s="104"/>
      <c r="CG330" s="104"/>
      <c r="CH330" s="104"/>
      <c r="CI330" s="104"/>
      <c r="CJ330" s="104"/>
      <c r="CK330" s="104"/>
      <c r="CL330" s="104"/>
      <c r="CM330" s="104"/>
      <c r="CN330" s="98"/>
      <c r="CP330" s="101"/>
      <c r="CQ330" s="101"/>
      <c r="CR330" s="101"/>
      <c r="CS330" s="101"/>
      <c r="CT330" s="101"/>
      <c r="FJ330" s="103"/>
      <c r="FL330" s="103"/>
      <c r="FN330" s="103"/>
      <c r="FP330" s="103"/>
    </row>
    <row r="331" spans="2:172" x14ac:dyDescent="0.35">
      <c r="B331" s="97"/>
      <c r="G331" s="100"/>
      <c r="K331" s="98"/>
      <c r="L331" s="101"/>
      <c r="M331" s="101"/>
      <c r="N331" s="101"/>
      <c r="O331" s="101"/>
      <c r="P331" s="102"/>
      <c r="Q331" s="101"/>
      <c r="R331" s="98"/>
      <c r="S331" s="98"/>
      <c r="T331" s="98"/>
      <c r="U331" s="98"/>
      <c r="V331" s="98"/>
      <c r="W331" s="98"/>
      <c r="X331" s="103"/>
      <c r="Y331" s="103"/>
      <c r="Z331" s="103"/>
      <c r="AA331" s="103"/>
      <c r="AB331" s="103"/>
      <c r="AC331" s="103"/>
      <c r="AD331" s="103"/>
      <c r="AE331" s="101"/>
      <c r="AF331" s="101"/>
      <c r="AG331" s="101"/>
      <c r="AH331" s="101"/>
      <c r="AI331" s="101"/>
      <c r="AJ331" s="101"/>
      <c r="AK331" s="101"/>
      <c r="AL331" s="103"/>
      <c r="AM331" s="103"/>
      <c r="AN331" s="103"/>
      <c r="AO331" s="103"/>
      <c r="AP331" s="103"/>
      <c r="AQ331" s="103"/>
      <c r="AR331" s="103"/>
      <c r="AS331" s="101"/>
      <c r="AT331" s="101"/>
      <c r="AU331" s="101"/>
      <c r="AV331" s="101"/>
      <c r="AW331" s="101"/>
      <c r="AX331" s="101"/>
      <c r="AY331" s="101"/>
      <c r="AZ331" s="103"/>
      <c r="BA331" s="103"/>
      <c r="BB331" s="103"/>
      <c r="BC331" s="101"/>
      <c r="BD331" s="101"/>
      <c r="BE331" s="101"/>
      <c r="BF331" s="101"/>
      <c r="BG331" s="101"/>
      <c r="BK331" s="101"/>
      <c r="BL331" s="101"/>
      <c r="BM331" s="101"/>
      <c r="BN331" s="101"/>
      <c r="BO331" s="101"/>
      <c r="BP331" s="101"/>
      <c r="BQ331" s="101"/>
      <c r="BR331" s="104"/>
      <c r="BS331" s="104"/>
      <c r="BT331" s="104"/>
      <c r="BU331" s="104"/>
      <c r="BV331" s="104"/>
      <c r="BW331" s="104"/>
      <c r="BX331" s="104"/>
      <c r="BY331" s="104"/>
      <c r="BZ331" s="104"/>
      <c r="CA331" s="104"/>
      <c r="CB331" s="104"/>
      <c r="CC331" s="104"/>
      <c r="CD331" s="104"/>
      <c r="CE331" s="104"/>
      <c r="CF331" s="104"/>
      <c r="CG331" s="104"/>
      <c r="CH331" s="104"/>
      <c r="CI331" s="104"/>
      <c r="CJ331" s="104"/>
      <c r="CK331" s="104"/>
      <c r="CL331" s="104"/>
      <c r="CM331" s="104"/>
      <c r="CN331" s="98"/>
      <c r="CP331" s="101"/>
      <c r="CQ331" s="101"/>
      <c r="CR331" s="101"/>
      <c r="CS331" s="101"/>
      <c r="CT331" s="101"/>
      <c r="FJ331" s="103"/>
      <c r="FL331" s="103"/>
      <c r="FN331" s="103"/>
      <c r="FP331" s="103"/>
    </row>
    <row r="332" spans="2:172" x14ac:dyDescent="0.35">
      <c r="B332" s="97"/>
      <c r="G332" s="100"/>
      <c r="K332" s="98"/>
      <c r="L332" s="101"/>
      <c r="M332" s="101"/>
      <c r="N332" s="101"/>
      <c r="O332" s="101"/>
      <c r="P332" s="102"/>
      <c r="Q332" s="101"/>
      <c r="R332" s="98"/>
      <c r="S332" s="98"/>
      <c r="T332" s="98"/>
      <c r="U332" s="98"/>
      <c r="V332" s="98"/>
      <c r="W332" s="98"/>
      <c r="X332" s="103"/>
      <c r="Y332" s="103"/>
      <c r="Z332" s="103"/>
      <c r="AA332" s="103"/>
      <c r="AB332" s="103"/>
      <c r="AC332" s="103"/>
      <c r="AD332" s="103"/>
      <c r="AE332" s="101"/>
      <c r="AF332" s="101"/>
      <c r="AG332" s="101"/>
      <c r="AH332" s="101"/>
      <c r="AI332" s="101"/>
      <c r="AJ332" s="101"/>
      <c r="AK332" s="101"/>
      <c r="AL332" s="103"/>
      <c r="AM332" s="103"/>
      <c r="AN332" s="103"/>
      <c r="AO332" s="103"/>
      <c r="AP332" s="103"/>
      <c r="AQ332" s="103"/>
      <c r="AR332" s="103"/>
      <c r="AS332" s="101"/>
      <c r="AT332" s="101"/>
      <c r="AU332" s="101"/>
      <c r="AV332" s="101"/>
      <c r="AW332" s="101"/>
      <c r="AX332" s="101"/>
      <c r="AY332" s="101"/>
      <c r="AZ332" s="103"/>
      <c r="BA332" s="103"/>
      <c r="BB332" s="103"/>
      <c r="BC332" s="101"/>
      <c r="BD332" s="101"/>
      <c r="BE332" s="101"/>
      <c r="BF332" s="101"/>
      <c r="BG332" s="101"/>
      <c r="BK332" s="101"/>
      <c r="BL332" s="101"/>
      <c r="BM332" s="101"/>
      <c r="BN332" s="101"/>
      <c r="BO332" s="101"/>
      <c r="BP332" s="101"/>
      <c r="BQ332" s="101"/>
      <c r="BR332" s="104"/>
      <c r="BS332" s="104"/>
      <c r="BT332" s="104"/>
      <c r="BU332" s="104"/>
      <c r="BV332" s="104"/>
      <c r="BW332" s="104"/>
      <c r="BX332" s="104"/>
      <c r="BY332" s="104"/>
      <c r="BZ332" s="104"/>
      <c r="CA332" s="104"/>
      <c r="CB332" s="104"/>
      <c r="CC332" s="104"/>
      <c r="CD332" s="104"/>
      <c r="CE332" s="104"/>
      <c r="CF332" s="104"/>
      <c r="CG332" s="104"/>
      <c r="CH332" s="104"/>
      <c r="CI332" s="104"/>
      <c r="CJ332" s="104"/>
      <c r="CK332" s="104"/>
      <c r="CL332" s="104"/>
      <c r="CM332" s="104"/>
      <c r="CN332" s="98"/>
      <c r="CP332" s="101"/>
      <c r="CQ332" s="101"/>
      <c r="CR332" s="101"/>
      <c r="CS332" s="101"/>
      <c r="CT332" s="101"/>
      <c r="FJ332" s="103"/>
      <c r="FL332" s="103"/>
      <c r="FN332" s="103"/>
      <c r="FP332" s="103"/>
    </row>
    <row r="333" spans="2:172" x14ac:dyDescent="0.35">
      <c r="B333" s="97"/>
      <c r="G333" s="100"/>
      <c r="K333" s="98"/>
      <c r="L333" s="101"/>
      <c r="M333" s="101"/>
      <c r="N333" s="101"/>
      <c r="O333" s="101"/>
      <c r="P333" s="102"/>
      <c r="Q333" s="101"/>
      <c r="R333" s="98"/>
      <c r="S333" s="98"/>
      <c r="T333" s="98"/>
      <c r="U333" s="98"/>
      <c r="V333" s="98"/>
      <c r="W333" s="98"/>
      <c r="X333" s="103"/>
      <c r="Y333" s="103"/>
      <c r="Z333" s="103"/>
      <c r="AA333" s="103"/>
      <c r="AB333" s="103"/>
      <c r="AC333" s="103"/>
      <c r="AD333" s="103"/>
      <c r="AE333" s="101"/>
      <c r="AF333" s="101"/>
      <c r="AG333" s="101"/>
      <c r="AH333" s="101"/>
      <c r="AI333" s="101"/>
      <c r="AJ333" s="101"/>
      <c r="AK333" s="101"/>
      <c r="AL333" s="103"/>
      <c r="AM333" s="103"/>
      <c r="AN333" s="103"/>
      <c r="AO333" s="103"/>
      <c r="AP333" s="103"/>
      <c r="AQ333" s="103"/>
      <c r="AR333" s="103"/>
      <c r="AS333" s="101"/>
      <c r="AT333" s="101"/>
      <c r="AU333" s="101"/>
      <c r="AV333" s="101"/>
      <c r="AW333" s="101"/>
      <c r="AX333" s="101"/>
      <c r="AY333" s="101"/>
      <c r="AZ333" s="103"/>
      <c r="BA333" s="103"/>
      <c r="BB333" s="103"/>
      <c r="BC333" s="101"/>
      <c r="BD333" s="101"/>
      <c r="BE333" s="101"/>
      <c r="BF333" s="101"/>
      <c r="BG333" s="101"/>
      <c r="BK333" s="101"/>
      <c r="BL333" s="101"/>
      <c r="BM333" s="101"/>
      <c r="BN333" s="101"/>
      <c r="BO333" s="101"/>
      <c r="BP333" s="101"/>
      <c r="BQ333" s="101"/>
      <c r="BR333" s="104"/>
      <c r="BS333" s="104"/>
      <c r="BT333" s="104"/>
      <c r="BU333" s="104"/>
      <c r="BV333" s="104"/>
      <c r="BW333" s="104"/>
      <c r="BX333" s="104"/>
      <c r="BY333" s="104"/>
      <c r="BZ333" s="104"/>
      <c r="CA333" s="104"/>
      <c r="CB333" s="104"/>
      <c r="CC333" s="104"/>
      <c r="CD333" s="104"/>
      <c r="CE333" s="104"/>
      <c r="CF333" s="104"/>
      <c r="CG333" s="104"/>
      <c r="CH333" s="104"/>
      <c r="CI333" s="104"/>
      <c r="CJ333" s="104"/>
      <c r="CK333" s="104"/>
      <c r="CL333" s="104"/>
      <c r="CM333" s="104"/>
      <c r="CN333" s="98"/>
      <c r="CP333" s="101"/>
      <c r="CQ333" s="101"/>
      <c r="CR333" s="101"/>
      <c r="CS333" s="101"/>
      <c r="CT333" s="101"/>
      <c r="FJ333" s="103"/>
      <c r="FL333" s="103"/>
      <c r="FN333" s="103"/>
      <c r="FP333" s="103"/>
    </row>
    <row r="334" spans="2:172" x14ac:dyDescent="0.35">
      <c r="B334" s="97"/>
      <c r="G334" s="100"/>
      <c r="K334" s="98"/>
      <c r="L334" s="101"/>
      <c r="M334" s="101"/>
      <c r="N334" s="101"/>
      <c r="O334" s="101"/>
      <c r="P334" s="102"/>
      <c r="Q334" s="101"/>
      <c r="R334" s="98"/>
      <c r="S334" s="98"/>
      <c r="T334" s="98"/>
      <c r="U334" s="98"/>
      <c r="V334" s="98"/>
      <c r="W334" s="98"/>
      <c r="X334" s="103"/>
      <c r="Y334" s="103"/>
      <c r="Z334" s="103"/>
      <c r="AA334" s="103"/>
      <c r="AB334" s="103"/>
      <c r="AC334" s="103"/>
      <c r="AD334" s="103"/>
      <c r="AE334" s="101"/>
      <c r="AF334" s="101"/>
      <c r="AG334" s="101"/>
      <c r="AH334" s="101"/>
      <c r="AI334" s="101"/>
      <c r="AJ334" s="101"/>
      <c r="AK334" s="101"/>
      <c r="AL334" s="103"/>
      <c r="AM334" s="103"/>
      <c r="AN334" s="103"/>
      <c r="AO334" s="103"/>
      <c r="AP334" s="103"/>
      <c r="AQ334" s="103"/>
      <c r="AR334" s="103"/>
      <c r="AS334" s="101"/>
      <c r="AT334" s="101"/>
      <c r="AU334" s="101"/>
      <c r="AV334" s="101"/>
      <c r="AW334" s="101"/>
      <c r="AX334" s="101"/>
      <c r="AY334" s="101"/>
      <c r="AZ334" s="103"/>
      <c r="BA334" s="103"/>
      <c r="BB334" s="103"/>
      <c r="BC334" s="101"/>
      <c r="BD334" s="101"/>
      <c r="BE334" s="101"/>
      <c r="BF334" s="101"/>
      <c r="BG334" s="101"/>
      <c r="BK334" s="101"/>
      <c r="BL334" s="101"/>
      <c r="BM334" s="101"/>
      <c r="BN334" s="101"/>
      <c r="BO334" s="101"/>
      <c r="BP334" s="101"/>
      <c r="BQ334" s="101"/>
      <c r="BR334" s="104"/>
      <c r="BS334" s="104"/>
      <c r="BT334" s="104"/>
      <c r="BU334" s="104"/>
      <c r="BV334" s="104"/>
      <c r="BW334" s="104"/>
      <c r="BX334" s="104"/>
      <c r="BY334" s="104"/>
      <c r="BZ334" s="104"/>
      <c r="CA334" s="104"/>
      <c r="CB334" s="104"/>
      <c r="CC334" s="104"/>
      <c r="CD334" s="104"/>
      <c r="CE334" s="104"/>
      <c r="CF334" s="104"/>
      <c r="CG334" s="104"/>
      <c r="CH334" s="104"/>
      <c r="CI334" s="104"/>
      <c r="CJ334" s="104"/>
      <c r="CK334" s="104"/>
      <c r="CL334" s="104"/>
      <c r="CM334" s="104"/>
      <c r="CN334" s="98"/>
      <c r="CP334" s="101"/>
      <c r="CQ334" s="101"/>
      <c r="CR334" s="101"/>
      <c r="CS334" s="101"/>
      <c r="CT334" s="101"/>
      <c r="FJ334" s="103"/>
      <c r="FL334" s="103"/>
      <c r="FN334" s="103"/>
      <c r="FP334" s="103"/>
    </row>
    <row r="335" spans="2:172" x14ac:dyDescent="0.35">
      <c r="B335" s="97"/>
      <c r="G335" s="100"/>
      <c r="K335" s="98"/>
      <c r="L335" s="101"/>
      <c r="M335" s="101"/>
      <c r="N335" s="101"/>
      <c r="O335" s="101"/>
      <c r="P335" s="102"/>
      <c r="Q335" s="101"/>
      <c r="R335" s="98"/>
      <c r="S335" s="98"/>
      <c r="T335" s="98"/>
      <c r="U335" s="98"/>
      <c r="V335" s="98"/>
      <c r="W335" s="98"/>
      <c r="X335" s="103"/>
      <c r="Y335" s="103"/>
      <c r="Z335" s="103"/>
      <c r="AA335" s="103"/>
      <c r="AB335" s="103"/>
      <c r="AC335" s="103"/>
      <c r="AD335" s="103"/>
      <c r="AE335" s="101"/>
      <c r="AF335" s="101"/>
      <c r="AG335" s="101"/>
      <c r="AH335" s="101"/>
      <c r="AI335" s="101"/>
      <c r="AJ335" s="101"/>
      <c r="AK335" s="101"/>
      <c r="AL335" s="103"/>
      <c r="AM335" s="103"/>
      <c r="AN335" s="103"/>
      <c r="AO335" s="103"/>
      <c r="AP335" s="103"/>
      <c r="AQ335" s="103"/>
      <c r="AR335" s="103"/>
      <c r="AS335" s="101"/>
      <c r="AT335" s="101"/>
      <c r="AU335" s="101"/>
      <c r="AV335" s="101"/>
      <c r="AW335" s="101"/>
      <c r="AX335" s="101"/>
      <c r="AY335" s="101"/>
      <c r="AZ335" s="103"/>
      <c r="BA335" s="103"/>
      <c r="BB335" s="103"/>
      <c r="BC335" s="101"/>
      <c r="BD335" s="101"/>
      <c r="BE335" s="101"/>
      <c r="BF335" s="101"/>
      <c r="BG335" s="101"/>
      <c r="BK335" s="101"/>
      <c r="BL335" s="101"/>
      <c r="BM335" s="101"/>
      <c r="BN335" s="101"/>
      <c r="BO335" s="101"/>
      <c r="BP335" s="101"/>
      <c r="BQ335" s="101"/>
      <c r="BR335" s="104"/>
      <c r="BS335" s="104"/>
      <c r="BT335" s="104"/>
      <c r="BU335" s="104"/>
      <c r="BV335" s="104"/>
      <c r="BW335" s="104"/>
      <c r="BX335" s="104"/>
      <c r="BY335" s="104"/>
      <c r="BZ335" s="104"/>
      <c r="CA335" s="104"/>
      <c r="CB335" s="104"/>
      <c r="CC335" s="104"/>
      <c r="CD335" s="104"/>
      <c r="CE335" s="104"/>
      <c r="CF335" s="104"/>
      <c r="CG335" s="104"/>
      <c r="CH335" s="104"/>
      <c r="CI335" s="104"/>
      <c r="CJ335" s="104"/>
      <c r="CK335" s="104"/>
      <c r="CL335" s="104"/>
      <c r="CM335" s="104"/>
      <c r="CN335" s="98"/>
      <c r="CP335" s="101"/>
      <c r="CQ335" s="101"/>
      <c r="CR335" s="101"/>
      <c r="CS335" s="101"/>
      <c r="CT335" s="101"/>
      <c r="FJ335" s="103"/>
      <c r="FL335" s="103"/>
      <c r="FN335" s="103"/>
      <c r="FP335" s="103"/>
    </row>
    <row r="336" spans="2:172" x14ac:dyDescent="0.35">
      <c r="B336" s="97"/>
      <c r="G336" s="100"/>
      <c r="K336" s="98"/>
      <c r="L336" s="101"/>
      <c r="M336" s="101"/>
      <c r="N336" s="101"/>
      <c r="O336" s="101"/>
      <c r="P336" s="102"/>
      <c r="Q336" s="101"/>
      <c r="R336" s="98"/>
      <c r="S336" s="98"/>
      <c r="T336" s="98"/>
      <c r="U336" s="98"/>
      <c r="V336" s="98"/>
      <c r="W336" s="98"/>
      <c r="X336" s="103"/>
      <c r="Y336" s="103"/>
      <c r="Z336" s="103"/>
      <c r="AA336" s="103"/>
      <c r="AB336" s="103"/>
      <c r="AC336" s="103"/>
      <c r="AD336" s="103"/>
      <c r="AE336" s="101"/>
      <c r="AF336" s="101"/>
      <c r="AG336" s="101"/>
      <c r="AH336" s="101"/>
      <c r="AI336" s="101"/>
      <c r="AJ336" s="101"/>
      <c r="AK336" s="101"/>
      <c r="AL336" s="103"/>
      <c r="AM336" s="103"/>
      <c r="AN336" s="103"/>
      <c r="AO336" s="103"/>
      <c r="AP336" s="103"/>
      <c r="AQ336" s="103"/>
      <c r="AR336" s="103"/>
      <c r="AS336" s="101"/>
      <c r="AT336" s="101"/>
      <c r="AU336" s="101"/>
      <c r="AV336" s="101"/>
      <c r="AW336" s="101"/>
      <c r="AX336" s="101"/>
      <c r="AY336" s="101"/>
      <c r="AZ336" s="103"/>
      <c r="BA336" s="103"/>
      <c r="BB336" s="103"/>
      <c r="BC336" s="101"/>
      <c r="BD336" s="101"/>
      <c r="BE336" s="101"/>
      <c r="BF336" s="101"/>
      <c r="BG336" s="101"/>
      <c r="BK336" s="101"/>
      <c r="BL336" s="101"/>
      <c r="BM336" s="101"/>
      <c r="BN336" s="101"/>
      <c r="BO336" s="101"/>
      <c r="BP336" s="101"/>
      <c r="BQ336" s="101"/>
      <c r="BR336" s="104"/>
      <c r="BS336" s="104"/>
      <c r="BT336" s="104"/>
      <c r="BU336" s="104"/>
      <c r="BV336" s="104"/>
      <c r="BW336" s="104"/>
      <c r="BX336" s="104"/>
      <c r="BY336" s="104"/>
      <c r="BZ336" s="104"/>
      <c r="CA336" s="104"/>
      <c r="CB336" s="104"/>
      <c r="CC336" s="104"/>
      <c r="CD336" s="104"/>
      <c r="CE336" s="104"/>
      <c r="CF336" s="104"/>
      <c r="CG336" s="104"/>
      <c r="CH336" s="104"/>
      <c r="CI336" s="104"/>
      <c r="CJ336" s="104"/>
      <c r="CK336" s="104"/>
      <c r="CL336" s="104"/>
      <c r="CM336" s="104"/>
      <c r="CN336" s="98"/>
      <c r="CP336" s="101"/>
      <c r="CQ336" s="101"/>
      <c r="CR336" s="101"/>
      <c r="CS336" s="101"/>
      <c r="CT336" s="101"/>
      <c r="FJ336" s="103"/>
      <c r="FL336" s="103"/>
      <c r="FN336" s="103"/>
      <c r="FP336" s="103"/>
    </row>
    <row r="337" spans="2:172" x14ac:dyDescent="0.35">
      <c r="B337" s="97"/>
      <c r="G337" s="100"/>
      <c r="K337" s="98"/>
      <c r="L337" s="101"/>
      <c r="M337" s="101"/>
      <c r="N337" s="101"/>
      <c r="O337" s="101"/>
      <c r="P337" s="102"/>
      <c r="Q337" s="101"/>
      <c r="R337" s="98"/>
      <c r="S337" s="98"/>
      <c r="T337" s="98"/>
      <c r="U337" s="98"/>
      <c r="V337" s="98"/>
      <c r="W337" s="98"/>
      <c r="X337" s="103"/>
      <c r="Y337" s="103"/>
      <c r="Z337" s="103"/>
      <c r="AA337" s="103"/>
      <c r="AB337" s="103"/>
      <c r="AC337" s="103"/>
      <c r="AD337" s="103"/>
      <c r="AE337" s="101"/>
      <c r="AF337" s="101"/>
      <c r="AG337" s="101"/>
      <c r="AH337" s="101"/>
      <c r="AI337" s="101"/>
      <c r="AJ337" s="101"/>
      <c r="AK337" s="101"/>
      <c r="AL337" s="103"/>
      <c r="AM337" s="103"/>
      <c r="AN337" s="103"/>
      <c r="AO337" s="103"/>
      <c r="AP337" s="103"/>
      <c r="AQ337" s="103"/>
      <c r="AR337" s="103"/>
      <c r="AS337" s="101"/>
      <c r="AT337" s="101"/>
      <c r="AU337" s="101"/>
      <c r="AV337" s="101"/>
      <c r="AW337" s="101"/>
      <c r="AX337" s="101"/>
      <c r="AY337" s="101"/>
      <c r="AZ337" s="103"/>
      <c r="BA337" s="103"/>
      <c r="BB337" s="103"/>
      <c r="BC337" s="101"/>
      <c r="BD337" s="101"/>
      <c r="BE337" s="101"/>
      <c r="BF337" s="101"/>
      <c r="BG337" s="101"/>
      <c r="BK337" s="101"/>
      <c r="BL337" s="101"/>
      <c r="BM337" s="101"/>
      <c r="BN337" s="101"/>
      <c r="BO337" s="101"/>
      <c r="BP337" s="101"/>
      <c r="BQ337" s="101"/>
      <c r="BR337" s="104"/>
      <c r="BS337" s="104"/>
      <c r="BT337" s="104"/>
      <c r="BU337" s="104"/>
      <c r="BV337" s="104"/>
      <c r="BW337" s="104"/>
      <c r="BX337" s="104"/>
      <c r="BY337" s="104"/>
      <c r="BZ337" s="104"/>
      <c r="CA337" s="104"/>
      <c r="CB337" s="104"/>
      <c r="CC337" s="104"/>
      <c r="CD337" s="104"/>
      <c r="CE337" s="104"/>
      <c r="CF337" s="104"/>
      <c r="CG337" s="104"/>
      <c r="CH337" s="104"/>
      <c r="CI337" s="104"/>
      <c r="CJ337" s="104"/>
      <c r="CK337" s="104"/>
      <c r="CL337" s="104"/>
      <c r="CM337" s="104"/>
      <c r="CN337" s="98"/>
      <c r="CP337" s="101"/>
      <c r="CQ337" s="101"/>
      <c r="CR337" s="101"/>
      <c r="CS337" s="101"/>
      <c r="CT337" s="101"/>
      <c r="FJ337" s="103"/>
      <c r="FL337" s="103"/>
      <c r="FN337" s="103"/>
      <c r="FP337" s="103"/>
    </row>
    <row r="338" spans="2:172" x14ac:dyDescent="0.35">
      <c r="B338" s="97"/>
      <c r="G338" s="100"/>
      <c r="K338" s="98"/>
      <c r="L338" s="101"/>
      <c r="M338" s="101"/>
      <c r="N338" s="101"/>
      <c r="O338" s="101"/>
      <c r="P338" s="102"/>
      <c r="Q338" s="101"/>
      <c r="R338" s="98"/>
      <c r="S338" s="98"/>
      <c r="T338" s="98"/>
      <c r="U338" s="98"/>
      <c r="V338" s="98"/>
      <c r="W338" s="98"/>
      <c r="X338" s="103"/>
      <c r="Y338" s="103"/>
      <c r="Z338" s="103"/>
      <c r="AA338" s="103"/>
      <c r="AB338" s="103"/>
      <c r="AC338" s="103"/>
      <c r="AD338" s="103"/>
      <c r="AE338" s="101"/>
      <c r="AF338" s="101"/>
      <c r="AG338" s="101"/>
      <c r="AH338" s="101"/>
      <c r="AI338" s="101"/>
      <c r="AJ338" s="101"/>
      <c r="AK338" s="101"/>
      <c r="AL338" s="103"/>
      <c r="AM338" s="103"/>
      <c r="AN338" s="103"/>
      <c r="AO338" s="103"/>
      <c r="AP338" s="103"/>
      <c r="AQ338" s="103"/>
      <c r="AR338" s="103"/>
      <c r="AS338" s="101"/>
      <c r="AT338" s="101"/>
      <c r="AU338" s="101"/>
      <c r="AV338" s="101"/>
      <c r="AW338" s="101"/>
      <c r="AX338" s="101"/>
      <c r="AY338" s="101"/>
      <c r="AZ338" s="103"/>
      <c r="BA338" s="103"/>
      <c r="BB338" s="103"/>
      <c r="BC338" s="101"/>
      <c r="BD338" s="101"/>
      <c r="BE338" s="101"/>
      <c r="BF338" s="101"/>
      <c r="BG338" s="101"/>
      <c r="BK338" s="101"/>
      <c r="BL338" s="101"/>
      <c r="BM338" s="101"/>
      <c r="BN338" s="101"/>
      <c r="BO338" s="101"/>
      <c r="BP338" s="101"/>
      <c r="BQ338" s="101"/>
      <c r="BR338" s="104"/>
      <c r="BS338" s="104"/>
      <c r="BT338" s="104"/>
      <c r="BU338" s="104"/>
      <c r="BV338" s="104"/>
      <c r="BW338" s="104"/>
      <c r="BX338" s="104"/>
      <c r="BY338" s="104"/>
      <c r="BZ338" s="104"/>
      <c r="CA338" s="104"/>
      <c r="CB338" s="104"/>
      <c r="CC338" s="104"/>
      <c r="CD338" s="104"/>
      <c r="CE338" s="104"/>
      <c r="CF338" s="104"/>
      <c r="CG338" s="104"/>
      <c r="CH338" s="104"/>
      <c r="CI338" s="104"/>
      <c r="CJ338" s="104"/>
      <c r="CK338" s="104"/>
      <c r="CL338" s="104"/>
      <c r="CM338" s="104"/>
      <c r="CN338" s="98"/>
      <c r="CP338" s="101"/>
      <c r="CQ338" s="101"/>
      <c r="CR338" s="101"/>
      <c r="CS338" s="101"/>
      <c r="CT338" s="101"/>
      <c r="FJ338" s="103"/>
      <c r="FL338" s="103"/>
      <c r="FN338" s="103"/>
      <c r="FP338" s="103"/>
    </row>
    <row r="339" spans="2:172" x14ac:dyDescent="0.35">
      <c r="B339" s="97"/>
      <c r="G339" s="100"/>
      <c r="K339" s="98"/>
      <c r="L339" s="101"/>
      <c r="M339" s="101"/>
      <c r="N339" s="101"/>
      <c r="O339" s="101"/>
      <c r="P339" s="102"/>
      <c r="Q339" s="101"/>
      <c r="R339" s="98"/>
      <c r="S339" s="98"/>
      <c r="T339" s="98"/>
      <c r="U339" s="98"/>
      <c r="V339" s="98"/>
      <c r="W339" s="98"/>
      <c r="X339" s="103"/>
      <c r="Y339" s="103"/>
      <c r="Z339" s="103"/>
      <c r="AA339" s="103"/>
      <c r="AB339" s="103"/>
      <c r="AC339" s="103"/>
      <c r="AD339" s="103"/>
      <c r="AE339" s="101"/>
      <c r="AF339" s="101"/>
      <c r="AG339" s="101"/>
      <c r="AH339" s="101"/>
      <c r="AI339" s="101"/>
      <c r="AJ339" s="101"/>
      <c r="AK339" s="101"/>
      <c r="AL339" s="103"/>
      <c r="AM339" s="103"/>
      <c r="AN339" s="103"/>
      <c r="AO339" s="103"/>
      <c r="AP339" s="103"/>
      <c r="AQ339" s="103"/>
      <c r="AR339" s="103"/>
      <c r="AS339" s="101"/>
      <c r="AT339" s="101"/>
      <c r="AU339" s="101"/>
      <c r="AV339" s="101"/>
      <c r="AW339" s="101"/>
      <c r="AX339" s="101"/>
      <c r="AY339" s="101"/>
      <c r="AZ339" s="103"/>
      <c r="BA339" s="103"/>
      <c r="BB339" s="103"/>
      <c r="BC339" s="101"/>
      <c r="BD339" s="101"/>
      <c r="BE339" s="101"/>
      <c r="BF339" s="101"/>
      <c r="BG339" s="101"/>
      <c r="BK339" s="101"/>
      <c r="BL339" s="101"/>
      <c r="BM339" s="101"/>
      <c r="BN339" s="101"/>
      <c r="BO339" s="101"/>
      <c r="BP339" s="101"/>
      <c r="BQ339" s="101"/>
      <c r="BR339" s="104"/>
      <c r="BS339" s="104"/>
      <c r="BT339" s="104"/>
      <c r="BU339" s="104"/>
      <c r="BV339" s="104"/>
      <c r="BW339" s="104"/>
      <c r="BX339" s="104"/>
      <c r="BY339" s="104"/>
      <c r="BZ339" s="104"/>
      <c r="CA339" s="104"/>
      <c r="CB339" s="104"/>
      <c r="CC339" s="104"/>
      <c r="CD339" s="104"/>
      <c r="CE339" s="104"/>
      <c r="CF339" s="104"/>
      <c r="CG339" s="104"/>
      <c r="CH339" s="104"/>
      <c r="CI339" s="104"/>
      <c r="CJ339" s="104"/>
      <c r="CK339" s="104"/>
      <c r="CL339" s="104"/>
      <c r="CM339" s="104"/>
      <c r="CN339" s="98"/>
      <c r="CP339" s="101"/>
      <c r="CQ339" s="101"/>
      <c r="CR339" s="101"/>
      <c r="CS339" s="101"/>
      <c r="CT339" s="101"/>
      <c r="FJ339" s="103"/>
      <c r="FL339" s="103"/>
      <c r="FN339" s="103"/>
      <c r="FP339" s="103"/>
    </row>
    <row r="340" spans="2:172" x14ac:dyDescent="0.35">
      <c r="B340" s="97"/>
      <c r="G340" s="100"/>
      <c r="K340" s="98"/>
      <c r="L340" s="101"/>
      <c r="M340" s="101"/>
      <c r="N340" s="101"/>
      <c r="O340" s="101"/>
      <c r="P340" s="102"/>
      <c r="Q340" s="101"/>
      <c r="R340" s="98"/>
      <c r="S340" s="98"/>
      <c r="T340" s="98"/>
      <c r="U340" s="98"/>
      <c r="V340" s="98"/>
      <c r="W340" s="98"/>
      <c r="X340" s="103"/>
      <c r="Y340" s="103"/>
      <c r="Z340" s="103"/>
      <c r="AA340" s="103"/>
      <c r="AB340" s="103"/>
      <c r="AC340" s="103"/>
      <c r="AD340" s="103"/>
      <c r="AE340" s="101"/>
      <c r="AF340" s="101"/>
      <c r="AG340" s="101"/>
      <c r="AH340" s="101"/>
      <c r="AI340" s="101"/>
      <c r="AJ340" s="101"/>
      <c r="AK340" s="101"/>
      <c r="AL340" s="103"/>
      <c r="AM340" s="103"/>
      <c r="AN340" s="103"/>
      <c r="AO340" s="103"/>
      <c r="AP340" s="103"/>
      <c r="AQ340" s="103"/>
      <c r="AR340" s="103"/>
      <c r="AS340" s="101"/>
      <c r="AT340" s="101"/>
      <c r="AU340" s="101"/>
      <c r="AV340" s="101"/>
      <c r="AW340" s="101"/>
      <c r="AX340" s="101"/>
      <c r="AY340" s="101"/>
      <c r="AZ340" s="103"/>
      <c r="BA340" s="103"/>
      <c r="BB340" s="103"/>
      <c r="BC340" s="101"/>
      <c r="BD340" s="101"/>
      <c r="BE340" s="101"/>
      <c r="BF340" s="101"/>
      <c r="BG340" s="101"/>
      <c r="BK340" s="101"/>
      <c r="BL340" s="101"/>
      <c r="BM340" s="101"/>
      <c r="BN340" s="101"/>
      <c r="BO340" s="101"/>
      <c r="BP340" s="101"/>
      <c r="BQ340" s="101"/>
      <c r="BR340" s="104"/>
      <c r="BS340" s="104"/>
      <c r="BT340" s="104"/>
      <c r="BU340" s="104"/>
      <c r="BV340" s="104"/>
      <c r="BW340" s="104"/>
      <c r="BX340" s="104"/>
      <c r="BY340" s="104"/>
      <c r="BZ340" s="104"/>
      <c r="CA340" s="104"/>
      <c r="CB340" s="104"/>
      <c r="CC340" s="104"/>
      <c r="CD340" s="104"/>
      <c r="CE340" s="104"/>
      <c r="CF340" s="104"/>
      <c r="CG340" s="104"/>
      <c r="CH340" s="104"/>
      <c r="CI340" s="104"/>
      <c r="CJ340" s="104"/>
      <c r="CK340" s="104"/>
      <c r="CL340" s="104"/>
      <c r="CM340" s="104"/>
      <c r="CN340" s="98"/>
      <c r="CP340" s="101"/>
      <c r="CQ340" s="101"/>
      <c r="CR340" s="101"/>
      <c r="CS340" s="101"/>
      <c r="CT340" s="101"/>
      <c r="FJ340" s="103"/>
      <c r="FL340" s="103"/>
      <c r="FN340" s="103"/>
      <c r="FP340" s="103"/>
    </row>
    <row r="341" spans="2:172" x14ac:dyDescent="0.35">
      <c r="B341" s="97"/>
      <c r="G341" s="100"/>
      <c r="K341" s="98"/>
      <c r="L341" s="101"/>
      <c r="M341" s="101"/>
      <c r="N341" s="101"/>
      <c r="O341" s="101"/>
      <c r="P341" s="102"/>
      <c r="Q341" s="101"/>
      <c r="R341" s="98"/>
      <c r="S341" s="98"/>
      <c r="T341" s="98"/>
      <c r="U341" s="98"/>
      <c r="V341" s="98"/>
      <c r="W341" s="98"/>
      <c r="X341" s="103"/>
      <c r="Y341" s="103"/>
      <c r="Z341" s="103"/>
      <c r="AA341" s="103"/>
      <c r="AB341" s="103"/>
      <c r="AC341" s="103"/>
      <c r="AD341" s="103"/>
      <c r="AE341" s="101"/>
      <c r="AF341" s="101"/>
      <c r="AG341" s="101"/>
      <c r="AH341" s="101"/>
      <c r="AI341" s="101"/>
      <c r="AJ341" s="101"/>
      <c r="AK341" s="101"/>
      <c r="AL341" s="103"/>
      <c r="AM341" s="103"/>
      <c r="AN341" s="103"/>
      <c r="AO341" s="103"/>
      <c r="AP341" s="103"/>
      <c r="AQ341" s="103"/>
      <c r="AR341" s="103"/>
      <c r="AS341" s="101"/>
      <c r="AT341" s="101"/>
      <c r="AU341" s="101"/>
      <c r="AV341" s="101"/>
      <c r="AW341" s="101"/>
      <c r="AX341" s="101"/>
      <c r="AY341" s="101"/>
      <c r="AZ341" s="103"/>
      <c r="BA341" s="103"/>
      <c r="BB341" s="103"/>
      <c r="BC341" s="101"/>
      <c r="BD341" s="101"/>
      <c r="BE341" s="101"/>
      <c r="BF341" s="101"/>
      <c r="BG341" s="101"/>
      <c r="BK341" s="101"/>
      <c r="BL341" s="101"/>
      <c r="BM341" s="101"/>
      <c r="BN341" s="101"/>
      <c r="BO341" s="101"/>
      <c r="BP341" s="101"/>
      <c r="BQ341" s="101"/>
      <c r="BR341" s="104"/>
      <c r="BS341" s="104"/>
      <c r="BT341" s="104"/>
      <c r="BU341" s="104"/>
      <c r="BV341" s="104"/>
      <c r="BW341" s="104"/>
      <c r="BX341" s="104"/>
      <c r="BY341" s="104"/>
      <c r="BZ341" s="104"/>
      <c r="CA341" s="104"/>
      <c r="CB341" s="104"/>
      <c r="CC341" s="104"/>
      <c r="CD341" s="104"/>
      <c r="CE341" s="104"/>
      <c r="CF341" s="104"/>
      <c r="CG341" s="104"/>
      <c r="CH341" s="104"/>
      <c r="CI341" s="104"/>
      <c r="CJ341" s="104"/>
      <c r="CK341" s="104"/>
      <c r="CL341" s="104"/>
      <c r="CM341" s="104"/>
      <c r="CN341" s="98"/>
      <c r="CP341" s="101"/>
      <c r="CQ341" s="101"/>
      <c r="CR341" s="101"/>
      <c r="CS341" s="101"/>
      <c r="CT341" s="101"/>
      <c r="FJ341" s="103"/>
      <c r="FL341" s="103"/>
      <c r="FN341" s="103"/>
      <c r="FP341" s="103"/>
    </row>
    <row r="342" spans="2:172" x14ac:dyDescent="0.35">
      <c r="B342" s="97"/>
      <c r="G342" s="100"/>
      <c r="K342" s="98"/>
      <c r="L342" s="101"/>
      <c r="M342" s="101"/>
      <c r="N342" s="101"/>
      <c r="O342" s="101"/>
      <c r="P342" s="102"/>
      <c r="Q342" s="101"/>
      <c r="R342" s="98"/>
      <c r="S342" s="98"/>
      <c r="T342" s="98"/>
      <c r="U342" s="98"/>
      <c r="V342" s="98"/>
      <c r="W342" s="98"/>
      <c r="X342" s="103"/>
      <c r="Y342" s="103"/>
      <c r="Z342" s="103"/>
      <c r="AA342" s="103"/>
      <c r="AB342" s="103"/>
      <c r="AC342" s="103"/>
      <c r="AD342" s="103"/>
      <c r="AE342" s="101"/>
      <c r="AF342" s="101"/>
      <c r="AG342" s="101"/>
      <c r="AH342" s="101"/>
      <c r="AI342" s="101"/>
      <c r="AJ342" s="101"/>
      <c r="AK342" s="101"/>
      <c r="AL342" s="103"/>
      <c r="AM342" s="103"/>
      <c r="AN342" s="103"/>
      <c r="AO342" s="103"/>
      <c r="AP342" s="103"/>
      <c r="AQ342" s="103"/>
      <c r="AR342" s="103"/>
      <c r="AS342" s="101"/>
      <c r="AT342" s="101"/>
      <c r="AU342" s="101"/>
      <c r="AV342" s="101"/>
      <c r="AW342" s="101"/>
      <c r="AX342" s="101"/>
      <c r="AY342" s="101"/>
      <c r="AZ342" s="103"/>
      <c r="BA342" s="103"/>
      <c r="BB342" s="103"/>
      <c r="BC342" s="101"/>
      <c r="BD342" s="101"/>
      <c r="BE342" s="101"/>
      <c r="BF342" s="101"/>
      <c r="BG342" s="101"/>
      <c r="BK342" s="101"/>
      <c r="BL342" s="101"/>
      <c r="BM342" s="101"/>
      <c r="BN342" s="101"/>
      <c r="BO342" s="101"/>
      <c r="BP342" s="101"/>
      <c r="BQ342" s="101"/>
      <c r="BR342" s="104"/>
      <c r="BS342" s="104"/>
      <c r="BT342" s="104"/>
      <c r="BU342" s="104"/>
      <c r="BV342" s="104"/>
      <c r="BW342" s="104"/>
      <c r="BX342" s="104"/>
      <c r="BY342" s="104"/>
      <c r="BZ342" s="104"/>
      <c r="CA342" s="104"/>
      <c r="CB342" s="104"/>
      <c r="CC342" s="104"/>
      <c r="CD342" s="104"/>
      <c r="CE342" s="104"/>
      <c r="CF342" s="104"/>
      <c r="CG342" s="104"/>
      <c r="CH342" s="104"/>
      <c r="CI342" s="104"/>
      <c r="CJ342" s="104"/>
      <c r="CK342" s="104"/>
      <c r="CL342" s="104"/>
      <c r="CM342" s="104"/>
      <c r="CN342" s="98"/>
      <c r="CP342" s="101"/>
      <c r="CQ342" s="101"/>
      <c r="CR342" s="101"/>
      <c r="CS342" s="101"/>
      <c r="CT342" s="101"/>
      <c r="FJ342" s="103"/>
      <c r="FL342" s="103"/>
      <c r="FN342" s="103"/>
      <c r="FP342" s="103"/>
    </row>
    <row r="343" spans="2:172" x14ac:dyDescent="0.35">
      <c r="B343" s="97"/>
      <c r="G343" s="100"/>
      <c r="K343" s="98"/>
      <c r="L343" s="101"/>
      <c r="M343" s="101"/>
      <c r="N343" s="101"/>
      <c r="O343" s="101"/>
      <c r="P343" s="102"/>
      <c r="Q343" s="101"/>
      <c r="R343" s="98"/>
      <c r="S343" s="98"/>
      <c r="T343" s="98"/>
      <c r="U343" s="98"/>
      <c r="V343" s="98"/>
      <c r="W343" s="98"/>
      <c r="X343" s="103"/>
      <c r="Y343" s="103"/>
      <c r="Z343" s="103"/>
      <c r="AA343" s="103"/>
      <c r="AB343" s="103"/>
      <c r="AC343" s="103"/>
      <c r="AD343" s="103"/>
      <c r="AE343" s="101"/>
      <c r="AF343" s="101"/>
      <c r="AG343" s="101"/>
      <c r="AH343" s="101"/>
      <c r="AI343" s="101"/>
      <c r="AJ343" s="101"/>
      <c r="AK343" s="101"/>
      <c r="AL343" s="103"/>
      <c r="AM343" s="103"/>
      <c r="AN343" s="103"/>
      <c r="AO343" s="103"/>
      <c r="AP343" s="103"/>
      <c r="AQ343" s="103"/>
      <c r="AR343" s="103"/>
      <c r="AS343" s="101"/>
      <c r="AT343" s="101"/>
      <c r="AU343" s="101"/>
      <c r="AV343" s="101"/>
      <c r="AW343" s="101"/>
      <c r="AX343" s="101"/>
      <c r="AY343" s="101"/>
      <c r="AZ343" s="103"/>
      <c r="BA343" s="103"/>
      <c r="BB343" s="103"/>
      <c r="BC343" s="101"/>
      <c r="BD343" s="101"/>
      <c r="BE343" s="101"/>
      <c r="BF343" s="101"/>
      <c r="BG343" s="101"/>
      <c r="BK343" s="101"/>
      <c r="BL343" s="101"/>
      <c r="BM343" s="101"/>
      <c r="BN343" s="101"/>
      <c r="BO343" s="101"/>
      <c r="BP343" s="101"/>
      <c r="BQ343" s="101"/>
      <c r="BR343" s="104"/>
      <c r="BS343" s="104"/>
      <c r="BT343" s="104"/>
      <c r="BU343" s="104"/>
      <c r="BV343" s="104"/>
      <c r="BW343" s="104"/>
      <c r="BX343" s="104"/>
      <c r="BY343" s="104"/>
      <c r="BZ343" s="104"/>
      <c r="CA343" s="104"/>
      <c r="CB343" s="104"/>
      <c r="CC343" s="104"/>
      <c r="CD343" s="104"/>
      <c r="CE343" s="104"/>
      <c r="CF343" s="104"/>
      <c r="CG343" s="104"/>
      <c r="CH343" s="104"/>
      <c r="CI343" s="104"/>
      <c r="CJ343" s="104"/>
      <c r="CK343" s="104"/>
      <c r="CL343" s="104"/>
      <c r="CM343" s="104"/>
      <c r="CN343" s="98"/>
      <c r="CP343" s="101"/>
      <c r="CQ343" s="101"/>
      <c r="CR343" s="101"/>
      <c r="CS343" s="101"/>
      <c r="CT343" s="101"/>
      <c r="FJ343" s="103"/>
      <c r="FL343" s="103"/>
      <c r="FN343" s="103"/>
      <c r="FP343" s="103"/>
    </row>
    <row r="344" spans="2:172" x14ac:dyDescent="0.35">
      <c r="B344" s="97"/>
      <c r="G344" s="100"/>
      <c r="K344" s="98"/>
      <c r="L344" s="101"/>
      <c r="M344" s="101"/>
      <c r="N344" s="101"/>
      <c r="O344" s="101"/>
      <c r="P344" s="102"/>
      <c r="Q344" s="101"/>
      <c r="R344" s="98"/>
      <c r="S344" s="98"/>
      <c r="T344" s="98"/>
      <c r="U344" s="98"/>
      <c r="V344" s="98"/>
      <c r="W344" s="98"/>
      <c r="X344" s="103"/>
      <c r="Y344" s="103"/>
      <c r="Z344" s="103"/>
      <c r="AA344" s="103"/>
      <c r="AB344" s="103"/>
      <c r="AC344" s="103"/>
      <c r="AD344" s="103"/>
      <c r="AE344" s="101"/>
      <c r="AF344" s="101"/>
      <c r="AG344" s="101"/>
      <c r="AH344" s="101"/>
      <c r="AI344" s="101"/>
      <c r="AJ344" s="101"/>
      <c r="AK344" s="101"/>
      <c r="AL344" s="103"/>
      <c r="AM344" s="103"/>
      <c r="AN344" s="103"/>
      <c r="AO344" s="103"/>
      <c r="AP344" s="103"/>
      <c r="AQ344" s="103"/>
      <c r="AR344" s="103"/>
      <c r="AS344" s="101"/>
      <c r="AT344" s="101"/>
      <c r="AU344" s="101"/>
      <c r="AV344" s="101"/>
      <c r="AW344" s="101"/>
      <c r="AX344" s="101"/>
      <c r="AY344" s="101"/>
      <c r="AZ344" s="103"/>
      <c r="BA344" s="103"/>
      <c r="BB344" s="103"/>
      <c r="BC344" s="101"/>
      <c r="BD344" s="101"/>
      <c r="BE344" s="101"/>
      <c r="BF344" s="101"/>
      <c r="BG344" s="101"/>
      <c r="BK344" s="101"/>
      <c r="BL344" s="101"/>
      <c r="BM344" s="101"/>
      <c r="BN344" s="101"/>
      <c r="BO344" s="101"/>
      <c r="BP344" s="101"/>
      <c r="BQ344" s="101"/>
      <c r="BR344" s="104"/>
      <c r="BS344" s="104"/>
      <c r="BT344" s="104"/>
      <c r="BU344" s="104"/>
      <c r="BV344" s="104"/>
      <c r="BW344" s="104"/>
      <c r="BX344" s="104"/>
      <c r="BY344" s="104"/>
      <c r="BZ344" s="104"/>
      <c r="CA344" s="104"/>
      <c r="CB344" s="104"/>
      <c r="CC344" s="104"/>
      <c r="CD344" s="104"/>
      <c r="CE344" s="104"/>
      <c r="CF344" s="104"/>
      <c r="CG344" s="104"/>
      <c r="CH344" s="104"/>
      <c r="CI344" s="104"/>
      <c r="CJ344" s="104"/>
      <c r="CK344" s="104"/>
      <c r="CL344" s="104"/>
      <c r="CM344" s="104"/>
      <c r="CN344" s="98"/>
      <c r="CP344" s="101"/>
      <c r="CQ344" s="101"/>
      <c r="CR344" s="101"/>
      <c r="CS344" s="101"/>
      <c r="CT344" s="101"/>
      <c r="FJ344" s="103"/>
      <c r="FL344" s="103"/>
      <c r="FN344" s="103"/>
      <c r="FP344" s="103"/>
    </row>
    <row r="345" spans="2:172" x14ac:dyDescent="0.35">
      <c r="B345" s="97"/>
      <c r="G345" s="100"/>
      <c r="K345" s="98"/>
      <c r="L345" s="101"/>
      <c r="M345" s="101"/>
      <c r="N345" s="101"/>
      <c r="O345" s="101"/>
      <c r="P345" s="102"/>
      <c r="Q345" s="101"/>
      <c r="R345" s="98"/>
      <c r="S345" s="98"/>
      <c r="T345" s="98"/>
      <c r="U345" s="98"/>
      <c r="V345" s="98"/>
      <c r="W345" s="98"/>
      <c r="X345" s="103"/>
      <c r="Y345" s="103"/>
      <c r="Z345" s="103"/>
      <c r="AA345" s="103"/>
      <c r="AB345" s="103"/>
      <c r="AC345" s="103"/>
      <c r="AD345" s="103"/>
      <c r="AE345" s="101"/>
      <c r="AF345" s="101"/>
      <c r="AG345" s="101"/>
      <c r="AH345" s="101"/>
      <c r="AI345" s="101"/>
      <c r="AJ345" s="101"/>
      <c r="AK345" s="101"/>
      <c r="AL345" s="103"/>
      <c r="AM345" s="103"/>
      <c r="AN345" s="103"/>
      <c r="AO345" s="103"/>
      <c r="AP345" s="103"/>
      <c r="AQ345" s="103"/>
      <c r="AR345" s="103"/>
      <c r="AS345" s="101"/>
      <c r="AT345" s="101"/>
      <c r="AU345" s="101"/>
      <c r="AV345" s="101"/>
      <c r="AW345" s="101"/>
      <c r="AX345" s="101"/>
      <c r="AY345" s="101"/>
      <c r="AZ345" s="103"/>
      <c r="BA345" s="103"/>
      <c r="BB345" s="103"/>
      <c r="BC345" s="101"/>
      <c r="BD345" s="101"/>
      <c r="BE345" s="101"/>
      <c r="BF345" s="101"/>
      <c r="BG345" s="101"/>
      <c r="BK345" s="101"/>
      <c r="BL345" s="101"/>
      <c r="BM345" s="101"/>
      <c r="BN345" s="101"/>
      <c r="BO345" s="101"/>
      <c r="BP345" s="101"/>
      <c r="BQ345" s="101"/>
      <c r="BR345" s="104"/>
      <c r="BS345" s="104"/>
      <c r="BT345" s="104"/>
      <c r="BU345" s="104"/>
      <c r="BV345" s="104"/>
      <c r="BW345" s="104"/>
      <c r="BX345" s="104"/>
      <c r="BY345" s="104"/>
      <c r="BZ345" s="104"/>
      <c r="CA345" s="104"/>
      <c r="CB345" s="104"/>
      <c r="CC345" s="104"/>
      <c r="CD345" s="104"/>
      <c r="CE345" s="104"/>
      <c r="CF345" s="104"/>
      <c r="CG345" s="104"/>
      <c r="CH345" s="104"/>
      <c r="CI345" s="104"/>
      <c r="CJ345" s="104"/>
      <c r="CK345" s="104"/>
      <c r="CL345" s="104"/>
      <c r="CM345" s="104"/>
      <c r="CN345" s="98"/>
      <c r="CP345" s="101"/>
      <c r="CQ345" s="101"/>
      <c r="CR345" s="101"/>
      <c r="CS345" s="101"/>
      <c r="CT345" s="101"/>
      <c r="FJ345" s="103"/>
      <c r="FL345" s="103"/>
      <c r="FN345" s="103"/>
      <c r="FP345" s="103"/>
    </row>
    <row r="346" spans="2:172" x14ac:dyDescent="0.35">
      <c r="B346" s="97"/>
      <c r="G346" s="100"/>
      <c r="K346" s="98"/>
      <c r="L346" s="101"/>
      <c r="M346" s="101"/>
      <c r="N346" s="101"/>
      <c r="O346" s="101"/>
      <c r="P346" s="102"/>
      <c r="Q346" s="101"/>
      <c r="R346" s="98"/>
      <c r="S346" s="98"/>
      <c r="T346" s="98"/>
      <c r="U346" s="98"/>
      <c r="V346" s="98"/>
      <c r="W346" s="98"/>
      <c r="X346" s="103"/>
      <c r="Y346" s="103"/>
      <c r="Z346" s="103"/>
      <c r="AA346" s="103"/>
      <c r="AB346" s="103"/>
      <c r="AC346" s="103"/>
      <c r="AD346" s="103"/>
      <c r="AE346" s="101"/>
      <c r="AF346" s="101"/>
      <c r="AG346" s="101"/>
      <c r="AH346" s="101"/>
      <c r="AI346" s="101"/>
      <c r="AJ346" s="101"/>
      <c r="AK346" s="101"/>
      <c r="AL346" s="103"/>
      <c r="AM346" s="103"/>
      <c r="AN346" s="103"/>
      <c r="AO346" s="103"/>
      <c r="AP346" s="103"/>
      <c r="AQ346" s="103"/>
      <c r="AR346" s="103"/>
      <c r="AS346" s="101"/>
      <c r="AT346" s="101"/>
      <c r="AU346" s="101"/>
      <c r="AV346" s="101"/>
      <c r="AW346" s="101"/>
      <c r="AX346" s="101"/>
      <c r="AY346" s="101"/>
      <c r="AZ346" s="103"/>
      <c r="BA346" s="103"/>
      <c r="BB346" s="103"/>
      <c r="BC346" s="101"/>
      <c r="BD346" s="101"/>
      <c r="BE346" s="101"/>
      <c r="BF346" s="101"/>
      <c r="BG346" s="101"/>
      <c r="BK346" s="101"/>
      <c r="BL346" s="101"/>
      <c r="BM346" s="101"/>
      <c r="BN346" s="101"/>
      <c r="BO346" s="101"/>
      <c r="BP346" s="101"/>
      <c r="BQ346" s="101"/>
      <c r="BR346" s="104"/>
      <c r="BS346" s="104"/>
      <c r="BT346" s="104"/>
      <c r="BU346" s="104"/>
      <c r="BV346" s="104"/>
      <c r="BW346" s="104"/>
      <c r="BX346" s="104"/>
      <c r="BY346" s="104"/>
      <c r="BZ346" s="104"/>
      <c r="CA346" s="104"/>
      <c r="CB346" s="104"/>
      <c r="CC346" s="104"/>
      <c r="CD346" s="104"/>
      <c r="CE346" s="104"/>
      <c r="CF346" s="104"/>
      <c r="CG346" s="104"/>
      <c r="CH346" s="104"/>
      <c r="CI346" s="104"/>
      <c r="CJ346" s="104"/>
      <c r="CK346" s="104"/>
      <c r="CL346" s="104"/>
      <c r="CM346" s="104"/>
      <c r="CN346" s="98"/>
      <c r="CP346" s="101"/>
      <c r="CQ346" s="101"/>
      <c r="CR346" s="101"/>
      <c r="CS346" s="101"/>
      <c r="CT346" s="101"/>
      <c r="FJ346" s="103"/>
      <c r="FL346" s="103"/>
      <c r="FN346" s="103"/>
      <c r="FP346" s="103"/>
    </row>
    <row r="347" spans="2:172" x14ac:dyDescent="0.35">
      <c r="B347" s="97"/>
      <c r="G347" s="100"/>
      <c r="K347" s="98"/>
      <c r="L347" s="101"/>
      <c r="M347" s="101"/>
      <c r="N347" s="101"/>
      <c r="O347" s="101"/>
      <c r="P347" s="102"/>
      <c r="Q347" s="101"/>
      <c r="R347" s="98"/>
      <c r="S347" s="98"/>
      <c r="T347" s="98"/>
      <c r="U347" s="98"/>
      <c r="V347" s="98"/>
      <c r="W347" s="98"/>
      <c r="X347" s="103"/>
      <c r="Y347" s="103"/>
      <c r="Z347" s="103"/>
      <c r="AA347" s="103"/>
      <c r="AB347" s="103"/>
      <c r="AC347" s="103"/>
      <c r="AD347" s="103"/>
      <c r="AE347" s="101"/>
      <c r="AF347" s="101"/>
      <c r="AG347" s="101"/>
      <c r="AH347" s="101"/>
      <c r="AI347" s="101"/>
      <c r="AJ347" s="101"/>
      <c r="AK347" s="101"/>
      <c r="AL347" s="103"/>
      <c r="AM347" s="103"/>
      <c r="AN347" s="103"/>
      <c r="AO347" s="103"/>
      <c r="AP347" s="103"/>
      <c r="AQ347" s="103"/>
      <c r="AR347" s="103"/>
      <c r="AS347" s="101"/>
      <c r="AT347" s="101"/>
      <c r="AU347" s="101"/>
      <c r="AV347" s="101"/>
      <c r="AW347" s="101"/>
      <c r="AX347" s="101"/>
      <c r="AY347" s="101"/>
      <c r="AZ347" s="103"/>
      <c r="BA347" s="103"/>
      <c r="BB347" s="103"/>
      <c r="BC347" s="101"/>
      <c r="BD347" s="101"/>
      <c r="BE347" s="101"/>
      <c r="BF347" s="101"/>
      <c r="BG347" s="101"/>
      <c r="BK347" s="101"/>
      <c r="BL347" s="101"/>
      <c r="BM347" s="101"/>
      <c r="BN347" s="101"/>
      <c r="BO347" s="101"/>
      <c r="BP347" s="101"/>
      <c r="BQ347" s="101"/>
      <c r="BR347" s="104"/>
      <c r="BS347" s="104"/>
      <c r="BT347" s="104"/>
      <c r="BU347" s="104"/>
      <c r="BV347" s="104"/>
      <c r="BW347" s="104"/>
      <c r="BX347" s="104"/>
      <c r="BY347" s="104"/>
      <c r="BZ347" s="104"/>
      <c r="CA347" s="104"/>
      <c r="CB347" s="104"/>
      <c r="CC347" s="104"/>
      <c r="CD347" s="104"/>
      <c r="CE347" s="104"/>
      <c r="CF347" s="104"/>
      <c r="CG347" s="104"/>
      <c r="CH347" s="104"/>
      <c r="CI347" s="104"/>
      <c r="CJ347" s="104"/>
      <c r="CK347" s="104"/>
      <c r="CL347" s="104"/>
      <c r="CM347" s="104"/>
      <c r="CN347" s="98"/>
      <c r="CP347" s="101"/>
      <c r="CQ347" s="101"/>
      <c r="CR347" s="101"/>
      <c r="CS347" s="101"/>
      <c r="CT347" s="101"/>
      <c r="FJ347" s="103"/>
      <c r="FL347" s="103"/>
      <c r="FN347" s="103"/>
      <c r="FP347" s="103"/>
    </row>
    <row r="348" spans="2:172" x14ac:dyDescent="0.35">
      <c r="B348" s="97"/>
      <c r="G348" s="100"/>
      <c r="K348" s="98"/>
      <c r="L348" s="101"/>
      <c r="M348" s="101"/>
      <c r="N348" s="101"/>
      <c r="O348" s="101"/>
      <c r="P348" s="102"/>
      <c r="Q348" s="101"/>
      <c r="R348" s="98"/>
      <c r="S348" s="98"/>
      <c r="T348" s="98"/>
      <c r="U348" s="98"/>
      <c r="V348" s="98"/>
      <c r="W348" s="98"/>
      <c r="X348" s="103"/>
      <c r="Y348" s="103"/>
      <c r="Z348" s="103"/>
      <c r="AA348" s="103"/>
      <c r="AB348" s="103"/>
      <c r="AC348" s="103"/>
      <c r="AD348" s="103"/>
      <c r="AE348" s="101"/>
      <c r="AF348" s="101"/>
      <c r="AG348" s="101"/>
      <c r="AH348" s="101"/>
      <c r="AI348" s="101"/>
      <c r="AJ348" s="101"/>
      <c r="AK348" s="101"/>
      <c r="AL348" s="103"/>
      <c r="AM348" s="103"/>
      <c r="AN348" s="103"/>
      <c r="AO348" s="103"/>
      <c r="AP348" s="103"/>
      <c r="AQ348" s="103"/>
      <c r="AR348" s="103"/>
      <c r="AS348" s="101"/>
      <c r="AT348" s="101"/>
      <c r="AU348" s="101"/>
      <c r="AV348" s="101"/>
      <c r="AW348" s="101"/>
      <c r="AX348" s="101"/>
      <c r="AY348" s="101"/>
      <c r="AZ348" s="103"/>
      <c r="BA348" s="103"/>
      <c r="BB348" s="103"/>
      <c r="BC348" s="101"/>
      <c r="BD348" s="101"/>
      <c r="BE348" s="101"/>
      <c r="BF348" s="101"/>
      <c r="BG348" s="101"/>
      <c r="BK348" s="101"/>
      <c r="BL348" s="101"/>
      <c r="BM348" s="101"/>
      <c r="BN348" s="101"/>
      <c r="BO348" s="101"/>
      <c r="BP348" s="101"/>
      <c r="BQ348" s="101"/>
      <c r="BR348" s="104"/>
      <c r="BS348" s="104"/>
      <c r="BT348" s="104"/>
      <c r="BU348" s="104"/>
      <c r="BV348" s="104"/>
      <c r="BW348" s="104"/>
      <c r="BX348" s="104"/>
      <c r="BY348" s="104"/>
      <c r="BZ348" s="104"/>
      <c r="CA348" s="104"/>
      <c r="CB348" s="104"/>
      <c r="CC348" s="104"/>
      <c r="CD348" s="104"/>
      <c r="CE348" s="104"/>
      <c r="CF348" s="104"/>
      <c r="CG348" s="104"/>
      <c r="CH348" s="104"/>
      <c r="CI348" s="104"/>
      <c r="CJ348" s="104"/>
      <c r="CK348" s="104"/>
      <c r="CL348" s="104"/>
      <c r="CM348" s="104"/>
      <c r="CN348" s="98"/>
      <c r="CP348" s="101"/>
      <c r="CQ348" s="101"/>
      <c r="CR348" s="101"/>
      <c r="CS348" s="101"/>
      <c r="CT348" s="101"/>
      <c r="FJ348" s="103"/>
      <c r="FL348" s="103"/>
      <c r="FN348" s="103"/>
      <c r="FP348" s="103"/>
    </row>
    <row r="349" spans="2:172" x14ac:dyDescent="0.35">
      <c r="B349" s="97"/>
      <c r="G349" s="100"/>
      <c r="K349" s="98"/>
      <c r="L349" s="101"/>
      <c r="M349" s="101"/>
      <c r="N349" s="101"/>
      <c r="O349" s="101"/>
      <c r="P349" s="102"/>
      <c r="Q349" s="101"/>
      <c r="R349" s="98"/>
      <c r="S349" s="98"/>
      <c r="T349" s="98"/>
      <c r="U349" s="98"/>
      <c r="V349" s="98"/>
      <c r="W349" s="98"/>
      <c r="X349" s="103"/>
      <c r="Y349" s="103"/>
      <c r="Z349" s="103"/>
      <c r="AA349" s="103"/>
      <c r="AB349" s="103"/>
      <c r="AC349" s="103"/>
      <c r="AD349" s="103"/>
      <c r="AE349" s="101"/>
      <c r="AF349" s="101"/>
      <c r="AG349" s="101"/>
      <c r="AH349" s="101"/>
      <c r="AI349" s="101"/>
      <c r="AJ349" s="101"/>
      <c r="AK349" s="101"/>
      <c r="AL349" s="103"/>
      <c r="AM349" s="103"/>
      <c r="AN349" s="103"/>
      <c r="AO349" s="103"/>
      <c r="AP349" s="103"/>
      <c r="AQ349" s="103"/>
      <c r="AR349" s="103"/>
      <c r="AS349" s="101"/>
      <c r="AT349" s="101"/>
      <c r="AU349" s="101"/>
      <c r="AV349" s="101"/>
      <c r="AW349" s="101"/>
      <c r="AX349" s="101"/>
      <c r="AY349" s="101"/>
      <c r="AZ349" s="103"/>
      <c r="BA349" s="103"/>
      <c r="BB349" s="103"/>
      <c r="BC349" s="101"/>
      <c r="BD349" s="101"/>
      <c r="BE349" s="101"/>
      <c r="BF349" s="101"/>
      <c r="BG349" s="101"/>
      <c r="BK349" s="101"/>
      <c r="BL349" s="101"/>
      <c r="BM349" s="101"/>
      <c r="BN349" s="101"/>
      <c r="BO349" s="101"/>
      <c r="BP349" s="101"/>
      <c r="BQ349" s="101"/>
      <c r="BR349" s="104"/>
      <c r="BS349" s="104"/>
      <c r="BT349" s="104"/>
      <c r="BU349" s="104"/>
      <c r="BV349" s="104"/>
      <c r="BW349" s="104"/>
      <c r="BX349" s="104"/>
      <c r="BY349" s="104"/>
      <c r="BZ349" s="104"/>
      <c r="CA349" s="104"/>
      <c r="CB349" s="104"/>
      <c r="CC349" s="104"/>
      <c r="CD349" s="104"/>
      <c r="CE349" s="104"/>
      <c r="CF349" s="104"/>
      <c r="CG349" s="104"/>
      <c r="CH349" s="104"/>
      <c r="CI349" s="104"/>
      <c r="CJ349" s="104"/>
      <c r="CK349" s="104"/>
      <c r="CL349" s="104"/>
      <c r="CM349" s="104"/>
      <c r="CN349" s="98"/>
      <c r="CP349" s="101"/>
      <c r="CQ349" s="101"/>
      <c r="CR349" s="101"/>
      <c r="CS349" s="101"/>
      <c r="CT349" s="101"/>
      <c r="FJ349" s="103"/>
      <c r="FL349" s="103"/>
      <c r="FN349" s="103"/>
      <c r="FP349" s="103"/>
    </row>
    <row r="350" spans="2:172" x14ac:dyDescent="0.35">
      <c r="B350" s="97"/>
      <c r="G350" s="100"/>
      <c r="K350" s="98"/>
      <c r="L350" s="101"/>
      <c r="M350" s="101"/>
      <c r="N350" s="101"/>
      <c r="O350" s="101"/>
      <c r="P350" s="102"/>
      <c r="Q350" s="101"/>
      <c r="R350" s="98"/>
      <c r="S350" s="98"/>
      <c r="T350" s="98"/>
      <c r="U350" s="98"/>
      <c r="V350" s="98"/>
      <c r="W350" s="98"/>
      <c r="X350" s="103"/>
      <c r="Y350" s="103"/>
      <c r="Z350" s="103"/>
      <c r="AA350" s="103"/>
      <c r="AB350" s="103"/>
      <c r="AC350" s="103"/>
      <c r="AD350" s="103"/>
      <c r="AE350" s="101"/>
      <c r="AF350" s="101"/>
      <c r="AG350" s="101"/>
      <c r="AH350" s="101"/>
      <c r="AI350" s="101"/>
      <c r="AJ350" s="101"/>
      <c r="AK350" s="101"/>
      <c r="AL350" s="103"/>
      <c r="AM350" s="103"/>
      <c r="AN350" s="103"/>
      <c r="AO350" s="103"/>
      <c r="AP350" s="103"/>
      <c r="AQ350" s="103"/>
      <c r="AR350" s="103"/>
      <c r="AS350" s="101"/>
      <c r="AT350" s="101"/>
      <c r="AU350" s="101"/>
      <c r="AV350" s="101"/>
      <c r="AW350" s="101"/>
      <c r="AX350" s="101"/>
      <c r="AY350" s="101"/>
      <c r="AZ350" s="103"/>
      <c r="BA350" s="103"/>
      <c r="BB350" s="103"/>
      <c r="BC350" s="101"/>
      <c r="BD350" s="101"/>
      <c r="BE350" s="101"/>
      <c r="BF350" s="101"/>
      <c r="BG350" s="101"/>
      <c r="BK350" s="101"/>
      <c r="BL350" s="101"/>
      <c r="BM350" s="101"/>
      <c r="BN350" s="101"/>
      <c r="BO350" s="101"/>
      <c r="BP350" s="101"/>
      <c r="BQ350" s="101"/>
      <c r="BR350" s="104"/>
      <c r="BS350" s="104"/>
      <c r="BT350" s="104"/>
      <c r="BU350" s="104"/>
      <c r="BV350" s="104"/>
      <c r="BW350" s="104"/>
      <c r="BX350" s="104"/>
      <c r="BY350" s="104"/>
      <c r="BZ350" s="104"/>
      <c r="CA350" s="104"/>
      <c r="CB350" s="104"/>
      <c r="CC350" s="104"/>
      <c r="CD350" s="104"/>
      <c r="CE350" s="104"/>
      <c r="CF350" s="104"/>
      <c r="CG350" s="104"/>
      <c r="CH350" s="104"/>
      <c r="CI350" s="104"/>
      <c r="CJ350" s="104"/>
      <c r="CK350" s="104"/>
      <c r="CL350" s="104"/>
      <c r="CM350" s="104"/>
      <c r="CN350" s="98"/>
      <c r="CP350" s="101"/>
      <c r="CQ350" s="101"/>
      <c r="CR350" s="101"/>
      <c r="CS350" s="101"/>
      <c r="CT350" s="101"/>
      <c r="FJ350" s="103"/>
      <c r="FL350" s="103"/>
      <c r="FN350" s="103"/>
      <c r="FP350" s="103"/>
    </row>
    <row r="351" spans="2:172" x14ac:dyDescent="0.35">
      <c r="B351" s="97"/>
      <c r="G351" s="100"/>
      <c r="K351" s="98"/>
      <c r="L351" s="101"/>
      <c r="M351" s="101"/>
      <c r="N351" s="101"/>
      <c r="O351" s="101"/>
      <c r="P351" s="102"/>
      <c r="Q351" s="101"/>
      <c r="R351" s="98"/>
      <c r="S351" s="98"/>
      <c r="T351" s="98"/>
      <c r="U351" s="98"/>
      <c r="V351" s="98"/>
      <c r="W351" s="98"/>
      <c r="X351" s="103"/>
      <c r="Y351" s="103"/>
      <c r="Z351" s="103"/>
      <c r="AA351" s="103"/>
      <c r="AB351" s="103"/>
      <c r="AC351" s="103"/>
      <c r="AD351" s="103"/>
      <c r="AE351" s="101"/>
      <c r="AF351" s="101"/>
      <c r="AG351" s="101"/>
      <c r="AH351" s="101"/>
      <c r="AI351" s="101"/>
      <c r="AJ351" s="101"/>
      <c r="AK351" s="101"/>
      <c r="AL351" s="103"/>
      <c r="AM351" s="103"/>
      <c r="AN351" s="103"/>
      <c r="AO351" s="103"/>
      <c r="AP351" s="103"/>
      <c r="AQ351" s="103"/>
      <c r="AR351" s="103"/>
      <c r="AS351" s="101"/>
      <c r="AT351" s="101"/>
      <c r="AU351" s="101"/>
      <c r="AV351" s="101"/>
      <c r="AW351" s="101"/>
      <c r="AX351" s="101"/>
      <c r="AY351" s="101"/>
      <c r="AZ351" s="103"/>
      <c r="BA351" s="103"/>
      <c r="BB351" s="103"/>
      <c r="BC351" s="101"/>
      <c r="BD351" s="101"/>
      <c r="BE351" s="101"/>
      <c r="BF351" s="101"/>
      <c r="BG351" s="101"/>
      <c r="BK351" s="101"/>
      <c r="BL351" s="101"/>
      <c r="BM351" s="101"/>
      <c r="BN351" s="101"/>
      <c r="BO351" s="101"/>
      <c r="BP351" s="101"/>
      <c r="BQ351" s="101"/>
      <c r="BR351" s="104"/>
      <c r="BS351" s="104"/>
      <c r="BT351" s="104"/>
      <c r="BU351" s="104"/>
      <c r="BV351" s="104"/>
      <c r="BW351" s="104"/>
      <c r="BX351" s="104"/>
      <c r="BY351" s="104"/>
      <c r="BZ351" s="104"/>
      <c r="CA351" s="104"/>
      <c r="CB351" s="104"/>
      <c r="CC351" s="104"/>
      <c r="CD351" s="104"/>
      <c r="CE351" s="104"/>
      <c r="CF351" s="104"/>
      <c r="CG351" s="104"/>
      <c r="CH351" s="104"/>
      <c r="CI351" s="104"/>
      <c r="CJ351" s="104"/>
      <c r="CK351" s="104"/>
      <c r="CL351" s="104"/>
      <c r="CM351" s="104"/>
      <c r="CN351" s="98"/>
      <c r="CP351" s="101"/>
      <c r="CQ351" s="101"/>
      <c r="CR351" s="101"/>
      <c r="CS351" s="101"/>
      <c r="CT351" s="101"/>
      <c r="FJ351" s="103"/>
      <c r="FL351" s="103"/>
      <c r="FN351" s="103"/>
      <c r="FP351" s="103"/>
    </row>
    <row r="352" spans="2:172" x14ac:dyDescent="0.35">
      <c r="B352" s="97"/>
      <c r="G352" s="100"/>
      <c r="K352" s="98"/>
      <c r="L352" s="101"/>
      <c r="M352" s="101"/>
      <c r="N352" s="101"/>
      <c r="O352" s="101"/>
      <c r="P352" s="102"/>
      <c r="Q352" s="101"/>
      <c r="R352" s="98"/>
      <c r="S352" s="98"/>
      <c r="T352" s="98"/>
      <c r="U352" s="98"/>
      <c r="V352" s="98"/>
      <c r="W352" s="98"/>
      <c r="X352" s="103"/>
      <c r="Y352" s="103"/>
      <c r="Z352" s="103"/>
      <c r="AA352" s="103"/>
      <c r="AB352" s="103"/>
      <c r="AC352" s="103"/>
      <c r="AD352" s="103"/>
      <c r="AE352" s="101"/>
      <c r="AF352" s="101"/>
      <c r="AG352" s="101"/>
      <c r="AH352" s="101"/>
      <c r="AI352" s="101"/>
      <c r="AJ352" s="101"/>
      <c r="AK352" s="101"/>
      <c r="AL352" s="103"/>
      <c r="AM352" s="103"/>
      <c r="AN352" s="103"/>
      <c r="AO352" s="103"/>
      <c r="AP352" s="103"/>
      <c r="AQ352" s="103"/>
      <c r="AR352" s="103"/>
      <c r="AS352" s="101"/>
      <c r="AT352" s="101"/>
      <c r="AU352" s="101"/>
      <c r="AV352" s="101"/>
      <c r="AW352" s="101"/>
      <c r="AX352" s="101"/>
      <c r="AY352" s="101"/>
      <c r="AZ352" s="103"/>
      <c r="BA352" s="103"/>
      <c r="BB352" s="103"/>
      <c r="BC352" s="101"/>
      <c r="BD352" s="101"/>
      <c r="BE352" s="101"/>
      <c r="BF352" s="101"/>
      <c r="BG352" s="101"/>
      <c r="BK352" s="101"/>
      <c r="BL352" s="101"/>
      <c r="BM352" s="101"/>
      <c r="BN352" s="101"/>
      <c r="BO352" s="101"/>
      <c r="BP352" s="101"/>
      <c r="BQ352" s="101"/>
      <c r="BR352" s="104"/>
      <c r="BS352" s="104"/>
      <c r="BT352" s="104"/>
      <c r="BU352" s="104"/>
      <c r="BV352" s="104"/>
      <c r="BW352" s="104"/>
      <c r="BX352" s="104"/>
      <c r="BY352" s="104"/>
      <c r="BZ352" s="104"/>
      <c r="CA352" s="104"/>
      <c r="CB352" s="104"/>
      <c r="CC352" s="104"/>
      <c r="CD352" s="104"/>
      <c r="CE352" s="104"/>
      <c r="CF352" s="104"/>
      <c r="CG352" s="104"/>
      <c r="CH352" s="104"/>
      <c r="CI352" s="104"/>
      <c r="CJ352" s="104"/>
      <c r="CK352" s="104"/>
      <c r="CL352" s="104"/>
      <c r="CM352" s="104"/>
      <c r="CN352" s="98"/>
      <c r="CP352" s="101"/>
      <c r="CQ352" s="101"/>
      <c r="CR352" s="101"/>
      <c r="CS352" s="101"/>
      <c r="CT352" s="101"/>
      <c r="FJ352" s="103"/>
      <c r="FL352" s="103"/>
      <c r="FN352" s="103"/>
      <c r="FP352" s="103"/>
    </row>
    <row r="353" spans="2:172" x14ac:dyDescent="0.35">
      <c r="B353" s="97"/>
      <c r="G353" s="100"/>
      <c r="K353" s="98"/>
      <c r="L353" s="101"/>
      <c r="M353" s="101"/>
      <c r="N353" s="101"/>
      <c r="O353" s="101"/>
      <c r="P353" s="102"/>
      <c r="Q353" s="101"/>
      <c r="R353" s="98"/>
      <c r="S353" s="98"/>
      <c r="T353" s="98"/>
      <c r="U353" s="98"/>
      <c r="V353" s="98"/>
      <c r="W353" s="98"/>
      <c r="X353" s="103"/>
      <c r="Y353" s="103"/>
      <c r="Z353" s="103"/>
      <c r="AA353" s="103"/>
      <c r="AB353" s="103"/>
      <c r="AC353" s="103"/>
      <c r="AD353" s="103"/>
      <c r="AE353" s="101"/>
      <c r="AF353" s="101"/>
      <c r="AG353" s="101"/>
      <c r="AH353" s="101"/>
      <c r="AI353" s="101"/>
      <c r="AJ353" s="101"/>
      <c r="AK353" s="101"/>
      <c r="AL353" s="103"/>
      <c r="AM353" s="103"/>
      <c r="AN353" s="103"/>
      <c r="AO353" s="103"/>
      <c r="AP353" s="103"/>
      <c r="AQ353" s="103"/>
      <c r="AR353" s="103"/>
      <c r="AS353" s="101"/>
      <c r="AT353" s="101"/>
      <c r="AU353" s="101"/>
      <c r="AV353" s="101"/>
      <c r="AW353" s="101"/>
      <c r="AX353" s="101"/>
      <c r="AY353" s="101"/>
      <c r="AZ353" s="103"/>
      <c r="BA353" s="103"/>
      <c r="BB353" s="103"/>
      <c r="BC353" s="101"/>
      <c r="BD353" s="101"/>
      <c r="BE353" s="101"/>
      <c r="BF353" s="101"/>
      <c r="BG353" s="101"/>
      <c r="BK353" s="101"/>
      <c r="BL353" s="101"/>
      <c r="BM353" s="101"/>
      <c r="BN353" s="101"/>
      <c r="BO353" s="101"/>
      <c r="BP353" s="101"/>
      <c r="BQ353" s="101"/>
      <c r="BR353" s="104"/>
      <c r="BS353" s="104"/>
      <c r="BT353" s="104"/>
      <c r="BU353" s="104"/>
      <c r="BV353" s="104"/>
      <c r="BW353" s="104"/>
      <c r="BX353" s="104"/>
      <c r="BY353" s="104"/>
      <c r="BZ353" s="104"/>
      <c r="CA353" s="104"/>
      <c r="CB353" s="104"/>
      <c r="CC353" s="104"/>
      <c r="CD353" s="104"/>
      <c r="CE353" s="104"/>
      <c r="CF353" s="104"/>
      <c r="CG353" s="104"/>
      <c r="CH353" s="104"/>
      <c r="CI353" s="104"/>
      <c r="CJ353" s="104"/>
      <c r="CK353" s="104"/>
      <c r="CL353" s="104"/>
      <c r="CM353" s="104"/>
      <c r="CN353" s="98"/>
      <c r="CP353" s="101"/>
      <c r="CQ353" s="101"/>
      <c r="CR353" s="101"/>
      <c r="CS353" s="101"/>
      <c r="CT353" s="101"/>
      <c r="FJ353" s="103"/>
      <c r="FL353" s="103"/>
      <c r="FN353" s="103"/>
      <c r="FP353" s="103"/>
    </row>
    <row r="354" spans="2:172" x14ac:dyDescent="0.35">
      <c r="B354" s="97"/>
      <c r="G354" s="100"/>
      <c r="K354" s="98"/>
      <c r="L354" s="101"/>
      <c r="M354" s="101"/>
      <c r="N354" s="101"/>
      <c r="O354" s="101"/>
      <c r="P354" s="102"/>
      <c r="Q354" s="101"/>
      <c r="R354" s="98"/>
      <c r="S354" s="98"/>
      <c r="T354" s="98"/>
      <c r="U354" s="98"/>
      <c r="V354" s="98"/>
      <c r="W354" s="98"/>
      <c r="X354" s="103"/>
      <c r="Y354" s="103"/>
      <c r="Z354" s="103"/>
      <c r="AA354" s="103"/>
      <c r="AB354" s="103"/>
      <c r="AC354" s="103"/>
      <c r="AD354" s="103"/>
      <c r="AE354" s="101"/>
      <c r="AF354" s="101"/>
      <c r="AG354" s="101"/>
      <c r="AH354" s="101"/>
      <c r="AI354" s="101"/>
      <c r="AJ354" s="101"/>
      <c r="AK354" s="101"/>
      <c r="AL354" s="103"/>
      <c r="AM354" s="103"/>
      <c r="AN354" s="103"/>
      <c r="AO354" s="103"/>
      <c r="AP354" s="103"/>
      <c r="AQ354" s="103"/>
      <c r="AR354" s="103"/>
      <c r="AS354" s="101"/>
      <c r="AT354" s="101"/>
      <c r="AU354" s="101"/>
      <c r="AV354" s="101"/>
      <c r="AW354" s="101"/>
      <c r="AX354" s="101"/>
      <c r="AY354" s="101"/>
      <c r="AZ354" s="103"/>
      <c r="BA354" s="103"/>
      <c r="BB354" s="103"/>
      <c r="BC354" s="101"/>
      <c r="BD354" s="101"/>
      <c r="BE354" s="101"/>
      <c r="BF354" s="101"/>
      <c r="BG354" s="101"/>
      <c r="BK354" s="101"/>
      <c r="BL354" s="101"/>
      <c r="BM354" s="101"/>
      <c r="BN354" s="101"/>
      <c r="BO354" s="101"/>
      <c r="BP354" s="101"/>
      <c r="BQ354" s="101"/>
      <c r="BR354" s="104"/>
      <c r="BS354" s="104"/>
      <c r="BT354" s="104"/>
      <c r="BU354" s="104"/>
      <c r="BV354" s="104"/>
      <c r="BW354" s="104"/>
      <c r="BX354" s="104"/>
      <c r="BY354" s="104"/>
      <c r="BZ354" s="104"/>
      <c r="CA354" s="104"/>
      <c r="CB354" s="104"/>
      <c r="CC354" s="104"/>
      <c r="CD354" s="104"/>
      <c r="CE354" s="104"/>
      <c r="CF354" s="104"/>
      <c r="CG354" s="104"/>
      <c r="CH354" s="104"/>
      <c r="CI354" s="104"/>
      <c r="CJ354" s="104"/>
      <c r="CK354" s="104"/>
      <c r="CL354" s="104"/>
      <c r="CM354" s="104"/>
      <c r="CN354" s="98"/>
      <c r="CP354" s="101"/>
      <c r="CQ354" s="101"/>
      <c r="CR354" s="101"/>
      <c r="CS354" s="101"/>
      <c r="CT354" s="101"/>
      <c r="FJ354" s="103"/>
      <c r="FL354" s="103"/>
      <c r="FN354" s="103"/>
      <c r="FP354" s="103"/>
    </row>
    <row r="355" spans="2:172" x14ac:dyDescent="0.35">
      <c r="B355" s="97"/>
      <c r="G355" s="100"/>
      <c r="K355" s="98"/>
      <c r="L355" s="101"/>
      <c r="M355" s="101"/>
      <c r="N355" s="101"/>
      <c r="O355" s="101"/>
      <c r="P355" s="102"/>
      <c r="Q355" s="101"/>
      <c r="R355" s="98"/>
      <c r="S355" s="98"/>
      <c r="T355" s="98"/>
      <c r="U355" s="98"/>
      <c r="V355" s="98"/>
      <c r="W355" s="98"/>
      <c r="X355" s="103"/>
      <c r="Y355" s="103"/>
      <c r="Z355" s="103"/>
      <c r="AA355" s="103"/>
      <c r="AB355" s="103"/>
      <c r="AC355" s="103"/>
      <c r="AD355" s="103"/>
      <c r="AE355" s="101"/>
      <c r="AF355" s="101"/>
      <c r="AG355" s="101"/>
      <c r="AH355" s="101"/>
      <c r="AI355" s="101"/>
      <c r="AJ355" s="101"/>
      <c r="AK355" s="101"/>
      <c r="AL355" s="103"/>
      <c r="AM355" s="103"/>
      <c r="AN355" s="103"/>
      <c r="AO355" s="103"/>
      <c r="AP355" s="103"/>
      <c r="AQ355" s="103"/>
      <c r="AR355" s="103"/>
      <c r="AS355" s="101"/>
      <c r="AT355" s="101"/>
      <c r="AU355" s="101"/>
      <c r="AV355" s="101"/>
      <c r="AW355" s="101"/>
      <c r="AX355" s="101"/>
      <c r="AY355" s="101"/>
      <c r="AZ355" s="103"/>
      <c r="BA355" s="103"/>
      <c r="BB355" s="103"/>
      <c r="BC355" s="101"/>
      <c r="BD355" s="101"/>
      <c r="BE355" s="101"/>
      <c r="BF355" s="101"/>
      <c r="BG355" s="101"/>
      <c r="BK355" s="101"/>
      <c r="BL355" s="101"/>
      <c r="BM355" s="101"/>
      <c r="BN355" s="101"/>
      <c r="BO355" s="101"/>
      <c r="BP355" s="101"/>
      <c r="BQ355" s="101"/>
      <c r="BR355" s="104"/>
      <c r="BS355" s="104"/>
      <c r="BT355" s="104"/>
      <c r="BU355" s="104"/>
      <c r="BV355" s="104"/>
      <c r="BW355" s="104"/>
      <c r="BX355" s="104"/>
      <c r="BY355" s="104"/>
      <c r="BZ355" s="104"/>
      <c r="CA355" s="104"/>
      <c r="CB355" s="104"/>
      <c r="CC355" s="104"/>
      <c r="CD355" s="104"/>
      <c r="CE355" s="104"/>
      <c r="CF355" s="104"/>
      <c r="CG355" s="104"/>
      <c r="CH355" s="104"/>
      <c r="CI355" s="104"/>
      <c r="CJ355" s="104"/>
      <c r="CK355" s="104"/>
      <c r="CL355" s="104"/>
      <c r="CM355" s="104"/>
      <c r="CN355" s="98"/>
      <c r="CP355" s="101"/>
      <c r="CQ355" s="101"/>
      <c r="CR355" s="101"/>
      <c r="CS355" s="101"/>
      <c r="CT355" s="101"/>
      <c r="FJ355" s="103"/>
      <c r="FL355" s="103"/>
      <c r="FN355" s="103"/>
      <c r="FP355" s="103"/>
    </row>
    <row r="356" spans="2:172" x14ac:dyDescent="0.35">
      <c r="B356" s="97"/>
      <c r="G356" s="100"/>
      <c r="K356" s="98"/>
      <c r="L356" s="101"/>
      <c r="M356" s="101"/>
      <c r="N356" s="101"/>
      <c r="O356" s="101"/>
      <c r="P356" s="102"/>
      <c r="Q356" s="101"/>
      <c r="R356" s="98"/>
      <c r="S356" s="98"/>
      <c r="T356" s="98"/>
      <c r="U356" s="98"/>
      <c r="V356" s="98"/>
      <c r="W356" s="98"/>
      <c r="X356" s="103"/>
      <c r="Y356" s="103"/>
      <c r="Z356" s="103"/>
      <c r="AA356" s="103"/>
      <c r="AB356" s="103"/>
      <c r="AC356" s="103"/>
      <c r="AD356" s="103"/>
      <c r="AE356" s="101"/>
      <c r="AF356" s="101"/>
      <c r="AG356" s="101"/>
      <c r="AH356" s="101"/>
      <c r="AI356" s="101"/>
      <c r="AJ356" s="101"/>
      <c r="AK356" s="101"/>
      <c r="AL356" s="103"/>
      <c r="AM356" s="103"/>
      <c r="AN356" s="103"/>
      <c r="AO356" s="103"/>
      <c r="AP356" s="103"/>
      <c r="AQ356" s="103"/>
      <c r="AR356" s="103"/>
      <c r="AS356" s="101"/>
      <c r="AT356" s="101"/>
      <c r="AU356" s="101"/>
      <c r="AV356" s="101"/>
      <c r="AW356" s="101"/>
      <c r="AX356" s="101"/>
      <c r="AY356" s="101"/>
      <c r="AZ356" s="103"/>
      <c r="BA356" s="103"/>
      <c r="BB356" s="103"/>
      <c r="BC356" s="101"/>
      <c r="BD356" s="101"/>
      <c r="BE356" s="101"/>
      <c r="BF356" s="101"/>
      <c r="BG356" s="101"/>
      <c r="BK356" s="101"/>
      <c r="BL356" s="101"/>
      <c r="BM356" s="101"/>
      <c r="BN356" s="101"/>
      <c r="BO356" s="101"/>
      <c r="BP356" s="101"/>
      <c r="BQ356" s="101"/>
      <c r="BR356" s="104"/>
      <c r="BS356" s="104"/>
      <c r="BT356" s="104"/>
      <c r="BU356" s="104"/>
      <c r="BV356" s="104"/>
      <c r="BW356" s="104"/>
      <c r="BX356" s="104"/>
      <c r="BY356" s="104"/>
      <c r="BZ356" s="104"/>
      <c r="CA356" s="104"/>
      <c r="CB356" s="104"/>
      <c r="CC356" s="104"/>
      <c r="CD356" s="104"/>
      <c r="CE356" s="104"/>
      <c r="CF356" s="104"/>
      <c r="CG356" s="104"/>
      <c r="CH356" s="104"/>
      <c r="CI356" s="104"/>
      <c r="CJ356" s="104"/>
      <c r="CK356" s="104"/>
      <c r="CL356" s="104"/>
      <c r="CM356" s="104"/>
      <c r="CN356" s="98"/>
      <c r="CP356" s="101"/>
      <c r="CQ356" s="101"/>
      <c r="CR356" s="101"/>
      <c r="CS356" s="101"/>
      <c r="CT356" s="101"/>
      <c r="FJ356" s="103"/>
      <c r="FL356" s="103"/>
      <c r="FN356" s="103"/>
      <c r="FP356" s="103"/>
    </row>
    <row r="357" spans="2:172" x14ac:dyDescent="0.35">
      <c r="B357" s="97"/>
      <c r="G357" s="100"/>
      <c r="K357" s="98"/>
      <c r="L357" s="101"/>
      <c r="M357" s="101"/>
      <c r="N357" s="101"/>
      <c r="O357" s="101"/>
      <c r="P357" s="102"/>
      <c r="Q357" s="101"/>
      <c r="R357" s="98"/>
      <c r="S357" s="98"/>
      <c r="T357" s="98"/>
      <c r="U357" s="98"/>
      <c r="V357" s="98"/>
      <c r="W357" s="98"/>
      <c r="X357" s="103"/>
      <c r="Y357" s="103"/>
      <c r="Z357" s="103"/>
      <c r="AA357" s="103"/>
      <c r="AB357" s="103"/>
      <c r="AC357" s="103"/>
      <c r="AD357" s="103"/>
      <c r="AE357" s="101"/>
      <c r="AF357" s="101"/>
      <c r="AG357" s="101"/>
      <c r="AH357" s="101"/>
      <c r="AI357" s="101"/>
      <c r="AJ357" s="101"/>
      <c r="AK357" s="101"/>
      <c r="AL357" s="103"/>
      <c r="AM357" s="103"/>
      <c r="AN357" s="103"/>
      <c r="AO357" s="103"/>
      <c r="AP357" s="103"/>
      <c r="AQ357" s="103"/>
      <c r="AR357" s="103"/>
      <c r="AS357" s="101"/>
      <c r="AT357" s="101"/>
      <c r="AU357" s="101"/>
      <c r="AV357" s="101"/>
      <c r="AW357" s="101"/>
      <c r="AX357" s="101"/>
      <c r="AY357" s="101"/>
      <c r="AZ357" s="103"/>
      <c r="BA357" s="103"/>
      <c r="BB357" s="103"/>
      <c r="BC357" s="101"/>
      <c r="BD357" s="101"/>
      <c r="BE357" s="101"/>
      <c r="BF357" s="101"/>
      <c r="BG357" s="101"/>
      <c r="BK357" s="101"/>
      <c r="BL357" s="101"/>
      <c r="BM357" s="101"/>
      <c r="BN357" s="101"/>
      <c r="BO357" s="101"/>
      <c r="BP357" s="101"/>
      <c r="BQ357" s="101"/>
      <c r="BR357" s="104"/>
      <c r="BS357" s="104"/>
      <c r="BT357" s="104"/>
      <c r="BU357" s="104"/>
      <c r="BV357" s="104"/>
      <c r="BW357" s="104"/>
      <c r="BX357" s="104"/>
      <c r="BY357" s="104"/>
      <c r="BZ357" s="104"/>
      <c r="CA357" s="104"/>
      <c r="CB357" s="104"/>
      <c r="CC357" s="104"/>
      <c r="CD357" s="104"/>
      <c r="CE357" s="104"/>
      <c r="CF357" s="104"/>
      <c r="CG357" s="104"/>
      <c r="CH357" s="104"/>
      <c r="CI357" s="104"/>
      <c r="CJ357" s="104"/>
      <c r="CK357" s="104"/>
      <c r="CL357" s="104"/>
      <c r="CM357" s="104"/>
      <c r="CN357" s="98"/>
      <c r="CP357" s="101"/>
      <c r="CQ357" s="101"/>
      <c r="CR357" s="101"/>
      <c r="CS357" s="101"/>
      <c r="CT357" s="101"/>
      <c r="FJ357" s="103"/>
      <c r="FL357" s="103"/>
      <c r="FN357" s="103"/>
      <c r="FP357" s="103"/>
    </row>
    <row r="358" spans="2:172" x14ac:dyDescent="0.35">
      <c r="B358" s="97"/>
      <c r="G358" s="100"/>
      <c r="K358" s="98"/>
      <c r="L358" s="101"/>
      <c r="M358" s="101"/>
      <c r="N358" s="101"/>
      <c r="O358" s="101"/>
      <c r="P358" s="102"/>
      <c r="Q358" s="101"/>
      <c r="R358" s="98"/>
      <c r="S358" s="98"/>
      <c r="T358" s="98"/>
      <c r="U358" s="98"/>
      <c r="V358" s="98"/>
      <c r="W358" s="98"/>
      <c r="X358" s="103"/>
      <c r="Y358" s="103"/>
      <c r="Z358" s="103"/>
      <c r="AA358" s="103"/>
      <c r="AB358" s="103"/>
      <c r="AC358" s="103"/>
      <c r="AD358" s="103"/>
      <c r="AE358" s="101"/>
      <c r="AF358" s="101"/>
      <c r="AG358" s="101"/>
      <c r="AH358" s="101"/>
      <c r="AI358" s="101"/>
      <c r="AJ358" s="101"/>
      <c r="AK358" s="101"/>
      <c r="AL358" s="103"/>
      <c r="AM358" s="103"/>
      <c r="AN358" s="103"/>
      <c r="AO358" s="103"/>
      <c r="AP358" s="103"/>
      <c r="AQ358" s="103"/>
      <c r="AR358" s="103"/>
      <c r="AS358" s="101"/>
      <c r="AT358" s="101"/>
      <c r="AU358" s="101"/>
      <c r="AV358" s="101"/>
      <c r="AW358" s="101"/>
      <c r="AX358" s="101"/>
      <c r="AY358" s="101"/>
      <c r="AZ358" s="103"/>
      <c r="BA358" s="103"/>
      <c r="BB358" s="103"/>
      <c r="BC358" s="101"/>
      <c r="BD358" s="101"/>
      <c r="BE358" s="101"/>
      <c r="BF358" s="101"/>
      <c r="BG358" s="101"/>
      <c r="BK358" s="101"/>
      <c r="BL358" s="101"/>
      <c r="BM358" s="101"/>
      <c r="BN358" s="101"/>
      <c r="BO358" s="101"/>
      <c r="BP358" s="101"/>
      <c r="BQ358" s="101"/>
      <c r="BR358" s="104"/>
      <c r="BS358" s="104"/>
      <c r="BT358" s="104"/>
      <c r="BU358" s="104"/>
      <c r="BV358" s="104"/>
      <c r="BW358" s="104"/>
      <c r="BX358" s="104"/>
      <c r="BY358" s="104"/>
      <c r="BZ358" s="104"/>
      <c r="CA358" s="104"/>
      <c r="CB358" s="104"/>
      <c r="CC358" s="104"/>
      <c r="CD358" s="104"/>
      <c r="CE358" s="104"/>
      <c r="CF358" s="104"/>
      <c r="CG358" s="104"/>
      <c r="CH358" s="104"/>
      <c r="CI358" s="104"/>
      <c r="CJ358" s="104"/>
      <c r="CK358" s="104"/>
      <c r="CL358" s="104"/>
      <c r="CM358" s="104"/>
      <c r="CN358" s="98"/>
      <c r="CP358" s="101"/>
      <c r="CQ358" s="101"/>
      <c r="CR358" s="101"/>
      <c r="CS358" s="101"/>
      <c r="CT358" s="101"/>
      <c r="FJ358" s="103"/>
      <c r="FL358" s="103"/>
      <c r="FN358" s="103"/>
      <c r="FP358" s="103"/>
    </row>
    <row r="359" spans="2:172" x14ac:dyDescent="0.35">
      <c r="B359" s="97"/>
      <c r="G359" s="100"/>
      <c r="K359" s="98"/>
      <c r="L359" s="101"/>
      <c r="M359" s="101"/>
      <c r="N359" s="101"/>
      <c r="O359" s="101"/>
      <c r="P359" s="102"/>
      <c r="Q359" s="101"/>
      <c r="R359" s="98"/>
      <c r="S359" s="98"/>
      <c r="T359" s="98"/>
      <c r="U359" s="98"/>
      <c r="V359" s="98"/>
      <c r="W359" s="98"/>
      <c r="X359" s="103"/>
      <c r="Y359" s="103"/>
      <c r="Z359" s="103"/>
      <c r="AA359" s="103"/>
      <c r="AB359" s="103"/>
      <c r="AC359" s="103"/>
      <c r="AD359" s="103"/>
      <c r="AE359" s="101"/>
      <c r="AF359" s="101"/>
      <c r="AG359" s="101"/>
      <c r="AH359" s="101"/>
      <c r="AI359" s="101"/>
      <c r="AJ359" s="101"/>
      <c r="AK359" s="101"/>
      <c r="AL359" s="103"/>
      <c r="AM359" s="103"/>
      <c r="AN359" s="103"/>
      <c r="AO359" s="103"/>
      <c r="AP359" s="103"/>
      <c r="AQ359" s="103"/>
      <c r="AR359" s="103"/>
      <c r="AS359" s="101"/>
      <c r="AT359" s="101"/>
      <c r="AU359" s="101"/>
      <c r="AV359" s="101"/>
      <c r="AW359" s="101"/>
      <c r="AX359" s="101"/>
      <c r="AY359" s="101"/>
      <c r="AZ359" s="103"/>
      <c r="BA359" s="103"/>
      <c r="BB359" s="103"/>
      <c r="BC359" s="101"/>
      <c r="BD359" s="101"/>
      <c r="BE359" s="101"/>
      <c r="BF359" s="101"/>
      <c r="BG359" s="101"/>
      <c r="BK359" s="101"/>
      <c r="BL359" s="101"/>
      <c r="BM359" s="101"/>
      <c r="BN359" s="101"/>
      <c r="BO359" s="101"/>
      <c r="BP359" s="101"/>
      <c r="BQ359" s="101"/>
      <c r="BR359" s="104"/>
      <c r="BS359" s="104"/>
      <c r="BT359" s="104"/>
      <c r="BU359" s="104"/>
      <c r="BV359" s="104"/>
      <c r="BW359" s="104"/>
      <c r="BX359" s="104"/>
      <c r="BY359" s="104"/>
      <c r="BZ359" s="104"/>
      <c r="CA359" s="104"/>
      <c r="CB359" s="104"/>
      <c r="CC359" s="104"/>
      <c r="CD359" s="104"/>
      <c r="CE359" s="104"/>
      <c r="CF359" s="104"/>
      <c r="CG359" s="104"/>
      <c r="CH359" s="104"/>
      <c r="CI359" s="104"/>
      <c r="CJ359" s="104"/>
      <c r="CK359" s="104"/>
      <c r="CL359" s="104"/>
      <c r="CM359" s="104"/>
      <c r="CN359" s="98"/>
      <c r="CP359" s="101"/>
      <c r="CQ359" s="101"/>
      <c r="CR359" s="101"/>
      <c r="CS359" s="101"/>
      <c r="CT359" s="101"/>
      <c r="FJ359" s="103"/>
      <c r="FL359" s="103"/>
      <c r="FN359" s="103"/>
      <c r="FP359" s="103"/>
    </row>
    <row r="360" spans="2:172" x14ac:dyDescent="0.35">
      <c r="B360" s="97"/>
      <c r="G360" s="100"/>
      <c r="K360" s="98"/>
      <c r="L360" s="101"/>
      <c r="M360" s="101"/>
      <c r="N360" s="101"/>
      <c r="O360" s="101"/>
      <c r="P360" s="102"/>
      <c r="Q360" s="101"/>
      <c r="R360" s="98"/>
      <c r="S360" s="98"/>
      <c r="T360" s="98"/>
      <c r="U360" s="98"/>
      <c r="V360" s="98"/>
      <c r="W360" s="98"/>
      <c r="X360" s="103"/>
      <c r="Y360" s="103"/>
      <c r="Z360" s="103"/>
      <c r="AA360" s="103"/>
      <c r="AB360" s="103"/>
      <c r="AC360" s="103"/>
      <c r="AD360" s="103"/>
      <c r="AE360" s="101"/>
      <c r="AF360" s="101"/>
      <c r="AG360" s="101"/>
      <c r="AH360" s="101"/>
      <c r="AI360" s="101"/>
      <c r="AJ360" s="101"/>
      <c r="AK360" s="101"/>
      <c r="AL360" s="103"/>
      <c r="AM360" s="103"/>
      <c r="AN360" s="103"/>
      <c r="AO360" s="103"/>
      <c r="AP360" s="103"/>
      <c r="AQ360" s="103"/>
      <c r="AR360" s="103"/>
      <c r="AS360" s="101"/>
      <c r="AT360" s="101"/>
      <c r="AU360" s="101"/>
      <c r="AV360" s="101"/>
      <c r="AW360" s="101"/>
      <c r="AX360" s="101"/>
      <c r="AY360" s="101"/>
      <c r="AZ360" s="103"/>
      <c r="BA360" s="103"/>
      <c r="BB360" s="103"/>
      <c r="BC360" s="101"/>
      <c r="BD360" s="101"/>
      <c r="BE360" s="101"/>
      <c r="BF360" s="101"/>
      <c r="BG360" s="101"/>
      <c r="BK360" s="101"/>
      <c r="BL360" s="101"/>
      <c r="BM360" s="101"/>
      <c r="BN360" s="101"/>
      <c r="BO360" s="101"/>
      <c r="BP360" s="101"/>
      <c r="BQ360" s="101"/>
      <c r="BR360" s="104"/>
      <c r="BS360" s="104"/>
      <c r="BT360" s="104"/>
      <c r="BU360" s="104"/>
      <c r="BV360" s="104"/>
      <c r="BW360" s="104"/>
      <c r="BX360" s="104"/>
      <c r="BY360" s="104"/>
      <c r="BZ360" s="104"/>
      <c r="CA360" s="104"/>
      <c r="CB360" s="104"/>
      <c r="CC360" s="104"/>
      <c r="CD360" s="104"/>
      <c r="CE360" s="104"/>
      <c r="CF360" s="104"/>
      <c r="CG360" s="104"/>
      <c r="CH360" s="104"/>
      <c r="CI360" s="104"/>
      <c r="CJ360" s="104"/>
      <c r="CK360" s="104"/>
      <c r="CL360" s="104"/>
      <c r="CM360" s="104"/>
      <c r="CN360" s="98"/>
      <c r="CP360" s="101"/>
      <c r="CQ360" s="101"/>
      <c r="CR360" s="101"/>
      <c r="CS360" s="101"/>
      <c r="CT360" s="101"/>
      <c r="FJ360" s="103"/>
      <c r="FL360" s="103"/>
      <c r="FN360" s="103"/>
      <c r="FP360" s="103"/>
    </row>
    <row r="361" spans="2:172" x14ac:dyDescent="0.35">
      <c r="B361" s="97"/>
      <c r="G361" s="100"/>
      <c r="K361" s="98"/>
      <c r="L361" s="101"/>
      <c r="M361" s="101"/>
      <c r="N361" s="101"/>
      <c r="O361" s="101"/>
      <c r="P361" s="102"/>
      <c r="Q361" s="101"/>
      <c r="R361" s="98"/>
      <c r="S361" s="98"/>
      <c r="T361" s="98"/>
      <c r="U361" s="98"/>
      <c r="V361" s="98"/>
      <c r="W361" s="98"/>
      <c r="X361" s="103"/>
      <c r="Y361" s="103"/>
      <c r="Z361" s="103"/>
      <c r="AA361" s="103"/>
      <c r="AB361" s="103"/>
      <c r="AC361" s="103"/>
      <c r="AD361" s="103"/>
      <c r="AE361" s="101"/>
      <c r="AF361" s="101"/>
      <c r="AG361" s="101"/>
      <c r="AH361" s="101"/>
      <c r="AI361" s="101"/>
      <c r="AJ361" s="101"/>
      <c r="AK361" s="101"/>
      <c r="AL361" s="103"/>
      <c r="AM361" s="103"/>
      <c r="AN361" s="103"/>
      <c r="AO361" s="103"/>
      <c r="AP361" s="103"/>
      <c r="AQ361" s="103"/>
      <c r="AR361" s="103"/>
      <c r="AS361" s="101"/>
      <c r="AT361" s="101"/>
      <c r="AU361" s="101"/>
      <c r="AV361" s="101"/>
      <c r="AW361" s="101"/>
      <c r="AX361" s="101"/>
      <c r="AY361" s="101"/>
      <c r="AZ361" s="103"/>
      <c r="BA361" s="103"/>
      <c r="BB361" s="103"/>
      <c r="BC361" s="101"/>
      <c r="BD361" s="101"/>
      <c r="BE361" s="101"/>
      <c r="BF361" s="101"/>
      <c r="BG361" s="101"/>
      <c r="BK361" s="101"/>
      <c r="BL361" s="101"/>
      <c r="BM361" s="101"/>
      <c r="BN361" s="101"/>
      <c r="BO361" s="101"/>
      <c r="BP361" s="101"/>
      <c r="BQ361" s="101"/>
      <c r="BR361" s="104"/>
      <c r="BS361" s="104"/>
      <c r="BT361" s="104"/>
      <c r="BU361" s="104"/>
      <c r="BV361" s="104"/>
      <c r="BW361" s="104"/>
      <c r="BX361" s="104"/>
      <c r="BY361" s="104"/>
      <c r="BZ361" s="104"/>
      <c r="CA361" s="104"/>
      <c r="CB361" s="104"/>
      <c r="CC361" s="104"/>
      <c r="CD361" s="104"/>
      <c r="CE361" s="104"/>
      <c r="CF361" s="104"/>
      <c r="CG361" s="104"/>
      <c r="CH361" s="104"/>
      <c r="CI361" s="104"/>
      <c r="CJ361" s="104"/>
      <c r="CK361" s="104"/>
      <c r="CL361" s="104"/>
      <c r="CM361" s="104"/>
      <c r="CN361" s="98"/>
      <c r="CP361" s="101"/>
      <c r="CQ361" s="101"/>
      <c r="CR361" s="101"/>
      <c r="CS361" s="101"/>
      <c r="CT361" s="101"/>
      <c r="FJ361" s="103"/>
      <c r="FL361" s="103"/>
      <c r="FN361" s="103"/>
      <c r="FP361" s="103"/>
    </row>
    <row r="362" spans="2:172" x14ac:dyDescent="0.35">
      <c r="B362" s="97"/>
      <c r="G362" s="100"/>
      <c r="K362" s="98"/>
      <c r="L362" s="101"/>
      <c r="M362" s="101"/>
      <c r="N362" s="101"/>
      <c r="O362" s="101"/>
      <c r="P362" s="102"/>
      <c r="Q362" s="101"/>
      <c r="R362" s="98"/>
      <c r="S362" s="98"/>
      <c r="T362" s="98"/>
      <c r="U362" s="98"/>
      <c r="V362" s="98"/>
      <c r="W362" s="98"/>
      <c r="X362" s="103"/>
      <c r="Y362" s="103"/>
      <c r="Z362" s="103"/>
      <c r="AA362" s="103"/>
      <c r="AB362" s="103"/>
      <c r="AC362" s="103"/>
      <c r="AD362" s="103"/>
      <c r="AE362" s="101"/>
      <c r="AF362" s="101"/>
      <c r="AG362" s="101"/>
      <c r="AH362" s="101"/>
      <c r="AI362" s="101"/>
      <c r="AJ362" s="101"/>
      <c r="AK362" s="101"/>
      <c r="AL362" s="103"/>
      <c r="AM362" s="103"/>
      <c r="AN362" s="103"/>
      <c r="AO362" s="103"/>
      <c r="AP362" s="103"/>
      <c r="AQ362" s="103"/>
      <c r="AR362" s="103"/>
      <c r="AS362" s="101"/>
      <c r="AT362" s="101"/>
      <c r="AU362" s="101"/>
      <c r="AV362" s="101"/>
      <c r="AW362" s="101"/>
      <c r="AX362" s="101"/>
      <c r="AY362" s="101"/>
      <c r="AZ362" s="103"/>
      <c r="BA362" s="103"/>
      <c r="BB362" s="103"/>
      <c r="BC362" s="101"/>
      <c r="BD362" s="101"/>
      <c r="BE362" s="101"/>
      <c r="BF362" s="101"/>
      <c r="BG362" s="101"/>
      <c r="BK362" s="101"/>
      <c r="BL362" s="101"/>
      <c r="BM362" s="101"/>
      <c r="BN362" s="101"/>
      <c r="BO362" s="101"/>
      <c r="BP362" s="101"/>
      <c r="BQ362" s="101"/>
      <c r="BR362" s="104"/>
      <c r="BS362" s="104"/>
      <c r="BT362" s="104"/>
      <c r="BU362" s="104"/>
      <c r="BV362" s="104"/>
      <c r="BW362" s="104"/>
      <c r="BX362" s="104"/>
      <c r="BY362" s="104"/>
      <c r="BZ362" s="104"/>
      <c r="CA362" s="104"/>
      <c r="CB362" s="104"/>
      <c r="CC362" s="104"/>
      <c r="CD362" s="104"/>
      <c r="CE362" s="104"/>
      <c r="CF362" s="104"/>
      <c r="CG362" s="104"/>
      <c r="CH362" s="104"/>
      <c r="CI362" s="104"/>
      <c r="CJ362" s="104"/>
      <c r="CK362" s="104"/>
      <c r="CL362" s="104"/>
      <c r="CM362" s="104"/>
      <c r="CN362" s="98"/>
      <c r="CP362" s="101"/>
      <c r="CQ362" s="101"/>
      <c r="CR362" s="101"/>
      <c r="CS362" s="101"/>
      <c r="CT362" s="101"/>
      <c r="FJ362" s="103"/>
      <c r="FL362" s="103"/>
      <c r="FN362" s="103"/>
      <c r="FP362" s="103"/>
    </row>
    <row r="363" spans="2:172" x14ac:dyDescent="0.35">
      <c r="B363" s="97"/>
      <c r="G363" s="100"/>
      <c r="K363" s="98"/>
      <c r="L363" s="101"/>
      <c r="M363" s="101"/>
      <c r="N363" s="101"/>
      <c r="O363" s="101"/>
      <c r="P363" s="102"/>
      <c r="Q363" s="101"/>
      <c r="R363" s="98"/>
      <c r="S363" s="98"/>
      <c r="T363" s="98"/>
      <c r="U363" s="98"/>
      <c r="V363" s="98"/>
      <c r="W363" s="98"/>
      <c r="X363" s="103"/>
      <c r="Y363" s="103"/>
      <c r="Z363" s="103"/>
      <c r="AA363" s="103"/>
      <c r="AB363" s="103"/>
      <c r="AC363" s="103"/>
      <c r="AD363" s="103"/>
      <c r="AE363" s="101"/>
      <c r="AF363" s="101"/>
      <c r="AG363" s="101"/>
      <c r="AH363" s="101"/>
      <c r="AI363" s="101"/>
      <c r="AJ363" s="101"/>
      <c r="AK363" s="101"/>
      <c r="AL363" s="103"/>
      <c r="AM363" s="103"/>
      <c r="AN363" s="103"/>
      <c r="AO363" s="103"/>
      <c r="AP363" s="103"/>
      <c r="AQ363" s="103"/>
      <c r="AR363" s="103"/>
      <c r="AS363" s="101"/>
      <c r="AT363" s="101"/>
      <c r="AU363" s="101"/>
      <c r="AV363" s="101"/>
      <c r="AW363" s="101"/>
      <c r="AX363" s="101"/>
      <c r="AY363" s="101"/>
      <c r="AZ363" s="103"/>
      <c r="BA363" s="103"/>
      <c r="BB363" s="103"/>
      <c r="BC363" s="101"/>
      <c r="BD363" s="101"/>
      <c r="BE363" s="101"/>
      <c r="BF363" s="101"/>
      <c r="BG363" s="101"/>
      <c r="BK363" s="101"/>
      <c r="BL363" s="101"/>
      <c r="BM363" s="101"/>
      <c r="BN363" s="101"/>
      <c r="BO363" s="101"/>
      <c r="BP363" s="101"/>
      <c r="BQ363" s="101"/>
      <c r="BR363" s="104"/>
      <c r="BS363" s="104"/>
      <c r="BT363" s="104"/>
      <c r="BU363" s="104"/>
      <c r="BV363" s="104"/>
      <c r="BW363" s="104"/>
      <c r="BX363" s="104"/>
      <c r="BY363" s="104"/>
      <c r="BZ363" s="104"/>
      <c r="CA363" s="104"/>
      <c r="CB363" s="104"/>
      <c r="CC363" s="104"/>
      <c r="CD363" s="104"/>
      <c r="CE363" s="104"/>
      <c r="CF363" s="104"/>
      <c r="CG363" s="104"/>
      <c r="CH363" s="104"/>
      <c r="CI363" s="104"/>
      <c r="CJ363" s="104"/>
      <c r="CK363" s="104"/>
      <c r="CL363" s="104"/>
      <c r="CM363" s="104"/>
      <c r="CN363" s="98"/>
      <c r="CP363" s="101"/>
      <c r="CQ363" s="101"/>
      <c r="CR363" s="101"/>
      <c r="CS363" s="101"/>
      <c r="CT363" s="101"/>
      <c r="FJ363" s="103"/>
      <c r="FL363" s="103"/>
      <c r="FN363" s="103"/>
      <c r="FP363" s="103"/>
    </row>
    <row r="364" spans="2:172" x14ac:dyDescent="0.35">
      <c r="B364" s="97"/>
      <c r="G364" s="100"/>
      <c r="K364" s="98"/>
      <c r="L364" s="101"/>
      <c r="M364" s="101"/>
      <c r="N364" s="101"/>
      <c r="O364" s="101"/>
      <c r="P364" s="102"/>
      <c r="Q364" s="101"/>
      <c r="R364" s="98"/>
      <c r="S364" s="98"/>
      <c r="T364" s="98"/>
      <c r="U364" s="98"/>
      <c r="V364" s="98"/>
      <c r="W364" s="98"/>
      <c r="X364" s="103"/>
      <c r="Y364" s="103"/>
      <c r="Z364" s="103"/>
      <c r="AA364" s="103"/>
      <c r="AB364" s="103"/>
      <c r="AC364" s="103"/>
      <c r="AD364" s="103"/>
      <c r="AE364" s="101"/>
      <c r="AF364" s="101"/>
      <c r="AG364" s="101"/>
      <c r="AH364" s="101"/>
      <c r="AI364" s="101"/>
      <c r="AJ364" s="101"/>
      <c r="AK364" s="101"/>
      <c r="AL364" s="103"/>
      <c r="AM364" s="103"/>
      <c r="AN364" s="103"/>
      <c r="AO364" s="103"/>
      <c r="AP364" s="103"/>
      <c r="AQ364" s="103"/>
      <c r="AR364" s="103"/>
      <c r="AS364" s="101"/>
      <c r="AT364" s="101"/>
      <c r="AU364" s="101"/>
      <c r="AV364" s="101"/>
      <c r="AW364" s="101"/>
      <c r="AX364" s="101"/>
      <c r="AY364" s="101"/>
      <c r="AZ364" s="103"/>
      <c r="BA364" s="103"/>
      <c r="BB364" s="103"/>
      <c r="BC364" s="101"/>
      <c r="BD364" s="101"/>
      <c r="BE364" s="101"/>
      <c r="BF364" s="101"/>
      <c r="BG364" s="101"/>
      <c r="BK364" s="101"/>
      <c r="BL364" s="101"/>
      <c r="BM364" s="101"/>
      <c r="BN364" s="101"/>
      <c r="BO364" s="101"/>
      <c r="BP364" s="101"/>
      <c r="BQ364" s="101"/>
      <c r="BR364" s="104"/>
      <c r="BS364" s="104"/>
      <c r="BT364" s="104"/>
      <c r="BU364" s="104"/>
      <c r="BV364" s="104"/>
      <c r="BW364" s="104"/>
      <c r="BX364" s="104"/>
      <c r="BY364" s="104"/>
      <c r="BZ364" s="104"/>
      <c r="CA364" s="104"/>
      <c r="CB364" s="104"/>
      <c r="CC364" s="104"/>
      <c r="CD364" s="104"/>
      <c r="CE364" s="104"/>
      <c r="CF364" s="104"/>
      <c r="CG364" s="104"/>
      <c r="CH364" s="104"/>
      <c r="CI364" s="104"/>
      <c r="CJ364" s="104"/>
      <c r="CK364" s="104"/>
      <c r="CL364" s="104"/>
      <c r="CM364" s="104"/>
      <c r="CN364" s="98"/>
      <c r="CP364" s="101"/>
      <c r="CQ364" s="101"/>
      <c r="CR364" s="101"/>
      <c r="CS364" s="101"/>
      <c r="CT364" s="101"/>
      <c r="FJ364" s="103"/>
      <c r="FL364" s="103"/>
      <c r="FN364" s="103"/>
      <c r="FP364" s="103"/>
    </row>
    <row r="365" spans="2:172" x14ac:dyDescent="0.35">
      <c r="B365" s="97"/>
      <c r="G365" s="100"/>
      <c r="K365" s="98"/>
      <c r="L365" s="101"/>
      <c r="M365" s="101"/>
      <c r="N365" s="101"/>
      <c r="O365" s="101"/>
      <c r="P365" s="102"/>
      <c r="Q365" s="101"/>
      <c r="R365" s="98"/>
      <c r="S365" s="98"/>
      <c r="T365" s="98"/>
      <c r="U365" s="98"/>
      <c r="V365" s="98"/>
      <c r="W365" s="98"/>
      <c r="X365" s="103"/>
      <c r="Y365" s="103"/>
      <c r="Z365" s="103"/>
      <c r="AA365" s="103"/>
      <c r="AB365" s="103"/>
      <c r="AC365" s="103"/>
      <c r="AD365" s="103"/>
      <c r="AE365" s="101"/>
      <c r="AF365" s="101"/>
      <c r="AG365" s="101"/>
      <c r="AH365" s="101"/>
      <c r="AI365" s="101"/>
      <c r="AJ365" s="101"/>
      <c r="AK365" s="101"/>
      <c r="AL365" s="103"/>
      <c r="AM365" s="103"/>
      <c r="AN365" s="103"/>
      <c r="AO365" s="103"/>
      <c r="AP365" s="103"/>
      <c r="AQ365" s="103"/>
      <c r="AR365" s="103"/>
      <c r="AS365" s="101"/>
      <c r="AT365" s="101"/>
      <c r="AU365" s="101"/>
      <c r="AV365" s="101"/>
      <c r="AW365" s="101"/>
      <c r="AX365" s="101"/>
      <c r="AY365" s="101"/>
      <c r="AZ365" s="103"/>
      <c r="BA365" s="103"/>
      <c r="BB365" s="103"/>
      <c r="BC365" s="101"/>
      <c r="BD365" s="101"/>
      <c r="BE365" s="101"/>
      <c r="BF365" s="101"/>
      <c r="BG365" s="101"/>
      <c r="BK365" s="101"/>
      <c r="BL365" s="101"/>
      <c r="BM365" s="101"/>
      <c r="BN365" s="101"/>
      <c r="BO365" s="101"/>
      <c r="BP365" s="101"/>
      <c r="BQ365" s="101"/>
      <c r="BR365" s="104"/>
      <c r="BS365" s="104"/>
      <c r="BT365" s="104"/>
      <c r="BU365" s="104"/>
      <c r="BV365" s="104"/>
      <c r="BW365" s="104"/>
      <c r="BX365" s="104"/>
      <c r="BY365" s="104"/>
      <c r="BZ365" s="104"/>
      <c r="CA365" s="104"/>
      <c r="CB365" s="104"/>
      <c r="CC365" s="104"/>
      <c r="CD365" s="104"/>
      <c r="CE365" s="104"/>
      <c r="CF365" s="104"/>
      <c r="CG365" s="104"/>
      <c r="CH365" s="104"/>
      <c r="CI365" s="104"/>
      <c r="CJ365" s="104"/>
      <c r="CK365" s="104"/>
      <c r="CL365" s="104"/>
      <c r="CM365" s="104"/>
      <c r="CN365" s="98"/>
      <c r="CP365" s="101"/>
      <c r="CQ365" s="101"/>
      <c r="CR365" s="101"/>
      <c r="CS365" s="101"/>
      <c r="CT365" s="101"/>
      <c r="FJ365" s="103"/>
      <c r="FL365" s="103"/>
      <c r="FN365" s="103"/>
      <c r="FP365" s="103"/>
    </row>
    <row r="366" spans="2:172" x14ac:dyDescent="0.35">
      <c r="B366" s="97"/>
      <c r="G366" s="100"/>
      <c r="K366" s="98"/>
      <c r="L366" s="101"/>
      <c r="M366" s="101"/>
      <c r="N366" s="101"/>
      <c r="O366" s="101"/>
      <c r="P366" s="102"/>
      <c r="Q366" s="101"/>
      <c r="R366" s="98"/>
      <c r="S366" s="98"/>
      <c r="T366" s="98"/>
      <c r="U366" s="98"/>
      <c r="V366" s="98"/>
      <c r="W366" s="98"/>
      <c r="X366" s="103"/>
      <c r="Y366" s="103"/>
      <c r="Z366" s="103"/>
      <c r="AA366" s="103"/>
      <c r="AB366" s="103"/>
      <c r="AC366" s="103"/>
      <c r="AD366" s="103"/>
      <c r="AE366" s="101"/>
      <c r="AF366" s="101"/>
      <c r="AG366" s="101"/>
      <c r="AH366" s="101"/>
      <c r="AI366" s="101"/>
      <c r="AJ366" s="101"/>
      <c r="AK366" s="101"/>
      <c r="AL366" s="103"/>
      <c r="AM366" s="103"/>
      <c r="AN366" s="103"/>
      <c r="AO366" s="103"/>
      <c r="AP366" s="103"/>
      <c r="AQ366" s="103"/>
      <c r="AR366" s="103"/>
      <c r="AS366" s="101"/>
      <c r="AT366" s="101"/>
      <c r="AU366" s="101"/>
      <c r="AV366" s="101"/>
      <c r="AW366" s="101"/>
      <c r="AX366" s="101"/>
      <c r="AY366" s="101"/>
      <c r="AZ366" s="103"/>
      <c r="BA366" s="103"/>
      <c r="BB366" s="103"/>
      <c r="BC366" s="101"/>
      <c r="BD366" s="101"/>
      <c r="BE366" s="101"/>
      <c r="BF366" s="101"/>
      <c r="BG366" s="101"/>
      <c r="BK366" s="101"/>
      <c r="BL366" s="101"/>
      <c r="BM366" s="101"/>
      <c r="BN366" s="101"/>
      <c r="BO366" s="101"/>
      <c r="BP366" s="101"/>
      <c r="BQ366" s="101"/>
      <c r="BR366" s="104"/>
      <c r="BS366" s="104"/>
      <c r="BT366" s="104"/>
      <c r="BU366" s="104"/>
      <c r="BV366" s="104"/>
      <c r="BW366" s="104"/>
      <c r="BX366" s="104"/>
      <c r="BY366" s="104"/>
      <c r="BZ366" s="104"/>
      <c r="CA366" s="104"/>
      <c r="CB366" s="104"/>
      <c r="CC366" s="104"/>
      <c r="CD366" s="104"/>
      <c r="CE366" s="104"/>
      <c r="CF366" s="104"/>
      <c r="CG366" s="104"/>
      <c r="CH366" s="104"/>
      <c r="CI366" s="104"/>
      <c r="CJ366" s="104"/>
      <c r="CK366" s="104"/>
      <c r="CL366" s="104"/>
      <c r="CM366" s="104"/>
      <c r="CN366" s="98"/>
      <c r="CP366" s="101"/>
      <c r="CQ366" s="101"/>
      <c r="CR366" s="101"/>
      <c r="CS366" s="101"/>
      <c r="CT366" s="101"/>
      <c r="FJ366" s="103"/>
      <c r="FL366" s="103"/>
      <c r="FN366" s="103"/>
      <c r="FP366" s="103"/>
    </row>
    <row r="367" spans="2:172" x14ac:dyDescent="0.35">
      <c r="B367" s="97"/>
      <c r="G367" s="100"/>
      <c r="K367" s="98"/>
      <c r="L367" s="101"/>
      <c r="M367" s="101"/>
      <c r="N367" s="101"/>
      <c r="O367" s="101"/>
      <c r="P367" s="102"/>
      <c r="Q367" s="101"/>
      <c r="R367" s="98"/>
      <c r="S367" s="98"/>
      <c r="T367" s="98"/>
      <c r="U367" s="98"/>
      <c r="V367" s="98"/>
      <c r="W367" s="98"/>
      <c r="X367" s="103"/>
      <c r="Y367" s="103"/>
      <c r="Z367" s="103"/>
      <c r="AA367" s="103"/>
      <c r="AB367" s="103"/>
      <c r="AC367" s="103"/>
      <c r="AD367" s="103"/>
      <c r="AE367" s="101"/>
      <c r="AF367" s="101"/>
      <c r="AG367" s="101"/>
      <c r="AH367" s="101"/>
      <c r="AI367" s="101"/>
      <c r="AJ367" s="101"/>
      <c r="AK367" s="101"/>
      <c r="AL367" s="103"/>
      <c r="AM367" s="103"/>
      <c r="AN367" s="103"/>
      <c r="AO367" s="103"/>
      <c r="AP367" s="103"/>
      <c r="AQ367" s="103"/>
      <c r="AR367" s="103"/>
      <c r="AS367" s="101"/>
      <c r="AT367" s="101"/>
      <c r="AU367" s="101"/>
      <c r="AV367" s="101"/>
      <c r="AW367" s="101"/>
      <c r="AX367" s="101"/>
      <c r="AY367" s="101"/>
      <c r="AZ367" s="103"/>
      <c r="BA367" s="103"/>
      <c r="BB367" s="103"/>
      <c r="BC367" s="101"/>
      <c r="BD367" s="101"/>
      <c r="BE367" s="101"/>
      <c r="BF367" s="101"/>
      <c r="BG367" s="101"/>
      <c r="BK367" s="101"/>
      <c r="BL367" s="101"/>
      <c r="BM367" s="101"/>
      <c r="BN367" s="101"/>
      <c r="BO367" s="101"/>
      <c r="BP367" s="101"/>
      <c r="BQ367" s="101"/>
      <c r="BR367" s="104"/>
      <c r="BS367" s="104"/>
      <c r="BT367" s="104"/>
      <c r="BU367" s="104"/>
      <c r="BV367" s="104"/>
      <c r="BW367" s="104"/>
      <c r="BX367" s="104"/>
      <c r="BY367" s="104"/>
      <c r="BZ367" s="104"/>
      <c r="CA367" s="104"/>
      <c r="CB367" s="104"/>
      <c r="CC367" s="104"/>
      <c r="CD367" s="104"/>
      <c r="CE367" s="104"/>
      <c r="CF367" s="104"/>
      <c r="CG367" s="104"/>
      <c r="CH367" s="104"/>
      <c r="CI367" s="104"/>
      <c r="CJ367" s="104"/>
      <c r="CK367" s="104"/>
      <c r="CL367" s="104"/>
      <c r="CM367" s="104"/>
      <c r="CN367" s="98"/>
      <c r="CP367" s="101"/>
      <c r="CQ367" s="101"/>
      <c r="CR367" s="101"/>
      <c r="CS367" s="101"/>
      <c r="CT367" s="101"/>
      <c r="FJ367" s="103"/>
      <c r="FL367" s="103"/>
      <c r="FN367" s="103"/>
      <c r="FP367" s="103"/>
    </row>
    <row r="368" spans="2:172" x14ac:dyDescent="0.35">
      <c r="B368" s="97"/>
      <c r="G368" s="100"/>
      <c r="K368" s="98"/>
      <c r="L368" s="101"/>
      <c r="M368" s="101"/>
      <c r="N368" s="101"/>
      <c r="O368" s="101"/>
      <c r="P368" s="102"/>
      <c r="Q368" s="101"/>
      <c r="R368" s="98"/>
      <c r="S368" s="98"/>
      <c r="T368" s="98"/>
      <c r="U368" s="98"/>
      <c r="V368" s="98"/>
      <c r="W368" s="98"/>
      <c r="X368" s="103"/>
      <c r="Y368" s="103"/>
      <c r="Z368" s="103"/>
      <c r="AA368" s="103"/>
      <c r="AB368" s="103"/>
      <c r="AC368" s="103"/>
      <c r="AD368" s="103"/>
      <c r="AE368" s="101"/>
      <c r="AF368" s="101"/>
      <c r="AG368" s="101"/>
      <c r="AH368" s="101"/>
      <c r="AI368" s="101"/>
      <c r="AJ368" s="101"/>
      <c r="AK368" s="101"/>
      <c r="AL368" s="103"/>
      <c r="AM368" s="103"/>
      <c r="AN368" s="103"/>
      <c r="AO368" s="103"/>
      <c r="AP368" s="103"/>
      <c r="AQ368" s="103"/>
      <c r="AR368" s="103"/>
      <c r="AS368" s="101"/>
      <c r="AT368" s="101"/>
      <c r="AU368" s="101"/>
      <c r="AV368" s="101"/>
      <c r="AW368" s="101"/>
      <c r="AX368" s="101"/>
      <c r="AY368" s="101"/>
      <c r="AZ368" s="103"/>
      <c r="BA368" s="103"/>
      <c r="BB368" s="103"/>
      <c r="BC368" s="101"/>
      <c r="BD368" s="101"/>
      <c r="BE368" s="101"/>
      <c r="BF368" s="101"/>
      <c r="BG368" s="101"/>
      <c r="BK368" s="101"/>
      <c r="BL368" s="101"/>
      <c r="BM368" s="101"/>
      <c r="BN368" s="101"/>
      <c r="BO368" s="101"/>
      <c r="BP368" s="101"/>
      <c r="BQ368" s="101"/>
      <c r="BR368" s="104"/>
      <c r="BS368" s="104"/>
      <c r="BT368" s="104"/>
      <c r="BU368" s="104"/>
      <c r="BV368" s="104"/>
      <c r="BW368" s="104"/>
      <c r="BX368" s="104"/>
      <c r="BY368" s="104"/>
      <c r="BZ368" s="104"/>
      <c r="CA368" s="104"/>
      <c r="CB368" s="104"/>
      <c r="CC368" s="104"/>
      <c r="CD368" s="104"/>
      <c r="CE368" s="104"/>
      <c r="CF368" s="104"/>
      <c r="CG368" s="104"/>
      <c r="CH368" s="104"/>
      <c r="CI368" s="104"/>
      <c r="CJ368" s="104"/>
      <c r="CK368" s="104"/>
      <c r="CL368" s="104"/>
      <c r="CM368" s="104"/>
      <c r="CN368" s="98"/>
      <c r="CP368" s="101"/>
      <c r="CQ368" s="101"/>
      <c r="CR368" s="101"/>
      <c r="CS368" s="101"/>
      <c r="CT368" s="101"/>
      <c r="FJ368" s="103"/>
      <c r="FL368" s="103"/>
      <c r="FN368" s="103"/>
      <c r="FP368" s="103"/>
    </row>
    <row r="369" spans="2:172" x14ac:dyDescent="0.35">
      <c r="B369" s="97"/>
      <c r="G369" s="100"/>
      <c r="K369" s="98"/>
      <c r="L369" s="101"/>
      <c r="M369" s="101"/>
      <c r="N369" s="101"/>
      <c r="O369" s="101"/>
      <c r="P369" s="102"/>
      <c r="Q369" s="101"/>
      <c r="R369" s="98"/>
      <c r="S369" s="98"/>
      <c r="T369" s="98"/>
      <c r="U369" s="98"/>
      <c r="V369" s="98"/>
      <c r="W369" s="98"/>
      <c r="X369" s="103"/>
      <c r="Y369" s="103"/>
      <c r="Z369" s="103"/>
      <c r="AA369" s="103"/>
      <c r="AB369" s="103"/>
      <c r="AC369" s="103"/>
      <c r="AD369" s="103"/>
      <c r="AE369" s="101"/>
      <c r="AF369" s="101"/>
      <c r="AG369" s="101"/>
      <c r="AH369" s="101"/>
      <c r="AI369" s="101"/>
      <c r="AJ369" s="101"/>
      <c r="AK369" s="101"/>
      <c r="AL369" s="103"/>
      <c r="AM369" s="103"/>
      <c r="AN369" s="103"/>
      <c r="AO369" s="103"/>
      <c r="AP369" s="103"/>
      <c r="AQ369" s="103"/>
      <c r="AR369" s="103"/>
      <c r="AS369" s="101"/>
      <c r="AT369" s="101"/>
      <c r="AU369" s="101"/>
      <c r="AV369" s="101"/>
      <c r="AW369" s="101"/>
      <c r="AX369" s="101"/>
      <c r="AY369" s="101"/>
      <c r="AZ369" s="103"/>
      <c r="BA369" s="103"/>
      <c r="BB369" s="103"/>
      <c r="BC369" s="101"/>
      <c r="BD369" s="101"/>
      <c r="BE369" s="101"/>
      <c r="BF369" s="101"/>
      <c r="BG369" s="101"/>
      <c r="BK369" s="101"/>
      <c r="BL369" s="101"/>
      <c r="BM369" s="101"/>
      <c r="BN369" s="101"/>
      <c r="BO369" s="101"/>
      <c r="BP369" s="101"/>
      <c r="BQ369" s="101"/>
      <c r="BR369" s="104"/>
      <c r="BS369" s="104"/>
      <c r="BT369" s="104"/>
      <c r="BU369" s="104"/>
      <c r="BV369" s="104"/>
      <c r="BW369" s="104"/>
      <c r="BX369" s="104"/>
      <c r="BY369" s="104"/>
      <c r="BZ369" s="104"/>
      <c r="CA369" s="104"/>
      <c r="CB369" s="104"/>
      <c r="CC369" s="104"/>
      <c r="CD369" s="104"/>
      <c r="CE369" s="104"/>
      <c r="CF369" s="104"/>
      <c r="CG369" s="104"/>
      <c r="CH369" s="104"/>
      <c r="CI369" s="104"/>
      <c r="CJ369" s="104"/>
      <c r="CK369" s="104"/>
      <c r="CL369" s="104"/>
      <c r="CM369" s="104"/>
      <c r="CN369" s="98"/>
      <c r="CP369" s="101"/>
      <c r="CQ369" s="101"/>
      <c r="CR369" s="101"/>
      <c r="CS369" s="101"/>
      <c r="CT369" s="101"/>
      <c r="FJ369" s="103"/>
      <c r="FL369" s="103"/>
      <c r="FN369" s="103"/>
      <c r="FP369" s="103"/>
    </row>
    <row r="370" spans="2:172" x14ac:dyDescent="0.35">
      <c r="B370" s="97"/>
      <c r="G370" s="100"/>
      <c r="K370" s="98"/>
      <c r="L370" s="101"/>
      <c r="M370" s="101"/>
      <c r="N370" s="101"/>
      <c r="O370" s="101"/>
      <c r="P370" s="102"/>
      <c r="Q370" s="101"/>
      <c r="R370" s="98"/>
      <c r="S370" s="98"/>
      <c r="T370" s="98"/>
      <c r="U370" s="98"/>
      <c r="V370" s="98"/>
      <c r="W370" s="98"/>
      <c r="X370" s="103"/>
      <c r="Y370" s="103"/>
      <c r="Z370" s="103"/>
      <c r="AA370" s="103"/>
      <c r="AB370" s="103"/>
      <c r="AC370" s="103"/>
      <c r="AD370" s="103"/>
      <c r="AE370" s="101"/>
      <c r="AF370" s="101"/>
      <c r="AG370" s="101"/>
      <c r="AH370" s="101"/>
      <c r="AI370" s="101"/>
      <c r="AJ370" s="101"/>
      <c r="AK370" s="101"/>
      <c r="AL370" s="103"/>
      <c r="AM370" s="103"/>
      <c r="AN370" s="103"/>
      <c r="AO370" s="103"/>
      <c r="AP370" s="103"/>
      <c r="AQ370" s="103"/>
      <c r="AR370" s="103"/>
      <c r="AS370" s="101"/>
      <c r="AT370" s="101"/>
      <c r="AU370" s="101"/>
      <c r="AV370" s="101"/>
      <c r="AW370" s="101"/>
      <c r="AX370" s="101"/>
      <c r="AY370" s="101"/>
      <c r="AZ370" s="103"/>
      <c r="BA370" s="103"/>
      <c r="BB370" s="103"/>
      <c r="BC370" s="101"/>
      <c r="BD370" s="101"/>
      <c r="BE370" s="101"/>
      <c r="BF370" s="101"/>
      <c r="BG370" s="101"/>
      <c r="BK370" s="101"/>
      <c r="BL370" s="101"/>
      <c r="BM370" s="101"/>
      <c r="BN370" s="101"/>
      <c r="BO370" s="101"/>
      <c r="BP370" s="101"/>
      <c r="BQ370" s="101"/>
      <c r="BR370" s="104"/>
      <c r="BS370" s="104"/>
      <c r="BT370" s="104"/>
      <c r="BU370" s="104"/>
      <c r="BV370" s="104"/>
      <c r="BW370" s="104"/>
      <c r="BX370" s="104"/>
      <c r="BY370" s="104"/>
      <c r="BZ370" s="104"/>
      <c r="CA370" s="104"/>
      <c r="CB370" s="104"/>
      <c r="CC370" s="104"/>
      <c r="CD370" s="104"/>
      <c r="CE370" s="104"/>
      <c r="CF370" s="104"/>
      <c r="CG370" s="104"/>
      <c r="CH370" s="104"/>
      <c r="CI370" s="104"/>
      <c r="CJ370" s="104"/>
      <c r="CK370" s="104"/>
      <c r="CL370" s="104"/>
      <c r="CM370" s="104"/>
      <c r="CN370" s="98"/>
      <c r="CP370" s="101"/>
      <c r="CQ370" s="101"/>
      <c r="CR370" s="101"/>
      <c r="CS370" s="101"/>
      <c r="CT370" s="101"/>
      <c r="FJ370" s="103"/>
      <c r="FL370" s="103"/>
      <c r="FN370" s="103"/>
      <c r="FP370" s="103"/>
    </row>
    <row r="371" spans="2:172" x14ac:dyDescent="0.35">
      <c r="B371" s="97"/>
      <c r="G371" s="100"/>
      <c r="K371" s="98"/>
      <c r="L371" s="101"/>
      <c r="M371" s="101"/>
      <c r="N371" s="101"/>
      <c r="O371" s="101"/>
      <c r="P371" s="102"/>
      <c r="Q371" s="101"/>
      <c r="R371" s="98"/>
      <c r="S371" s="98"/>
      <c r="T371" s="98"/>
      <c r="U371" s="98"/>
      <c r="V371" s="98"/>
      <c r="W371" s="98"/>
      <c r="X371" s="103"/>
      <c r="Y371" s="103"/>
      <c r="Z371" s="103"/>
      <c r="AA371" s="103"/>
      <c r="AB371" s="103"/>
      <c r="AC371" s="103"/>
      <c r="AD371" s="103"/>
      <c r="AE371" s="101"/>
      <c r="AF371" s="101"/>
      <c r="AG371" s="101"/>
      <c r="AH371" s="101"/>
      <c r="AI371" s="101"/>
      <c r="AJ371" s="101"/>
      <c r="AK371" s="101"/>
      <c r="AL371" s="103"/>
      <c r="AM371" s="103"/>
      <c r="AN371" s="103"/>
      <c r="AO371" s="103"/>
      <c r="AP371" s="103"/>
      <c r="AQ371" s="103"/>
      <c r="AR371" s="103"/>
      <c r="AS371" s="101"/>
      <c r="AT371" s="101"/>
      <c r="AU371" s="101"/>
      <c r="AV371" s="101"/>
      <c r="AW371" s="101"/>
      <c r="AX371" s="101"/>
      <c r="AY371" s="101"/>
      <c r="AZ371" s="103"/>
      <c r="BA371" s="103"/>
      <c r="BB371" s="103"/>
      <c r="BC371" s="101"/>
      <c r="BD371" s="101"/>
      <c r="BE371" s="101"/>
      <c r="BF371" s="101"/>
      <c r="BG371" s="101"/>
      <c r="BK371" s="101"/>
      <c r="BL371" s="101"/>
      <c r="BM371" s="101"/>
      <c r="BN371" s="101"/>
      <c r="BO371" s="101"/>
      <c r="BP371" s="101"/>
      <c r="BQ371" s="101"/>
      <c r="BR371" s="104"/>
      <c r="BS371" s="104"/>
      <c r="BT371" s="104"/>
      <c r="BU371" s="104"/>
      <c r="BV371" s="104"/>
      <c r="BW371" s="104"/>
      <c r="BX371" s="104"/>
      <c r="BY371" s="104"/>
      <c r="BZ371" s="104"/>
      <c r="CA371" s="104"/>
      <c r="CB371" s="104"/>
      <c r="CC371" s="104"/>
      <c r="CD371" s="104"/>
      <c r="CE371" s="104"/>
      <c r="CF371" s="104"/>
      <c r="CG371" s="104"/>
      <c r="CH371" s="104"/>
      <c r="CI371" s="104"/>
      <c r="CJ371" s="104"/>
      <c r="CK371" s="104"/>
      <c r="CL371" s="104"/>
      <c r="CM371" s="104"/>
      <c r="CN371" s="98"/>
      <c r="CP371" s="101"/>
      <c r="CQ371" s="101"/>
      <c r="CR371" s="101"/>
      <c r="CS371" s="101"/>
      <c r="CT371" s="101"/>
      <c r="FJ371" s="103"/>
      <c r="FL371" s="103"/>
      <c r="FN371" s="103"/>
      <c r="FP371" s="103"/>
    </row>
    <row r="372" spans="2:172" x14ac:dyDescent="0.35">
      <c r="B372" s="97"/>
      <c r="G372" s="100"/>
      <c r="K372" s="98"/>
      <c r="L372" s="101"/>
      <c r="M372" s="101"/>
      <c r="N372" s="101"/>
      <c r="O372" s="101"/>
      <c r="P372" s="102"/>
      <c r="Q372" s="101"/>
      <c r="R372" s="98"/>
      <c r="S372" s="98"/>
      <c r="T372" s="98"/>
      <c r="U372" s="98"/>
      <c r="V372" s="98"/>
      <c r="W372" s="98"/>
      <c r="X372" s="103"/>
      <c r="Y372" s="103"/>
      <c r="Z372" s="103"/>
      <c r="AA372" s="103"/>
      <c r="AB372" s="103"/>
      <c r="AC372" s="103"/>
      <c r="AD372" s="103"/>
      <c r="AE372" s="101"/>
      <c r="AF372" s="101"/>
      <c r="AG372" s="101"/>
      <c r="AH372" s="101"/>
      <c r="AI372" s="101"/>
      <c r="AJ372" s="101"/>
      <c r="AK372" s="101"/>
      <c r="AL372" s="103"/>
      <c r="AM372" s="103"/>
      <c r="AN372" s="103"/>
      <c r="AO372" s="103"/>
      <c r="AP372" s="103"/>
      <c r="AQ372" s="103"/>
      <c r="AR372" s="103"/>
      <c r="AS372" s="101"/>
      <c r="AT372" s="101"/>
      <c r="AU372" s="101"/>
      <c r="AV372" s="101"/>
      <c r="AW372" s="101"/>
      <c r="AX372" s="101"/>
      <c r="AY372" s="101"/>
      <c r="AZ372" s="103"/>
      <c r="BA372" s="103"/>
      <c r="BB372" s="103"/>
      <c r="BC372" s="101"/>
      <c r="BD372" s="101"/>
      <c r="BE372" s="101"/>
      <c r="BF372" s="101"/>
      <c r="BG372" s="101"/>
      <c r="BK372" s="101"/>
      <c r="BL372" s="101"/>
      <c r="BM372" s="101"/>
      <c r="BN372" s="101"/>
      <c r="BO372" s="101"/>
      <c r="BP372" s="101"/>
      <c r="BQ372" s="101"/>
      <c r="BR372" s="104"/>
      <c r="BS372" s="104"/>
      <c r="BT372" s="104"/>
      <c r="BU372" s="104"/>
      <c r="BV372" s="104"/>
      <c r="BW372" s="104"/>
      <c r="BX372" s="104"/>
      <c r="BY372" s="104"/>
      <c r="BZ372" s="104"/>
      <c r="CA372" s="104"/>
      <c r="CB372" s="104"/>
      <c r="CC372" s="104"/>
      <c r="CD372" s="104"/>
      <c r="CE372" s="104"/>
      <c r="CF372" s="104"/>
      <c r="CG372" s="104"/>
      <c r="CH372" s="104"/>
      <c r="CI372" s="104"/>
      <c r="CJ372" s="104"/>
      <c r="CK372" s="104"/>
      <c r="CL372" s="104"/>
      <c r="CM372" s="104"/>
      <c r="CN372" s="98"/>
      <c r="CP372" s="101"/>
      <c r="CQ372" s="101"/>
      <c r="CR372" s="101"/>
      <c r="CS372" s="101"/>
      <c r="CT372" s="101"/>
      <c r="FJ372" s="103"/>
      <c r="FL372" s="103"/>
      <c r="FN372" s="103"/>
      <c r="FP372" s="103"/>
    </row>
    <row r="373" spans="2:172" x14ac:dyDescent="0.35">
      <c r="B373" s="97"/>
      <c r="G373" s="100"/>
      <c r="K373" s="98"/>
      <c r="L373" s="101"/>
      <c r="M373" s="101"/>
      <c r="N373" s="101"/>
      <c r="O373" s="101"/>
      <c r="P373" s="102"/>
      <c r="Q373" s="101"/>
      <c r="R373" s="98"/>
      <c r="S373" s="98"/>
      <c r="T373" s="98"/>
      <c r="U373" s="98"/>
      <c r="V373" s="98"/>
      <c r="W373" s="98"/>
      <c r="X373" s="103"/>
      <c r="Y373" s="103"/>
      <c r="Z373" s="103"/>
      <c r="AA373" s="103"/>
      <c r="AB373" s="103"/>
      <c r="AC373" s="103"/>
      <c r="AD373" s="103"/>
      <c r="AE373" s="101"/>
      <c r="AF373" s="101"/>
      <c r="AG373" s="101"/>
      <c r="AH373" s="101"/>
      <c r="AI373" s="101"/>
      <c r="AJ373" s="101"/>
      <c r="AK373" s="101"/>
      <c r="AL373" s="103"/>
      <c r="AM373" s="103"/>
      <c r="AN373" s="103"/>
      <c r="AO373" s="103"/>
      <c r="AP373" s="103"/>
      <c r="AQ373" s="103"/>
      <c r="AR373" s="103"/>
      <c r="AS373" s="101"/>
      <c r="AT373" s="101"/>
      <c r="AU373" s="101"/>
      <c r="AV373" s="101"/>
      <c r="AW373" s="101"/>
      <c r="AX373" s="101"/>
      <c r="AY373" s="101"/>
      <c r="AZ373" s="103"/>
      <c r="BA373" s="103"/>
      <c r="BB373" s="103"/>
      <c r="BC373" s="101"/>
      <c r="BD373" s="101"/>
      <c r="BE373" s="101"/>
      <c r="BF373" s="101"/>
      <c r="BG373" s="101"/>
      <c r="BK373" s="101"/>
      <c r="BL373" s="101"/>
      <c r="BM373" s="101"/>
      <c r="BN373" s="101"/>
      <c r="BO373" s="101"/>
      <c r="BP373" s="101"/>
      <c r="BQ373" s="101"/>
      <c r="BR373" s="104"/>
      <c r="BS373" s="104"/>
      <c r="BT373" s="104"/>
      <c r="BU373" s="104"/>
      <c r="BV373" s="104"/>
      <c r="BW373" s="104"/>
      <c r="BX373" s="104"/>
      <c r="BY373" s="104"/>
      <c r="BZ373" s="104"/>
      <c r="CA373" s="104"/>
      <c r="CB373" s="104"/>
      <c r="CC373" s="104"/>
      <c r="CD373" s="104"/>
      <c r="CE373" s="104"/>
      <c r="CF373" s="104"/>
      <c r="CG373" s="104"/>
      <c r="CH373" s="104"/>
      <c r="CI373" s="104"/>
      <c r="CJ373" s="104"/>
      <c r="CK373" s="104"/>
      <c r="CL373" s="104"/>
      <c r="CM373" s="104"/>
      <c r="CN373" s="98"/>
      <c r="CP373" s="101"/>
      <c r="CQ373" s="101"/>
      <c r="CR373" s="101"/>
      <c r="CS373" s="101"/>
      <c r="CT373" s="101"/>
      <c r="FJ373" s="103"/>
      <c r="FL373" s="103"/>
      <c r="FN373" s="103"/>
      <c r="FP373" s="103"/>
    </row>
    <row r="374" spans="2:172" x14ac:dyDescent="0.35">
      <c r="B374" s="97"/>
      <c r="G374" s="100"/>
      <c r="K374" s="98"/>
      <c r="L374" s="101"/>
      <c r="M374" s="101"/>
      <c r="N374" s="101"/>
      <c r="O374" s="101"/>
      <c r="P374" s="102"/>
      <c r="Q374" s="101"/>
      <c r="R374" s="98"/>
      <c r="S374" s="98"/>
      <c r="T374" s="98"/>
      <c r="U374" s="98"/>
      <c r="V374" s="98"/>
      <c r="W374" s="98"/>
      <c r="X374" s="103"/>
      <c r="Y374" s="103"/>
      <c r="Z374" s="103"/>
      <c r="AA374" s="103"/>
      <c r="AB374" s="103"/>
      <c r="AC374" s="103"/>
      <c r="AD374" s="103"/>
      <c r="AE374" s="101"/>
      <c r="AF374" s="101"/>
      <c r="AG374" s="101"/>
      <c r="AH374" s="101"/>
      <c r="AI374" s="101"/>
      <c r="AJ374" s="101"/>
      <c r="AK374" s="101"/>
      <c r="AL374" s="103"/>
      <c r="AM374" s="103"/>
      <c r="AN374" s="103"/>
      <c r="AO374" s="103"/>
      <c r="AP374" s="103"/>
      <c r="AQ374" s="103"/>
      <c r="AR374" s="103"/>
      <c r="AS374" s="101"/>
      <c r="AT374" s="101"/>
      <c r="AU374" s="101"/>
      <c r="AV374" s="101"/>
      <c r="AW374" s="101"/>
      <c r="AX374" s="101"/>
      <c r="AY374" s="101"/>
      <c r="AZ374" s="103"/>
      <c r="BA374" s="103"/>
      <c r="BB374" s="103"/>
      <c r="BC374" s="101"/>
      <c r="BD374" s="101"/>
      <c r="BE374" s="101"/>
      <c r="BF374" s="101"/>
      <c r="BG374" s="101"/>
      <c r="BK374" s="101"/>
      <c r="BL374" s="101"/>
      <c r="BM374" s="101"/>
      <c r="BN374" s="101"/>
      <c r="BO374" s="101"/>
      <c r="BP374" s="101"/>
      <c r="BQ374" s="101"/>
      <c r="BR374" s="104"/>
      <c r="BS374" s="104"/>
      <c r="BT374" s="104"/>
      <c r="BU374" s="104"/>
      <c r="BV374" s="104"/>
      <c r="BW374" s="104"/>
      <c r="BX374" s="104"/>
      <c r="BY374" s="104"/>
      <c r="BZ374" s="104"/>
      <c r="CA374" s="104"/>
      <c r="CB374" s="104"/>
      <c r="CC374" s="104"/>
      <c r="CD374" s="104"/>
      <c r="CE374" s="104"/>
      <c r="CF374" s="104"/>
      <c r="CG374" s="104"/>
      <c r="CH374" s="104"/>
      <c r="CI374" s="104"/>
      <c r="CJ374" s="104"/>
      <c r="CK374" s="104"/>
      <c r="CL374" s="104"/>
      <c r="CM374" s="104"/>
      <c r="CN374" s="98"/>
      <c r="CP374" s="101"/>
      <c r="CQ374" s="101"/>
      <c r="CR374" s="101"/>
      <c r="CS374" s="101"/>
      <c r="CT374" s="101"/>
      <c r="FJ374" s="103"/>
      <c r="FL374" s="103"/>
      <c r="FN374" s="103"/>
      <c r="FP374" s="103"/>
    </row>
    <row r="375" spans="2:172" x14ac:dyDescent="0.35">
      <c r="B375" s="97"/>
      <c r="G375" s="100"/>
      <c r="K375" s="98"/>
      <c r="L375" s="101"/>
      <c r="M375" s="101"/>
      <c r="N375" s="101"/>
      <c r="O375" s="101"/>
      <c r="P375" s="102"/>
      <c r="Q375" s="101"/>
      <c r="R375" s="98"/>
      <c r="S375" s="98"/>
      <c r="T375" s="98"/>
      <c r="U375" s="98"/>
      <c r="V375" s="98"/>
      <c r="W375" s="98"/>
      <c r="X375" s="103"/>
      <c r="Y375" s="103"/>
      <c r="Z375" s="103"/>
      <c r="AA375" s="103"/>
      <c r="AB375" s="103"/>
      <c r="AC375" s="103"/>
      <c r="AD375" s="103"/>
      <c r="AE375" s="101"/>
      <c r="AF375" s="101"/>
      <c r="AG375" s="101"/>
      <c r="AH375" s="101"/>
      <c r="AI375" s="101"/>
      <c r="AJ375" s="101"/>
      <c r="AK375" s="101"/>
      <c r="AL375" s="103"/>
      <c r="AM375" s="103"/>
      <c r="AN375" s="103"/>
      <c r="AO375" s="103"/>
      <c r="AP375" s="103"/>
      <c r="AQ375" s="103"/>
      <c r="AR375" s="103"/>
      <c r="AS375" s="101"/>
      <c r="AT375" s="101"/>
      <c r="AU375" s="101"/>
      <c r="AV375" s="101"/>
      <c r="AW375" s="101"/>
      <c r="AX375" s="101"/>
      <c r="AY375" s="101"/>
      <c r="AZ375" s="103"/>
      <c r="BA375" s="103"/>
      <c r="BB375" s="103"/>
      <c r="BC375" s="101"/>
      <c r="BD375" s="101"/>
      <c r="BE375" s="101"/>
      <c r="BF375" s="101"/>
      <c r="BG375" s="101"/>
      <c r="BK375" s="101"/>
      <c r="BL375" s="101"/>
      <c r="BM375" s="101"/>
      <c r="BN375" s="101"/>
      <c r="BO375" s="101"/>
      <c r="BP375" s="101"/>
      <c r="BQ375" s="101"/>
      <c r="BR375" s="104"/>
      <c r="BS375" s="104"/>
      <c r="BT375" s="104"/>
      <c r="BU375" s="104"/>
      <c r="BV375" s="104"/>
      <c r="BW375" s="104"/>
      <c r="BX375" s="104"/>
      <c r="BY375" s="104"/>
      <c r="BZ375" s="104"/>
      <c r="CA375" s="104"/>
      <c r="CB375" s="104"/>
      <c r="CC375" s="104"/>
      <c r="CD375" s="104"/>
      <c r="CE375" s="104"/>
      <c r="CF375" s="104"/>
      <c r="CG375" s="104"/>
      <c r="CH375" s="104"/>
      <c r="CI375" s="104"/>
      <c r="CJ375" s="104"/>
      <c r="CK375" s="104"/>
      <c r="CL375" s="104"/>
      <c r="CM375" s="104"/>
      <c r="CN375" s="98"/>
      <c r="CP375" s="101"/>
      <c r="CQ375" s="101"/>
      <c r="CR375" s="101"/>
      <c r="CS375" s="101"/>
      <c r="CT375" s="101"/>
      <c r="FJ375" s="103"/>
      <c r="FL375" s="103"/>
      <c r="FN375" s="103"/>
      <c r="FP375" s="103"/>
    </row>
    <row r="376" spans="2:172" x14ac:dyDescent="0.35">
      <c r="B376" s="97"/>
      <c r="G376" s="100"/>
      <c r="K376" s="98"/>
      <c r="L376" s="101"/>
      <c r="M376" s="101"/>
      <c r="N376" s="101"/>
      <c r="O376" s="101"/>
      <c r="P376" s="102"/>
      <c r="Q376" s="101"/>
      <c r="R376" s="98"/>
      <c r="S376" s="98"/>
      <c r="T376" s="98"/>
      <c r="U376" s="98"/>
      <c r="V376" s="98"/>
      <c r="W376" s="98"/>
      <c r="X376" s="103"/>
      <c r="Y376" s="103"/>
      <c r="Z376" s="103"/>
      <c r="AA376" s="103"/>
      <c r="AB376" s="103"/>
      <c r="AC376" s="103"/>
      <c r="AD376" s="103"/>
      <c r="AE376" s="101"/>
      <c r="AF376" s="101"/>
      <c r="AG376" s="101"/>
      <c r="AH376" s="101"/>
      <c r="AI376" s="101"/>
      <c r="AJ376" s="101"/>
      <c r="AK376" s="101"/>
      <c r="AL376" s="103"/>
      <c r="AM376" s="103"/>
      <c r="AN376" s="103"/>
      <c r="AO376" s="103"/>
      <c r="AP376" s="103"/>
      <c r="AQ376" s="103"/>
      <c r="AR376" s="103"/>
      <c r="AS376" s="101"/>
      <c r="AT376" s="101"/>
      <c r="AU376" s="101"/>
      <c r="AV376" s="101"/>
      <c r="AW376" s="101"/>
      <c r="AX376" s="101"/>
      <c r="AY376" s="101"/>
      <c r="AZ376" s="103"/>
      <c r="BA376" s="103"/>
      <c r="BB376" s="103"/>
      <c r="BC376" s="101"/>
      <c r="BD376" s="101"/>
      <c r="BE376" s="101"/>
      <c r="BF376" s="101"/>
      <c r="BG376" s="101"/>
      <c r="BK376" s="101"/>
      <c r="BL376" s="101"/>
      <c r="BM376" s="101"/>
      <c r="BN376" s="101"/>
      <c r="BO376" s="101"/>
      <c r="BP376" s="101"/>
      <c r="BQ376" s="101"/>
      <c r="BR376" s="104"/>
      <c r="BS376" s="104"/>
      <c r="BT376" s="104"/>
      <c r="BU376" s="104"/>
      <c r="BV376" s="104"/>
      <c r="BW376" s="104"/>
      <c r="BX376" s="104"/>
      <c r="BY376" s="104"/>
      <c r="BZ376" s="104"/>
      <c r="CA376" s="104"/>
      <c r="CB376" s="104"/>
      <c r="CC376" s="104"/>
      <c r="CD376" s="104"/>
      <c r="CE376" s="104"/>
      <c r="CF376" s="104"/>
      <c r="CG376" s="104"/>
      <c r="CH376" s="104"/>
      <c r="CI376" s="104"/>
      <c r="CJ376" s="104"/>
      <c r="CK376" s="104"/>
      <c r="CL376" s="104"/>
      <c r="CM376" s="104"/>
      <c r="CN376" s="98"/>
      <c r="CP376" s="101"/>
      <c r="CQ376" s="101"/>
      <c r="CR376" s="101"/>
      <c r="CS376" s="101"/>
      <c r="CT376" s="101"/>
      <c r="FJ376" s="103"/>
      <c r="FL376" s="103"/>
      <c r="FN376" s="103"/>
      <c r="FP376" s="103"/>
    </row>
    <row r="377" spans="2:172" x14ac:dyDescent="0.35">
      <c r="B377" s="97"/>
      <c r="G377" s="100"/>
      <c r="K377" s="98"/>
      <c r="L377" s="101"/>
      <c r="M377" s="101"/>
      <c r="N377" s="101"/>
      <c r="O377" s="101"/>
      <c r="P377" s="102"/>
      <c r="Q377" s="101"/>
      <c r="R377" s="98"/>
      <c r="S377" s="98"/>
      <c r="T377" s="98"/>
      <c r="U377" s="98"/>
      <c r="V377" s="98"/>
      <c r="W377" s="98"/>
      <c r="X377" s="103"/>
      <c r="Y377" s="103"/>
      <c r="Z377" s="103"/>
      <c r="AA377" s="103"/>
      <c r="AB377" s="103"/>
      <c r="AC377" s="103"/>
      <c r="AD377" s="103"/>
      <c r="AE377" s="101"/>
      <c r="AF377" s="101"/>
      <c r="AG377" s="101"/>
      <c r="AH377" s="101"/>
      <c r="AI377" s="101"/>
      <c r="AJ377" s="101"/>
      <c r="AK377" s="101"/>
      <c r="AL377" s="103"/>
      <c r="AM377" s="103"/>
      <c r="AN377" s="103"/>
      <c r="AO377" s="103"/>
      <c r="AP377" s="103"/>
      <c r="AQ377" s="103"/>
      <c r="AR377" s="103"/>
      <c r="AS377" s="101"/>
      <c r="AT377" s="101"/>
      <c r="AU377" s="101"/>
      <c r="AV377" s="101"/>
      <c r="AW377" s="101"/>
      <c r="AX377" s="101"/>
      <c r="AY377" s="101"/>
      <c r="AZ377" s="103"/>
      <c r="BA377" s="103"/>
      <c r="BB377" s="103"/>
      <c r="BC377" s="101"/>
      <c r="BD377" s="101"/>
      <c r="BE377" s="101"/>
      <c r="BF377" s="101"/>
      <c r="BG377" s="101"/>
      <c r="BK377" s="101"/>
      <c r="BL377" s="101"/>
      <c r="BM377" s="101"/>
      <c r="BN377" s="101"/>
      <c r="BO377" s="101"/>
      <c r="BP377" s="101"/>
      <c r="BQ377" s="101"/>
      <c r="BR377" s="104"/>
      <c r="BS377" s="104"/>
      <c r="BT377" s="104"/>
      <c r="BU377" s="104"/>
      <c r="BV377" s="104"/>
      <c r="BW377" s="104"/>
      <c r="BX377" s="104"/>
      <c r="BY377" s="104"/>
      <c r="BZ377" s="104"/>
      <c r="CA377" s="104"/>
      <c r="CB377" s="104"/>
      <c r="CC377" s="104"/>
      <c r="CD377" s="104"/>
      <c r="CE377" s="104"/>
      <c r="CF377" s="104"/>
      <c r="CG377" s="104"/>
      <c r="CH377" s="104"/>
      <c r="CI377" s="104"/>
      <c r="CJ377" s="104"/>
      <c r="CK377" s="104"/>
      <c r="CL377" s="104"/>
      <c r="CM377" s="104"/>
      <c r="CN377" s="98"/>
      <c r="CP377" s="101"/>
      <c r="CQ377" s="101"/>
      <c r="CR377" s="101"/>
      <c r="CS377" s="101"/>
      <c r="CT377" s="101"/>
      <c r="FJ377" s="103"/>
      <c r="FL377" s="103"/>
      <c r="FN377" s="103"/>
      <c r="FP377" s="103"/>
    </row>
    <row r="378" spans="2:172" x14ac:dyDescent="0.35">
      <c r="B378" s="97"/>
      <c r="G378" s="100"/>
      <c r="K378" s="98"/>
      <c r="L378" s="101"/>
      <c r="M378" s="101"/>
      <c r="N378" s="101"/>
      <c r="O378" s="101"/>
      <c r="P378" s="102"/>
      <c r="Q378" s="101"/>
      <c r="R378" s="98"/>
      <c r="S378" s="98"/>
      <c r="T378" s="98"/>
      <c r="U378" s="98"/>
      <c r="V378" s="98"/>
      <c r="W378" s="98"/>
      <c r="X378" s="103"/>
      <c r="Y378" s="103"/>
      <c r="Z378" s="103"/>
      <c r="AA378" s="103"/>
      <c r="AB378" s="103"/>
      <c r="AC378" s="103"/>
      <c r="AD378" s="103"/>
      <c r="AE378" s="101"/>
      <c r="AF378" s="101"/>
      <c r="AG378" s="101"/>
      <c r="AH378" s="101"/>
      <c r="AI378" s="101"/>
      <c r="AJ378" s="101"/>
      <c r="AK378" s="101"/>
      <c r="AL378" s="103"/>
      <c r="AM378" s="103"/>
      <c r="AN378" s="103"/>
      <c r="AO378" s="103"/>
      <c r="AP378" s="103"/>
      <c r="AQ378" s="103"/>
      <c r="AR378" s="103"/>
      <c r="AS378" s="101"/>
      <c r="AT378" s="101"/>
      <c r="AU378" s="101"/>
      <c r="AV378" s="101"/>
      <c r="AW378" s="101"/>
      <c r="AX378" s="101"/>
      <c r="AY378" s="101"/>
      <c r="AZ378" s="103"/>
      <c r="BA378" s="103"/>
      <c r="BB378" s="103"/>
      <c r="BC378" s="101"/>
      <c r="BD378" s="101"/>
      <c r="BE378" s="101"/>
      <c r="BF378" s="101"/>
      <c r="BG378" s="101"/>
      <c r="BK378" s="101"/>
      <c r="BL378" s="101"/>
      <c r="BM378" s="101"/>
      <c r="BN378" s="101"/>
      <c r="BO378" s="101"/>
      <c r="BP378" s="101"/>
      <c r="BQ378" s="101"/>
      <c r="BR378" s="104"/>
      <c r="BS378" s="104"/>
      <c r="BT378" s="104"/>
      <c r="BU378" s="104"/>
      <c r="BV378" s="104"/>
      <c r="BW378" s="104"/>
      <c r="BX378" s="104"/>
      <c r="BY378" s="104"/>
      <c r="BZ378" s="104"/>
      <c r="CA378" s="104"/>
      <c r="CB378" s="104"/>
      <c r="CC378" s="104"/>
      <c r="CD378" s="104"/>
      <c r="CE378" s="104"/>
      <c r="CF378" s="104"/>
      <c r="CG378" s="104"/>
      <c r="CH378" s="104"/>
      <c r="CI378" s="104"/>
      <c r="CJ378" s="104"/>
      <c r="CK378" s="104"/>
      <c r="CL378" s="104"/>
      <c r="CM378" s="104"/>
      <c r="CN378" s="98"/>
      <c r="CP378" s="101"/>
      <c r="CQ378" s="101"/>
      <c r="CR378" s="101"/>
      <c r="CS378" s="101"/>
      <c r="CT378" s="101"/>
      <c r="FJ378" s="103"/>
      <c r="FL378" s="103"/>
      <c r="FN378" s="103"/>
      <c r="FP378" s="103"/>
    </row>
    <row r="379" spans="2:172" x14ac:dyDescent="0.35">
      <c r="B379" s="97"/>
      <c r="G379" s="100"/>
      <c r="K379" s="98"/>
      <c r="L379" s="101"/>
      <c r="M379" s="101"/>
      <c r="N379" s="101"/>
      <c r="O379" s="101"/>
      <c r="P379" s="102"/>
      <c r="Q379" s="101"/>
      <c r="R379" s="98"/>
      <c r="S379" s="98"/>
      <c r="T379" s="98"/>
      <c r="U379" s="98"/>
      <c r="V379" s="98"/>
      <c r="W379" s="98"/>
      <c r="X379" s="103"/>
      <c r="Y379" s="103"/>
      <c r="Z379" s="103"/>
      <c r="AA379" s="103"/>
      <c r="AB379" s="103"/>
      <c r="AC379" s="103"/>
      <c r="AD379" s="103"/>
      <c r="AE379" s="101"/>
      <c r="AF379" s="101"/>
      <c r="AG379" s="101"/>
      <c r="AH379" s="101"/>
      <c r="AI379" s="101"/>
      <c r="AJ379" s="101"/>
      <c r="AK379" s="101"/>
      <c r="AL379" s="103"/>
      <c r="AM379" s="103"/>
      <c r="AN379" s="103"/>
      <c r="AO379" s="103"/>
      <c r="AP379" s="103"/>
      <c r="AQ379" s="103"/>
      <c r="AR379" s="103"/>
      <c r="AS379" s="101"/>
      <c r="AT379" s="101"/>
      <c r="AU379" s="101"/>
      <c r="AV379" s="101"/>
      <c r="AW379" s="101"/>
      <c r="AX379" s="101"/>
      <c r="AY379" s="101"/>
      <c r="AZ379" s="103"/>
      <c r="BA379" s="103"/>
      <c r="BB379" s="103"/>
      <c r="BC379" s="101"/>
      <c r="BD379" s="101"/>
      <c r="BE379" s="101"/>
      <c r="BF379" s="101"/>
      <c r="BG379" s="101"/>
      <c r="BK379" s="101"/>
      <c r="BL379" s="101"/>
      <c r="BM379" s="101"/>
      <c r="BN379" s="101"/>
      <c r="BO379" s="101"/>
      <c r="BP379" s="101"/>
      <c r="BQ379" s="101"/>
      <c r="BR379" s="104"/>
      <c r="BS379" s="104"/>
      <c r="BT379" s="104"/>
      <c r="BU379" s="104"/>
      <c r="BV379" s="104"/>
      <c r="BW379" s="104"/>
      <c r="BX379" s="104"/>
      <c r="BY379" s="104"/>
      <c r="BZ379" s="104"/>
      <c r="CA379" s="104"/>
      <c r="CB379" s="104"/>
      <c r="CC379" s="104"/>
      <c r="CD379" s="104"/>
      <c r="CE379" s="104"/>
      <c r="CF379" s="104"/>
      <c r="CG379" s="104"/>
      <c r="CH379" s="104"/>
      <c r="CI379" s="104"/>
      <c r="CJ379" s="104"/>
      <c r="CK379" s="104"/>
      <c r="CL379" s="104"/>
      <c r="CM379" s="104"/>
      <c r="CN379" s="98"/>
      <c r="CP379" s="101"/>
      <c r="CQ379" s="101"/>
      <c r="CR379" s="101"/>
      <c r="CS379" s="101"/>
      <c r="CT379" s="101"/>
      <c r="FJ379" s="103"/>
      <c r="FL379" s="103"/>
      <c r="FN379" s="103"/>
      <c r="FP379" s="103"/>
    </row>
    <row r="380" spans="2:172" x14ac:dyDescent="0.35">
      <c r="B380" s="97"/>
      <c r="G380" s="100"/>
      <c r="K380" s="98"/>
      <c r="L380" s="101"/>
      <c r="M380" s="101"/>
      <c r="N380" s="101"/>
      <c r="O380" s="101"/>
      <c r="P380" s="102"/>
      <c r="Q380" s="101"/>
      <c r="R380" s="98"/>
      <c r="S380" s="98"/>
      <c r="T380" s="98"/>
      <c r="U380" s="98"/>
      <c r="V380" s="98"/>
      <c r="W380" s="98"/>
      <c r="X380" s="103"/>
      <c r="Y380" s="103"/>
      <c r="Z380" s="103"/>
      <c r="AA380" s="103"/>
      <c r="AB380" s="103"/>
      <c r="AC380" s="103"/>
      <c r="AD380" s="103"/>
      <c r="AE380" s="101"/>
      <c r="AF380" s="101"/>
      <c r="AG380" s="101"/>
      <c r="AH380" s="101"/>
      <c r="AI380" s="101"/>
      <c r="AJ380" s="101"/>
      <c r="AK380" s="101"/>
      <c r="AL380" s="103"/>
      <c r="AM380" s="103"/>
      <c r="AN380" s="103"/>
      <c r="AO380" s="103"/>
      <c r="AP380" s="103"/>
      <c r="AQ380" s="103"/>
      <c r="AR380" s="103"/>
      <c r="AS380" s="101"/>
      <c r="AT380" s="101"/>
      <c r="AU380" s="101"/>
      <c r="AV380" s="101"/>
      <c r="AW380" s="101"/>
      <c r="AX380" s="101"/>
      <c r="AY380" s="101"/>
      <c r="AZ380" s="103"/>
      <c r="BA380" s="103"/>
      <c r="BB380" s="103"/>
      <c r="BC380" s="101"/>
      <c r="BD380" s="101"/>
      <c r="BE380" s="101"/>
      <c r="BF380" s="101"/>
      <c r="BG380" s="101"/>
      <c r="BK380" s="101"/>
      <c r="BL380" s="101"/>
      <c r="BM380" s="101"/>
      <c r="BN380" s="101"/>
      <c r="BO380" s="101"/>
      <c r="BP380" s="101"/>
      <c r="BQ380" s="101"/>
      <c r="BR380" s="104"/>
      <c r="BS380" s="104"/>
      <c r="BT380" s="104"/>
      <c r="BU380" s="104"/>
      <c r="BV380" s="104"/>
      <c r="BW380" s="104"/>
      <c r="BX380" s="104"/>
      <c r="BY380" s="104"/>
      <c r="BZ380" s="104"/>
      <c r="CA380" s="104"/>
      <c r="CB380" s="104"/>
      <c r="CC380" s="104"/>
      <c r="CD380" s="104"/>
      <c r="CE380" s="104"/>
      <c r="CF380" s="104"/>
      <c r="CG380" s="104"/>
      <c r="CH380" s="104"/>
      <c r="CI380" s="104"/>
      <c r="CJ380" s="104"/>
      <c r="CK380" s="104"/>
      <c r="CL380" s="104"/>
      <c r="CM380" s="104"/>
      <c r="CN380" s="98"/>
      <c r="CP380" s="101"/>
      <c r="CQ380" s="101"/>
      <c r="CR380" s="101"/>
      <c r="CS380" s="101"/>
      <c r="CT380" s="101"/>
      <c r="FJ380" s="103"/>
      <c r="FL380" s="103"/>
      <c r="FN380" s="103"/>
      <c r="FP380" s="103"/>
    </row>
    <row r="381" spans="2:172" x14ac:dyDescent="0.35">
      <c r="B381" s="97"/>
      <c r="G381" s="100"/>
      <c r="K381" s="98"/>
      <c r="L381" s="101"/>
      <c r="M381" s="101"/>
      <c r="N381" s="101"/>
      <c r="O381" s="101"/>
      <c r="P381" s="102"/>
      <c r="Q381" s="101"/>
      <c r="R381" s="98"/>
      <c r="S381" s="98"/>
      <c r="T381" s="98"/>
      <c r="U381" s="98"/>
      <c r="V381" s="98"/>
      <c r="W381" s="98"/>
      <c r="X381" s="103"/>
      <c r="Y381" s="103"/>
      <c r="Z381" s="103"/>
      <c r="AA381" s="103"/>
      <c r="AB381" s="103"/>
      <c r="AC381" s="103"/>
      <c r="AD381" s="103"/>
      <c r="AE381" s="101"/>
      <c r="AF381" s="101"/>
      <c r="AG381" s="101"/>
      <c r="AH381" s="101"/>
      <c r="AI381" s="101"/>
      <c r="AJ381" s="101"/>
      <c r="AK381" s="101"/>
      <c r="AL381" s="103"/>
      <c r="AM381" s="103"/>
      <c r="AN381" s="103"/>
      <c r="AO381" s="103"/>
      <c r="AP381" s="103"/>
      <c r="AQ381" s="103"/>
      <c r="AR381" s="103"/>
      <c r="AS381" s="101"/>
      <c r="AT381" s="101"/>
      <c r="AU381" s="101"/>
      <c r="AV381" s="101"/>
      <c r="AW381" s="101"/>
      <c r="AX381" s="101"/>
      <c r="AY381" s="101"/>
      <c r="AZ381" s="103"/>
      <c r="BA381" s="103"/>
      <c r="BB381" s="103"/>
      <c r="BC381" s="101"/>
      <c r="BD381" s="101"/>
      <c r="BE381" s="101"/>
      <c r="BF381" s="101"/>
      <c r="BG381" s="101"/>
      <c r="BK381" s="101"/>
      <c r="BL381" s="101"/>
      <c r="BM381" s="101"/>
      <c r="BN381" s="101"/>
      <c r="BO381" s="101"/>
      <c r="BP381" s="101"/>
      <c r="BQ381" s="101"/>
      <c r="BR381" s="104"/>
      <c r="BS381" s="104"/>
      <c r="BT381" s="104"/>
      <c r="BU381" s="104"/>
      <c r="BV381" s="104"/>
      <c r="BW381" s="104"/>
      <c r="BX381" s="104"/>
      <c r="BY381" s="104"/>
      <c r="BZ381" s="104"/>
      <c r="CA381" s="104"/>
      <c r="CB381" s="104"/>
      <c r="CC381" s="104"/>
      <c r="CD381" s="104"/>
      <c r="CE381" s="104"/>
      <c r="CF381" s="104"/>
      <c r="CG381" s="104"/>
      <c r="CH381" s="104"/>
      <c r="CI381" s="104"/>
      <c r="CJ381" s="104"/>
      <c r="CK381" s="104"/>
      <c r="CL381" s="104"/>
      <c r="CM381" s="104"/>
      <c r="CN381" s="98"/>
      <c r="CP381" s="101"/>
      <c r="CQ381" s="101"/>
      <c r="CR381" s="101"/>
      <c r="CS381" s="101"/>
      <c r="CT381" s="101"/>
      <c r="FJ381" s="103"/>
      <c r="FL381" s="103"/>
      <c r="FN381" s="103"/>
      <c r="FP381" s="103"/>
    </row>
    <row r="382" spans="2:172" x14ac:dyDescent="0.35">
      <c r="B382" s="97"/>
      <c r="G382" s="100"/>
      <c r="K382" s="98"/>
      <c r="L382" s="101"/>
      <c r="M382" s="101"/>
      <c r="N382" s="101"/>
      <c r="O382" s="101"/>
      <c r="P382" s="102"/>
      <c r="Q382" s="101"/>
      <c r="R382" s="98"/>
      <c r="S382" s="98"/>
      <c r="T382" s="98"/>
      <c r="U382" s="98"/>
      <c r="V382" s="98"/>
      <c r="W382" s="98"/>
      <c r="X382" s="103"/>
      <c r="Y382" s="103"/>
      <c r="Z382" s="103"/>
      <c r="AA382" s="103"/>
      <c r="AB382" s="103"/>
      <c r="AC382" s="103"/>
      <c r="AD382" s="103"/>
      <c r="AE382" s="101"/>
      <c r="AF382" s="101"/>
      <c r="AG382" s="101"/>
      <c r="AH382" s="101"/>
      <c r="AI382" s="101"/>
      <c r="AJ382" s="101"/>
      <c r="AK382" s="101"/>
      <c r="AL382" s="103"/>
      <c r="AM382" s="103"/>
      <c r="AN382" s="103"/>
      <c r="AO382" s="103"/>
      <c r="AP382" s="103"/>
      <c r="AQ382" s="103"/>
      <c r="AR382" s="103"/>
      <c r="AS382" s="101"/>
      <c r="AT382" s="101"/>
      <c r="AU382" s="101"/>
      <c r="AV382" s="101"/>
      <c r="AW382" s="101"/>
      <c r="AX382" s="101"/>
      <c r="AY382" s="101"/>
      <c r="AZ382" s="103"/>
      <c r="BA382" s="103"/>
      <c r="BB382" s="103"/>
      <c r="BC382" s="101"/>
      <c r="BD382" s="101"/>
      <c r="BE382" s="101"/>
      <c r="BF382" s="101"/>
      <c r="BG382" s="101"/>
      <c r="BK382" s="101"/>
      <c r="BL382" s="101"/>
      <c r="BM382" s="101"/>
      <c r="BN382" s="101"/>
      <c r="BO382" s="101"/>
      <c r="BP382" s="101"/>
      <c r="BQ382" s="101"/>
      <c r="BR382" s="104"/>
      <c r="BS382" s="104"/>
      <c r="BT382" s="104"/>
      <c r="BU382" s="104"/>
      <c r="BV382" s="104"/>
      <c r="BW382" s="104"/>
      <c r="BX382" s="104"/>
      <c r="BY382" s="104"/>
      <c r="BZ382" s="104"/>
      <c r="CA382" s="104"/>
      <c r="CB382" s="104"/>
      <c r="CC382" s="104"/>
      <c r="CD382" s="104"/>
      <c r="CE382" s="104"/>
      <c r="CF382" s="104"/>
      <c r="CG382" s="104"/>
      <c r="CH382" s="104"/>
      <c r="CI382" s="104"/>
      <c r="CJ382" s="104"/>
      <c r="CK382" s="104"/>
      <c r="CL382" s="104"/>
      <c r="CM382" s="104"/>
      <c r="CN382" s="98"/>
      <c r="CP382" s="101"/>
      <c r="CQ382" s="101"/>
      <c r="CR382" s="101"/>
      <c r="CS382" s="101"/>
      <c r="CT382" s="101"/>
      <c r="FJ382" s="103"/>
      <c r="FL382" s="103"/>
      <c r="FN382" s="103"/>
      <c r="FP382" s="103"/>
    </row>
    <row r="383" spans="2:172" x14ac:dyDescent="0.35">
      <c r="B383" s="97"/>
      <c r="G383" s="100"/>
      <c r="K383" s="98"/>
      <c r="L383" s="101"/>
      <c r="M383" s="101"/>
      <c r="N383" s="101"/>
      <c r="O383" s="101"/>
      <c r="P383" s="102"/>
      <c r="Q383" s="101"/>
      <c r="R383" s="98"/>
      <c r="S383" s="98"/>
      <c r="T383" s="98"/>
      <c r="U383" s="98"/>
      <c r="V383" s="98"/>
      <c r="W383" s="98"/>
      <c r="X383" s="103"/>
      <c r="Y383" s="103"/>
      <c r="Z383" s="103"/>
      <c r="AA383" s="103"/>
      <c r="AB383" s="103"/>
      <c r="AC383" s="103"/>
      <c r="AD383" s="103"/>
      <c r="AE383" s="101"/>
      <c r="AF383" s="101"/>
      <c r="AG383" s="101"/>
      <c r="AH383" s="101"/>
      <c r="AI383" s="101"/>
      <c r="AJ383" s="101"/>
      <c r="AK383" s="101"/>
      <c r="AL383" s="103"/>
      <c r="AM383" s="103"/>
      <c r="AN383" s="103"/>
      <c r="AO383" s="103"/>
      <c r="AP383" s="103"/>
      <c r="AQ383" s="103"/>
      <c r="AR383" s="103"/>
      <c r="AS383" s="101"/>
      <c r="AT383" s="101"/>
      <c r="AU383" s="101"/>
      <c r="AV383" s="101"/>
      <c r="AW383" s="101"/>
      <c r="AX383" s="101"/>
      <c r="AY383" s="101"/>
      <c r="AZ383" s="103"/>
      <c r="BA383" s="103"/>
      <c r="BB383" s="103"/>
      <c r="BC383" s="101"/>
      <c r="BD383" s="101"/>
      <c r="BE383" s="101"/>
      <c r="BF383" s="101"/>
      <c r="BG383" s="101"/>
      <c r="BK383" s="101"/>
      <c r="BL383" s="101"/>
      <c r="BM383" s="101"/>
      <c r="BN383" s="101"/>
      <c r="BO383" s="101"/>
      <c r="BP383" s="101"/>
      <c r="BQ383" s="101"/>
      <c r="BR383" s="104"/>
      <c r="BS383" s="104"/>
      <c r="BT383" s="104"/>
      <c r="BU383" s="104"/>
      <c r="BV383" s="104"/>
      <c r="BW383" s="104"/>
      <c r="BX383" s="104"/>
      <c r="BY383" s="104"/>
      <c r="BZ383" s="104"/>
      <c r="CA383" s="104"/>
      <c r="CB383" s="104"/>
      <c r="CC383" s="104"/>
      <c r="CD383" s="104"/>
      <c r="CE383" s="104"/>
      <c r="CF383" s="104"/>
      <c r="CG383" s="104"/>
      <c r="CH383" s="104"/>
      <c r="CI383" s="104"/>
      <c r="CJ383" s="104"/>
      <c r="CK383" s="104"/>
      <c r="CL383" s="104"/>
      <c r="CM383" s="104"/>
      <c r="CN383" s="98"/>
      <c r="CP383" s="101"/>
      <c r="CQ383" s="101"/>
      <c r="CR383" s="101"/>
      <c r="CS383" s="101"/>
      <c r="CT383" s="101"/>
      <c r="FJ383" s="103"/>
      <c r="FL383" s="103"/>
      <c r="FN383" s="103"/>
      <c r="FP383" s="103"/>
    </row>
    <row r="384" spans="2:172" x14ac:dyDescent="0.35">
      <c r="B384" s="97"/>
      <c r="G384" s="100"/>
      <c r="K384" s="98"/>
      <c r="L384" s="101"/>
      <c r="M384" s="101"/>
      <c r="N384" s="101"/>
      <c r="O384" s="101"/>
      <c r="P384" s="102"/>
      <c r="Q384" s="101"/>
      <c r="R384" s="98"/>
      <c r="S384" s="98"/>
      <c r="T384" s="98"/>
      <c r="U384" s="98"/>
      <c r="V384" s="98"/>
      <c r="W384" s="98"/>
      <c r="X384" s="103"/>
      <c r="Y384" s="103"/>
      <c r="Z384" s="103"/>
      <c r="AA384" s="103"/>
      <c r="AB384" s="103"/>
      <c r="AC384" s="103"/>
      <c r="AD384" s="103"/>
      <c r="AE384" s="101"/>
      <c r="AF384" s="101"/>
      <c r="AG384" s="101"/>
      <c r="AH384" s="101"/>
      <c r="AI384" s="101"/>
      <c r="AJ384" s="101"/>
      <c r="AK384" s="101"/>
      <c r="AL384" s="103"/>
      <c r="AM384" s="103"/>
      <c r="AN384" s="103"/>
      <c r="AO384" s="103"/>
      <c r="AP384" s="103"/>
      <c r="AQ384" s="103"/>
      <c r="AR384" s="103"/>
      <c r="AS384" s="101"/>
      <c r="AT384" s="101"/>
      <c r="AU384" s="101"/>
      <c r="AV384" s="101"/>
      <c r="AW384" s="101"/>
      <c r="AX384" s="101"/>
      <c r="AY384" s="101"/>
      <c r="AZ384" s="103"/>
      <c r="BA384" s="103"/>
      <c r="BB384" s="103"/>
      <c r="BC384" s="101"/>
      <c r="BD384" s="101"/>
      <c r="BE384" s="101"/>
      <c r="BF384" s="101"/>
      <c r="BG384" s="101"/>
      <c r="BK384" s="101"/>
      <c r="BL384" s="101"/>
      <c r="BM384" s="101"/>
      <c r="BN384" s="101"/>
      <c r="BO384" s="101"/>
      <c r="BP384" s="101"/>
      <c r="BQ384" s="101"/>
      <c r="BR384" s="104"/>
      <c r="BS384" s="104"/>
      <c r="BT384" s="104"/>
      <c r="BU384" s="104"/>
      <c r="BV384" s="104"/>
      <c r="BW384" s="104"/>
      <c r="BX384" s="104"/>
      <c r="BY384" s="104"/>
      <c r="BZ384" s="104"/>
      <c r="CA384" s="104"/>
      <c r="CB384" s="104"/>
      <c r="CC384" s="104"/>
      <c r="CD384" s="104"/>
      <c r="CE384" s="104"/>
      <c r="CF384" s="104"/>
      <c r="CG384" s="104"/>
      <c r="CH384" s="104"/>
      <c r="CI384" s="104"/>
      <c r="CJ384" s="104"/>
      <c r="CK384" s="104"/>
      <c r="CL384" s="104"/>
      <c r="CM384" s="104"/>
      <c r="CN384" s="98"/>
      <c r="CP384" s="101"/>
      <c r="CQ384" s="101"/>
      <c r="CR384" s="101"/>
      <c r="CS384" s="101"/>
      <c r="CT384" s="101"/>
      <c r="FJ384" s="103"/>
      <c r="FL384" s="103"/>
      <c r="FN384" s="103"/>
      <c r="FP384" s="103"/>
    </row>
    <row r="385" spans="2:172" x14ac:dyDescent="0.35">
      <c r="B385" s="97"/>
      <c r="G385" s="100"/>
      <c r="K385" s="98"/>
      <c r="L385" s="101"/>
      <c r="M385" s="101"/>
      <c r="N385" s="101"/>
      <c r="O385" s="101"/>
      <c r="P385" s="102"/>
      <c r="Q385" s="101"/>
      <c r="R385" s="98"/>
      <c r="S385" s="98"/>
      <c r="T385" s="98"/>
      <c r="U385" s="98"/>
      <c r="V385" s="98"/>
      <c r="W385" s="98"/>
      <c r="X385" s="103"/>
      <c r="Y385" s="103"/>
      <c r="Z385" s="103"/>
      <c r="AA385" s="103"/>
      <c r="AB385" s="103"/>
      <c r="AC385" s="103"/>
      <c r="AD385" s="103"/>
      <c r="AE385" s="101"/>
      <c r="AF385" s="101"/>
      <c r="AG385" s="101"/>
      <c r="AH385" s="101"/>
      <c r="AI385" s="101"/>
      <c r="AJ385" s="101"/>
      <c r="AK385" s="101"/>
      <c r="AL385" s="103"/>
      <c r="AM385" s="103"/>
      <c r="AN385" s="103"/>
      <c r="AO385" s="103"/>
      <c r="AP385" s="103"/>
      <c r="AQ385" s="103"/>
      <c r="AR385" s="103"/>
      <c r="AS385" s="101"/>
      <c r="AT385" s="101"/>
      <c r="AU385" s="101"/>
      <c r="AV385" s="101"/>
      <c r="AW385" s="101"/>
      <c r="AX385" s="101"/>
      <c r="AY385" s="101"/>
      <c r="AZ385" s="103"/>
      <c r="BA385" s="103"/>
      <c r="BB385" s="103"/>
      <c r="BC385" s="101"/>
      <c r="BD385" s="101"/>
      <c r="BE385" s="101"/>
      <c r="BF385" s="101"/>
      <c r="BG385" s="101"/>
      <c r="BK385" s="101"/>
      <c r="BL385" s="101"/>
      <c r="BM385" s="101"/>
      <c r="BN385" s="101"/>
      <c r="BO385" s="101"/>
      <c r="BP385" s="101"/>
      <c r="BQ385" s="101"/>
      <c r="BR385" s="104"/>
      <c r="BS385" s="104"/>
      <c r="BT385" s="104"/>
      <c r="BU385" s="104"/>
      <c r="BV385" s="104"/>
      <c r="BW385" s="104"/>
      <c r="BX385" s="104"/>
      <c r="BY385" s="104"/>
      <c r="BZ385" s="104"/>
      <c r="CA385" s="104"/>
      <c r="CB385" s="104"/>
      <c r="CC385" s="104"/>
      <c r="CD385" s="104"/>
      <c r="CE385" s="104"/>
      <c r="CF385" s="104"/>
      <c r="CG385" s="104"/>
      <c r="CH385" s="104"/>
      <c r="CI385" s="104"/>
      <c r="CJ385" s="104"/>
      <c r="CK385" s="104"/>
      <c r="CL385" s="104"/>
      <c r="CM385" s="104"/>
      <c r="CN385" s="98"/>
      <c r="CP385" s="101"/>
      <c r="CQ385" s="101"/>
      <c r="CR385" s="101"/>
      <c r="CS385" s="101"/>
      <c r="CT385" s="101"/>
      <c r="FJ385" s="103"/>
      <c r="FL385" s="103"/>
      <c r="FN385" s="103"/>
      <c r="FP385" s="103"/>
    </row>
    <row r="386" spans="2:172" x14ac:dyDescent="0.35">
      <c r="B386" s="97"/>
      <c r="G386" s="100"/>
      <c r="K386" s="98"/>
      <c r="L386" s="101"/>
      <c r="M386" s="101"/>
      <c r="N386" s="101"/>
      <c r="O386" s="101"/>
      <c r="P386" s="102"/>
      <c r="Q386" s="101"/>
      <c r="R386" s="98"/>
      <c r="S386" s="98"/>
      <c r="T386" s="98"/>
      <c r="U386" s="98"/>
      <c r="V386" s="98"/>
      <c r="W386" s="98"/>
      <c r="X386" s="103"/>
      <c r="Y386" s="103"/>
      <c r="Z386" s="103"/>
      <c r="AA386" s="103"/>
      <c r="AB386" s="103"/>
      <c r="AC386" s="103"/>
      <c r="AD386" s="103"/>
      <c r="AE386" s="101"/>
      <c r="AF386" s="101"/>
      <c r="AG386" s="101"/>
      <c r="AH386" s="101"/>
      <c r="AI386" s="101"/>
      <c r="AJ386" s="101"/>
      <c r="AK386" s="101"/>
      <c r="AL386" s="103"/>
      <c r="AM386" s="103"/>
      <c r="AN386" s="103"/>
      <c r="AO386" s="103"/>
      <c r="AP386" s="103"/>
      <c r="AQ386" s="103"/>
      <c r="AR386" s="103"/>
      <c r="AS386" s="101"/>
      <c r="AT386" s="101"/>
      <c r="AU386" s="101"/>
      <c r="AV386" s="101"/>
      <c r="AW386" s="101"/>
      <c r="AX386" s="101"/>
      <c r="AY386" s="101"/>
      <c r="AZ386" s="103"/>
      <c r="BA386" s="103"/>
      <c r="BB386" s="103"/>
      <c r="BC386" s="101"/>
      <c r="BD386" s="101"/>
      <c r="BE386" s="101"/>
      <c r="BF386" s="101"/>
      <c r="BG386" s="101"/>
      <c r="BK386" s="101"/>
      <c r="BL386" s="101"/>
      <c r="BM386" s="101"/>
      <c r="BN386" s="101"/>
      <c r="BO386" s="101"/>
      <c r="BP386" s="101"/>
      <c r="BQ386" s="101"/>
      <c r="BR386" s="104"/>
      <c r="BS386" s="104"/>
      <c r="BT386" s="104"/>
      <c r="BU386" s="104"/>
      <c r="BV386" s="104"/>
      <c r="BW386" s="104"/>
      <c r="BX386" s="104"/>
      <c r="BY386" s="104"/>
      <c r="BZ386" s="104"/>
      <c r="CA386" s="104"/>
      <c r="CB386" s="104"/>
      <c r="CC386" s="104"/>
      <c r="CD386" s="104"/>
      <c r="CE386" s="104"/>
      <c r="CF386" s="104"/>
      <c r="CG386" s="104"/>
      <c r="CH386" s="104"/>
      <c r="CI386" s="104"/>
      <c r="CJ386" s="104"/>
      <c r="CK386" s="104"/>
      <c r="CL386" s="104"/>
      <c r="CM386" s="104"/>
      <c r="CN386" s="98"/>
      <c r="CP386" s="101"/>
      <c r="CQ386" s="101"/>
      <c r="CR386" s="101"/>
      <c r="CS386" s="101"/>
      <c r="CT386" s="101"/>
      <c r="FJ386" s="103"/>
      <c r="FL386" s="103"/>
      <c r="FN386" s="103"/>
      <c r="FP386" s="103"/>
    </row>
    <row r="387" spans="2:172" x14ac:dyDescent="0.35">
      <c r="B387" s="97"/>
      <c r="G387" s="100"/>
      <c r="K387" s="98"/>
      <c r="L387" s="101"/>
      <c r="M387" s="101"/>
      <c r="N387" s="101"/>
      <c r="O387" s="101"/>
      <c r="P387" s="102"/>
      <c r="Q387" s="101"/>
      <c r="R387" s="98"/>
      <c r="S387" s="98"/>
      <c r="T387" s="98"/>
      <c r="U387" s="98"/>
      <c r="V387" s="98"/>
      <c r="W387" s="98"/>
      <c r="X387" s="103"/>
      <c r="Y387" s="103"/>
      <c r="Z387" s="103"/>
      <c r="AA387" s="103"/>
      <c r="AB387" s="103"/>
      <c r="AC387" s="103"/>
      <c r="AD387" s="103"/>
      <c r="AE387" s="101"/>
      <c r="AF387" s="101"/>
      <c r="AG387" s="101"/>
      <c r="AH387" s="101"/>
      <c r="AI387" s="101"/>
      <c r="AJ387" s="101"/>
      <c r="AK387" s="101"/>
      <c r="AL387" s="103"/>
      <c r="AM387" s="103"/>
      <c r="AN387" s="103"/>
      <c r="AO387" s="103"/>
      <c r="AP387" s="103"/>
      <c r="AQ387" s="103"/>
      <c r="AR387" s="103"/>
      <c r="AS387" s="101"/>
      <c r="AT387" s="101"/>
      <c r="AU387" s="101"/>
      <c r="AV387" s="101"/>
      <c r="AW387" s="101"/>
      <c r="AX387" s="101"/>
      <c r="AY387" s="101"/>
      <c r="AZ387" s="103"/>
      <c r="BA387" s="103"/>
      <c r="BB387" s="103"/>
      <c r="BC387" s="101"/>
      <c r="BD387" s="101"/>
      <c r="BE387" s="101"/>
      <c r="BF387" s="101"/>
      <c r="BG387" s="101"/>
      <c r="BK387" s="101"/>
      <c r="BL387" s="101"/>
      <c r="BM387" s="101"/>
      <c r="BN387" s="101"/>
      <c r="BO387" s="101"/>
      <c r="BP387" s="101"/>
      <c r="BQ387" s="101"/>
      <c r="BR387" s="104"/>
      <c r="BS387" s="104"/>
      <c r="BT387" s="104"/>
      <c r="BU387" s="104"/>
      <c r="BV387" s="104"/>
      <c r="BW387" s="104"/>
      <c r="BX387" s="104"/>
      <c r="BY387" s="104"/>
      <c r="BZ387" s="104"/>
      <c r="CA387" s="104"/>
      <c r="CB387" s="104"/>
      <c r="CC387" s="104"/>
      <c r="CD387" s="104"/>
      <c r="CE387" s="104"/>
      <c r="CF387" s="104"/>
      <c r="CG387" s="104"/>
      <c r="CH387" s="104"/>
      <c r="CI387" s="104"/>
      <c r="CJ387" s="104"/>
      <c r="CK387" s="104"/>
      <c r="CL387" s="104"/>
      <c r="CM387" s="104"/>
      <c r="CN387" s="98"/>
      <c r="CP387" s="101"/>
      <c r="CQ387" s="101"/>
      <c r="CR387" s="101"/>
      <c r="CS387" s="101"/>
      <c r="CT387" s="101"/>
      <c r="FJ387" s="103"/>
      <c r="FL387" s="103"/>
      <c r="FN387" s="103"/>
      <c r="FP387" s="103"/>
    </row>
    <row r="388" spans="2:172" x14ac:dyDescent="0.35">
      <c r="B388" s="97"/>
      <c r="G388" s="100"/>
      <c r="K388" s="98"/>
      <c r="L388" s="101"/>
      <c r="M388" s="101"/>
      <c r="N388" s="101"/>
      <c r="O388" s="101"/>
      <c r="P388" s="102"/>
      <c r="Q388" s="101"/>
      <c r="R388" s="98"/>
      <c r="S388" s="98"/>
      <c r="T388" s="98"/>
      <c r="U388" s="98"/>
      <c r="V388" s="98"/>
      <c r="W388" s="98"/>
      <c r="X388" s="103"/>
      <c r="Y388" s="103"/>
      <c r="Z388" s="103"/>
      <c r="AA388" s="103"/>
      <c r="AB388" s="103"/>
      <c r="AC388" s="103"/>
      <c r="AD388" s="103"/>
      <c r="AE388" s="101"/>
      <c r="AF388" s="101"/>
      <c r="AG388" s="101"/>
      <c r="AH388" s="101"/>
      <c r="AI388" s="101"/>
      <c r="AJ388" s="101"/>
      <c r="AK388" s="101"/>
      <c r="AL388" s="103"/>
      <c r="AM388" s="103"/>
      <c r="AN388" s="103"/>
      <c r="AO388" s="103"/>
      <c r="AP388" s="103"/>
      <c r="AQ388" s="103"/>
      <c r="AR388" s="103"/>
      <c r="AS388" s="101"/>
      <c r="AT388" s="101"/>
      <c r="AU388" s="101"/>
      <c r="AV388" s="101"/>
      <c r="AW388" s="101"/>
      <c r="AX388" s="101"/>
      <c r="AY388" s="101"/>
      <c r="AZ388" s="103"/>
      <c r="BA388" s="103"/>
      <c r="BB388" s="103"/>
      <c r="BC388" s="101"/>
      <c r="BD388" s="101"/>
      <c r="BE388" s="101"/>
      <c r="BF388" s="101"/>
      <c r="BG388" s="101"/>
      <c r="BK388" s="101"/>
      <c r="BL388" s="101"/>
      <c r="BM388" s="101"/>
      <c r="BN388" s="101"/>
      <c r="BO388" s="101"/>
      <c r="BP388" s="101"/>
      <c r="BQ388" s="101"/>
      <c r="BR388" s="104"/>
      <c r="BS388" s="104"/>
      <c r="BT388" s="104"/>
      <c r="BU388" s="104"/>
      <c r="BV388" s="104"/>
      <c r="BW388" s="104"/>
      <c r="BX388" s="104"/>
      <c r="BY388" s="104"/>
      <c r="BZ388" s="104"/>
      <c r="CA388" s="104"/>
      <c r="CB388" s="104"/>
      <c r="CC388" s="104"/>
      <c r="CD388" s="104"/>
      <c r="CE388" s="104"/>
      <c r="CF388" s="104"/>
      <c r="CG388" s="104"/>
      <c r="CH388" s="104"/>
      <c r="CI388" s="104"/>
      <c r="CJ388" s="104"/>
      <c r="CK388" s="104"/>
      <c r="CL388" s="104"/>
      <c r="CM388" s="104"/>
      <c r="CN388" s="98"/>
      <c r="CP388" s="101"/>
      <c r="CQ388" s="101"/>
      <c r="CR388" s="101"/>
      <c r="CS388" s="101"/>
      <c r="CT388" s="101"/>
      <c r="FJ388" s="103"/>
      <c r="FL388" s="103"/>
      <c r="FN388" s="103"/>
      <c r="FP388" s="103"/>
    </row>
    <row r="389" spans="2:172" x14ac:dyDescent="0.35">
      <c r="B389" s="97"/>
      <c r="G389" s="100"/>
      <c r="K389" s="98"/>
      <c r="L389" s="101"/>
      <c r="M389" s="101"/>
      <c r="N389" s="101"/>
      <c r="O389" s="101"/>
      <c r="P389" s="102"/>
      <c r="Q389" s="101"/>
      <c r="R389" s="98"/>
      <c r="S389" s="98"/>
      <c r="T389" s="98"/>
      <c r="U389" s="98"/>
      <c r="V389" s="98"/>
      <c r="W389" s="98"/>
      <c r="X389" s="103"/>
      <c r="Y389" s="103"/>
      <c r="Z389" s="103"/>
      <c r="AA389" s="103"/>
      <c r="AB389" s="103"/>
      <c r="AC389" s="103"/>
      <c r="AD389" s="103"/>
      <c r="AE389" s="101"/>
      <c r="AF389" s="101"/>
      <c r="AG389" s="101"/>
      <c r="AH389" s="101"/>
      <c r="AI389" s="101"/>
      <c r="AJ389" s="101"/>
      <c r="AK389" s="101"/>
      <c r="AL389" s="103"/>
      <c r="AM389" s="103"/>
      <c r="AN389" s="103"/>
      <c r="AO389" s="103"/>
      <c r="AP389" s="103"/>
      <c r="AQ389" s="103"/>
      <c r="AR389" s="103"/>
      <c r="AS389" s="101"/>
      <c r="AT389" s="101"/>
      <c r="AU389" s="101"/>
      <c r="AV389" s="101"/>
      <c r="AW389" s="101"/>
      <c r="AX389" s="101"/>
      <c r="AY389" s="101"/>
      <c r="AZ389" s="103"/>
      <c r="BA389" s="103"/>
      <c r="BB389" s="103"/>
      <c r="BC389" s="101"/>
      <c r="BD389" s="101"/>
      <c r="BE389" s="101"/>
      <c r="BF389" s="101"/>
      <c r="BG389" s="101"/>
      <c r="BK389" s="101"/>
      <c r="BL389" s="101"/>
      <c r="BM389" s="101"/>
      <c r="BN389" s="101"/>
      <c r="BO389" s="101"/>
      <c r="BP389" s="101"/>
      <c r="BQ389" s="101"/>
      <c r="BR389" s="104"/>
      <c r="BS389" s="104"/>
      <c r="BT389" s="104"/>
      <c r="BU389" s="104"/>
      <c r="BV389" s="104"/>
      <c r="BW389" s="104"/>
      <c r="BX389" s="104"/>
      <c r="BY389" s="104"/>
      <c r="BZ389" s="104"/>
      <c r="CA389" s="104"/>
      <c r="CB389" s="104"/>
      <c r="CC389" s="104"/>
      <c r="CD389" s="104"/>
      <c r="CE389" s="104"/>
      <c r="CF389" s="104"/>
      <c r="CG389" s="104"/>
      <c r="CH389" s="104"/>
      <c r="CI389" s="104"/>
      <c r="CJ389" s="104"/>
      <c r="CK389" s="104"/>
      <c r="CL389" s="104"/>
      <c r="CM389" s="104"/>
      <c r="CN389" s="98"/>
      <c r="CP389" s="101"/>
      <c r="CQ389" s="101"/>
      <c r="CR389" s="101"/>
      <c r="CS389" s="101"/>
      <c r="CT389" s="101"/>
      <c r="FJ389" s="103"/>
      <c r="FL389" s="103"/>
      <c r="FN389" s="103"/>
      <c r="FP389" s="103"/>
    </row>
    <row r="390" spans="2:172" x14ac:dyDescent="0.35">
      <c r="B390" s="97"/>
      <c r="G390" s="100"/>
      <c r="K390" s="98"/>
      <c r="L390" s="101"/>
      <c r="M390" s="101"/>
      <c r="N390" s="101"/>
      <c r="O390" s="101"/>
      <c r="P390" s="102"/>
      <c r="Q390" s="101"/>
      <c r="R390" s="98"/>
      <c r="S390" s="98"/>
      <c r="T390" s="98"/>
      <c r="U390" s="98"/>
      <c r="V390" s="98"/>
      <c r="W390" s="98"/>
      <c r="X390" s="103"/>
      <c r="Y390" s="103"/>
      <c r="Z390" s="103"/>
      <c r="AA390" s="103"/>
      <c r="AB390" s="103"/>
      <c r="AC390" s="103"/>
      <c r="AD390" s="103"/>
      <c r="AE390" s="101"/>
      <c r="AF390" s="101"/>
      <c r="AG390" s="101"/>
      <c r="AH390" s="101"/>
      <c r="AI390" s="101"/>
      <c r="AJ390" s="101"/>
      <c r="AK390" s="101"/>
      <c r="AL390" s="103"/>
      <c r="AM390" s="103"/>
      <c r="AN390" s="103"/>
      <c r="AO390" s="103"/>
      <c r="AP390" s="103"/>
      <c r="AQ390" s="103"/>
      <c r="AR390" s="103"/>
      <c r="AS390" s="101"/>
      <c r="AT390" s="101"/>
      <c r="AU390" s="101"/>
      <c r="AV390" s="101"/>
      <c r="AW390" s="101"/>
      <c r="AX390" s="101"/>
      <c r="AY390" s="101"/>
      <c r="AZ390" s="103"/>
      <c r="BA390" s="103"/>
      <c r="BB390" s="103"/>
      <c r="BC390" s="101"/>
      <c r="BD390" s="101"/>
      <c r="BE390" s="101"/>
      <c r="BF390" s="101"/>
      <c r="BG390" s="101"/>
      <c r="BK390" s="101"/>
      <c r="BL390" s="101"/>
      <c r="BM390" s="101"/>
      <c r="BN390" s="101"/>
      <c r="BO390" s="101"/>
      <c r="BP390" s="101"/>
      <c r="BQ390" s="101"/>
      <c r="BR390" s="104"/>
      <c r="BS390" s="104"/>
      <c r="BT390" s="104"/>
      <c r="BU390" s="104"/>
      <c r="BV390" s="104"/>
      <c r="BW390" s="104"/>
      <c r="BX390" s="104"/>
      <c r="BY390" s="104"/>
      <c r="BZ390" s="104"/>
      <c r="CA390" s="104"/>
      <c r="CB390" s="104"/>
      <c r="CC390" s="104"/>
      <c r="CD390" s="104"/>
      <c r="CE390" s="104"/>
      <c r="CF390" s="104"/>
      <c r="CG390" s="104"/>
      <c r="CH390" s="104"/>
      <c r="CI390" s="104"/>
      <c r="CJ390" s="104"/>
      <c r="CK390" s="104"/>
      <c r="CL390" s="104"/>
      <c r="CM390" s="104"/>
      <c r="CN390" s="98"/>
      <c r="CP390" s="101"/>
      <c r="CQ390" s="101"/>
      <c r="CR390" s="101"/>
      <c r="CS390" s="101"/>
      <c r="CT390" s="101"/>
      <c r="FJ390" s="103"/>
      <c r="FL390" s="103"/>
      <c r="FN390" s="103"/>
      <c r="FP390" s="103"/>
    </row>
    <row r="391" spans="2:172" x14ac:dyDescent="0.35">
      <c r="B391" s="97"/>
      <c r="G391" s="100"/>
      <c r="K391" s="98"/>
      <c r="L391" s="101"/>
      <c r="M391" s="101"/>
      <c r="N391" s="101"/>
      <c r="O391" s="101"/>
      <c r="P391" s="102"/>
      <c r="Q391" s="101"/>
      <c r="R391" s="98"/>
      <c r="S391" s="98"/>
      <c r="T391" s="98"/>
      <c r="U391" s="98"/>
      <c r="V391" s="98"/>
      <c r="W391" s="98"/>
      <c r="X391" s="103"/>
      <c r="Y391" s="103"/>
      <c r="Z391" s="103"/>
      <c r="AA391" s="103"/>
      <c r="AB391" s="103"/>
      <c r="AC391" s="103"/>
      <c r="AD391" s="103"/>
      <c r="AE391" s="101"/>
      <c r="AF391" s="101"/>
      <c r="AG391" s="101"/>
      <c r="AH391" s="101"/>
      <c r="AI391" s="101"/>
      <c r="AJ391" s="101"/>
      <c r="AK391" s="101"/>
      <c r="AL391" s="103"/>
      <c r="AM391" s="103"/>
      <c r="AN391" s="103"/>
      <c r="AO391" s="103"/>
      <c r="AP391" s="103"/>
      <c r="AQ391" s="103"/>
      <c r="AR391" s="103"/>
      <c r="AS391" s="101"/>
      <c r="AT391" s="101"/>
      <c r="AU391" s="101"/>
      <c r="AV391" s="101"/>
      <c r="AW391" s="101"/>
      <c r="AX391" s="101"/>
      <c r="AY391" s="101"/>
      <c r="AZ391" s="103"/>
      <c r="BA391" s="103"/>
      <c r="BB391" s="103"/>
      <c r="BC391" s="101"/>
      <c r="BD391" s="101"/>
      <c r="BE391" s="101"/>
      <c r="BF391" s="101"/>
      <c r="BG391" s="101"/>
      <c r="BK391" s="101"/>
      <c r="BL391" s="101"/>
      <c r="BM391" s="101"/>
      <c r="BN391" s="101"/>
      <c r="BO391" s="101"/>
      <c r="BP391" s="101"/>
      <c r="BQ391" s="101"/>
      <c r="BR391" s="104"/>
      <c r="BS391" s="104"/>
      <c r="BT391" s="104"/>
      <c r="BU391" s="104"/>
      <c r="BV391" s="104"/>
      <c r="BW391" s="104"/>
      <c r="BX391" s="104"/>
      <c r="BY391" s="104"/>
      <c r="BZ391" s="104"/>
      <c r="CA391" s="104"/>
      <c r="CB391" s="104"/>
      <c r="CC391" s="104"/>
      <c r="CD391" s="104"/>
      <c r="CE391" s="104"/>
      <c r="CF391" s="104"/>
      <c r="CG391" s="104"/>
      <c r="CH391" s="104"/>
      <c r="CI391" s="104"/>
      <c r="CJ391" s="104"/>
      <c r="CK391" s="104"/>
      <c r="CL391" s="104"/>
      <c r="CM391" s="104"/>
      <c r="CN391" s="98"/>
      <c r="CP391" s="101"/>
      <c r="CQ391" s="101"/>
      <c r="CR391" s="101"/>
      <c r="CS391" s="101"/>
      <c r="CT391" s="101"/>
      <c r="FJ391" s="103"/>
      <c r="FL391" s="103"/>
      <c r="FN391" s="103"/>
      <c r="FP391" s="103"/>
    </row>
    <row r="392" spans="2:172" x14ac:dyDescent="0.35">
      <c r="B392" s="97"/>
      <c r="G392" s="100"/>
      <c r="K392" s="98"/>
      <c r="L392" s="101"/>
      <c r="M392" s="101"/>
      <c r="N392" s="101"/>
      <c r="O392" s="101"/>
      <c r="P392" s="102"/>
      <c r="Q392" s="101"/>
      <c r="R392" s="98"/>
      <c r="S392" s="98"/>
      <c r="T392" s="98"/>
      <c r="U392" s="98"/>
      <c r="V392" s="98"/>
      <c r="W392" s="98"/>
      <c r="X392" s="103"/>
      <c r="Y392" s="103"/>
      <c r="Z392" s="103"/>
      <c r="AA392" s="103"/>
      <c r="AB392" s="103"/>
      <c r="AC392" s="103"/>
      <c r="AD392" s="103"/>
      <c r="AE392" s="101"/>
      <c r="AF392" s="101"/>
      <c r="AG392" s="101"/>
      <c r="AH392" s="101"/>
      <c r="AI392" s="101"/>
      <c r="AJ392" s="101"/>
      <c r="AK392" s="101"/>
      <c r="AL392" s="103"/>
      <c r="AM392" s="103"/>
      <c r="AN392" s="103"/>
      <c r="AO392" s="103"/>
      <c r="AP392" s="103"/>
      <c r="AQ392" s="103"/>
      <c r="AR392" s="103"/>
      <c r="AS392" s="101"/>
      <c r="AT392" s="101"/>
      <c r="AU392" s="101"/>
      <c r="AV392" s="101"/>
      <c r="AW392" s="101"/>
      <c r="AX392" s="101"/>
      <c r="AY392" s="101"/>
      <c r="AZ392" s="103"/>
      <c r="BA392" s="103"/>
      <c r="BB392" s="103"/>
      <c r="BC392" s="101"/>
      <c r="BD392" s="101"/>
      <c r="BE392" s="101"/>
      <c r="BF392" s="101"/>
      <c r="BG392" s="101"/>
      <c r="BK392" s="101"/>
      <c r="BL392" s="101"/>
      <c r="BM392" s="101"/>
      <c r="BN392" s="101"/>
      <c r="BO392" s="101"/>
      <c r="BP392" s="101"/>
      <c r="BQ392" s="101"/>
      <c r="BR392" s="104"/>
      <c r="BS392" s="104"/>
      <c r="BT392" s="104"/>
      <c r="BU392" s="104"/>
      <c r="BV392" s="104"/>
      <c r="BW392" s="104"/>
      <c r="BX392" s="104"/>
      <c r="BY392" s="104"/>
      <c r="BZ392" s="104"/>
      <c r="CA392" s="104"/>
      <c r="CB392" s="104"/>
      <c r="CC392" s="104"/>
      <c r="CD392" s="104"/>
      <c r="CE392" s="104"/>
      <c r="CF392" s="104"/>
      <c r="CG392" s="104"/>
      <c r="CH392" s="104"/>
      <c r="CI392" s="104"/>
      <c r="CJ392" s="104"/>
      <c r="CK392" s="104"/>
      <c r="CL392" s="104"/>
      <c r="CM392" s="104"/>
      <c r="CN392" s="98"/>
      <c r="CP392" s="101"/>
      <c r="CQ392" s="101"/>
      <c r="CR392" s="101"/>
      <c r="CS392" s="101"/>
      <c r="CT392" s="101"/>
      <c r="FJ392" s="103"/>
      <c r="FL392" s="103"/>
      <c r="FN392" s="103"/>
      <c r="FP392" s="103"/>
    </row>
    <row r="393" spans="2:172" x14ac:dyDescent="0.35">
      <c r="B393" s="97"/>
      <c r="G393" s="100"/>
      <c r="K393" s="98"/>
      <c r="L393" s="101"/>
      <c r="M393" s="101"/>
      <c r="N393" s="101"/>
      <c r="O393" s="101"/>
      <c r="P393" s="102"/>
      <c r="Q393" s="101"/>
      <c r="R393" s="98"/>
      <c r="S393" s="98"/>
      <c r="T393" s="98"/>
      <c r="U393" s="98"/>
      <c r="V393" s="98"/>
      <c r="W393" s="98"/>
      <c r="X393" s="103"/>
      <c r="Y393" s="103"/>
      <c r="Z393" s="103"/>
      <c r="AA393" s="103"/>
      <c r="AB393" s="103"/>
      <c r="AC393" s="103"/>
      <c r="AD393" s="103"/>
      <c r="AE393" s="101"/>
      <c r="AF393" s="101"/>
      <c r="AG393" s="101"/>
      <c r="AH393" s="101"/>
      <c r="AI393" s="101"/>
      <c r="AJ393" s="101"/>
      <c r="AK393" s="101"/>
      <c r="AL393" s="103"/>
      <c r="AM393" s="103"/>
      <c r="AN393" s="103"/>
      <c r="AO393" s="103"/>
      <c r="AP393" s="103"/>
      <c r="AQ393" s="103"/>
      <c r="AR393" s="103"/>
      <c r="AS393" s="101"/>
      <c r="AT393" s="101"/>
      <c r="AU393" s="101"/>
      <c r="AV393" s="101"/>
      <c r="AW393" s="101"/>
      <c r="AX393" s="101"/>
      <c r="AY393" s="101"/>
      <c r="AZ393" s="103"/>
      <c r="BA393" s="103"/>
      <c r="BB393" s="103"/>
      <c r="BC393" s="101"/>
      <c r="BD393" s="101"/>
      <c r="BE393" s="101"/>
      <c r="BF393" s="101"/>
      <c r="BG393" s="101"/>
      <c r="BK393" s="101"/>
      <c r="BL393" s="101"/>
      <c r="BM393" s="101"/>
      <c r="BN393" s="101"/>
      <c r="BO393" s="101"/>
      <c r="BP393" s="101"/>
      <c r="BQ393" s="101"/>
      <c r="BR393" s="104"/>
      <c r="BS393" s="104"/>
      <c r="BT393" s="104"/>
      <c r="BU393" s="104"/>
      <c r="BV393" s="104"/>
      <c r="BW393" s="104"/>
      <c r="BX393" s="104"/>
      <c r="BY393" s="104"/>
      <c r="BZ393" s="104"/>
      <c r="CA393" s="104"/>
      <c r="CB393" s="104"/>
      <c r="CC393" s="104"/>
      <c r="CD393" s="104"/>
      <c r="CE393" s="104"/>
      <c r="CF393" s="104"/>
      <c r="CG393" s="104"/>
      <c r="CH393" s="104"/>
      <c r="CI393" s="104"/>
      <c r="CJ393" s="104"/>
      <c r="CK393" s="104"/>
      <c r="CL393" s="104"/>
      <c r="CM393" s="104"/>
      <c r="CN393" s="98"/>
      <c r="CP393" s="101"/>
      <c r="CQ393" s="101"/>
      <c r="CR393" s="101"/>
      <c r="CS393" s="101"/>
      <c r="CT393" s="101"/>
      <c r="FJ393" s="103"/>
      <c r="FL393" s="103"/>
      <c r="FN393" s="103"/>
      <c r="FP393" s="103"/>
    </row>
    <row r="394" spans="2:172" x14ac:dyDescent="0.35">
      <c r="B394" s="97"/>
      <c r="G394" s="100"/>
      <c r="K394" s="98"/>
      <c r="L394" s="101"/>
      <c r="M394" s="101"/>
      <c r="N394" s="101"/>
      <c r="O394" s="101"/>
      <c r="P394" s="102"/>
      <c r="Q394" s="101"/>
      <c r="R394" s="98"/>
      <c r="S394" s="98"/>
      <c r="T394" s="98"/>
      <c r="U394" s="98"/>
      <c r="V394" s="98"/>
      <c r="W394" s="98"/>
      <c r="X394" s="103"/>
      <c r="Y394" s="103"/>
      <c r="Z394" s="103"/>
      <c r="AA394" s="103"/>
      <c r="AB394" s="103"/>
      <c r="AC394" s="103"/>
      <c r="AD394" s="103"/>
      <c r="AE394" s="101"/>
      <c r="AF394" s="101"/>
      <c r="AG394" s="101"/>
      <c r="AH394" s="101"/>
      <c r="AI394" s="101"/>
      <c r="AJ394" s="101"/>
      <c r="AK394" s="101"/>
      <c r="AL394" s="103"/>
      <c r="AM394" s="103"/>
      <c r="AN394" s="103"/>
      <c r="AO394" s="103"/>
      <c r="AP394" s="103"/>
      <c r="AQ394" s="103"/>
      <c r="AR394" s="103"/>
      <c r="AS394" s="101"/>
      <c r="AT394" s="101"/>
      <c r="AU394" s="101"/>
      <c r="AV394" s="101"/>
      <c r="AW394" s="101"/>
      <c r="AX394" s="101"/>
      <c r="AY394" s="101"/>
      <c r="AZ394" s="103"/>
      <c r="BA394" s="103"/>
      <c r="BB394" s="103"/>
      <c r="BC394" s="101"/>
      <c r="BD394" s="101"/>
      <c r="BE394" s="101"/>
      <c r="BF394" s="101"/>
      <c r="BG394" s="101"/>
      <c r="BK394" s="101"/>
      <c r="BL394" s="101"/>
      <c r="BM394" s="101"/>
      <c r="BN394" s="101"/>
      <c r="BO394" s="101"/>
      <c r="BP394" s="101"/>
      <c r="BQ394" s="101"/>
      <c r="BR394" s="104"/>
      <c r="BS394" s="104"/>
      <c r="BT394" s="104"/>
      <c r="BU394" s="104"/>
      <c r="BV394" s="104"/>
      <c r="BW394" s="104"/>
      <c r="BX394" s="104"/>
      <c r="BY394" s="104"/>
      <c r="BZ394" s="104"/>
      <c r="CA394" s="104"/>
      <c r="CB394" s="104"/>
      <c r="CC394" s="104"/>
      <c r="CD394" s="104"/>
      <c r="CE394" s="104"/>
      <c r="CF394" s="104"/>
      <c r="CG394" s="104"/>
      <c r="CH394" s="104"/>
      <c r="CI394" s="104"/>
      <c r="CJ394" s="104"/>
      <c r="CK394" s="104"/>
      <c r="CL394" s="104"/>
      <c r="CM394" s="104"/>
      <c r="CN394" s="98"/>
      <c r="CP394" s="101"/>
      <c r="CQ394" s="101"/>
      <c r="CR394" s="101"/>
      <c r="CS394" s="101"/>
      <c r="CT394" s="101"/>
      <c r="FJ394" s="103"/>
      <c r="FL394" s="103"/>
      <c r="FN394" s="103"/>
      <c r="FP394" s="103"/>
    </row>
    <row r="395" spans="2:172" x14ac:dyDescent="0.35">
      <c r="B395" s="97"/>
      <c r="G395" s="100"/>
      <c r="K395" s="98"/>
      <c r="L395" s="101"/>
      <c r="M395" s="101"/>
      <c r="N395" s="101"/>
      <c r="O395" s="101"/>
      <c r="P395" s="102"/>
      <c r="Q395" s="101"/>
      <c r="R395" s="98"/>
      <c r="S395" s="98"/>
      <c r="T395" s="98"/>
      <c r="U395" s="98"/>
      <c r="V395" s="98"/>
      <c r="W395" s="98"/>
      <c r="X395" s="103"/>
      <c r="Y395" s="103"/>
      <c r="Z395" s="103"/>
      <c r="AA395" s="103"/>
      <c r="AB395" s="103"/>
      <c r="AC395" s="103"/>
      <c r="AD395" s="103"/>
      <c r="AE395" s="101"/>
      <c r="AF395" s="101"/>
      <c r="AG395" s="101"/>
      <c r="AH395" s="101"/>
      <c r="AI395" s="101"/>
      <c r="AJ395" s="101"/>
      <c r="AK395" s="101"/>
      <c r="AL395" s="103"/>
      <c r="AM395" s="103"/>
      <c r="AN395" s="103"/>
      <c r="AO395" s="103"/>
      <c r="AP395" s="103"/>
      <c r="AQ395" s="103"/>
      <c r="AR395" s="103"/>
      <c r="AS395" s="101"/>
      <c r="AT395" s="101"/>
      <c r="AU395" s="101"/>
      <c r="AV395" s="101"/>
      <c r="AW395" s="101"/>
      <c r="AX395" s="101"/>
      <c r="AY395" s="101"/>
      <c r="AZ395" s="103"/>
      <c r="BA395" s="103"/>
      <c r="BB395" s="103"/>
      <c r="BC395" s="101"/>
      <c r="BD395" s="101"/>
      <c r="BE395" s="101"/>
      <c r="BF395" s="101"/>
      <c r="BG395" s="101"/>
      <c r="BK395" s="101"/>
      <c r="BL395" s="101"/>
      <c r="BM395" s="101"/>
      <c r="BN395" s="101"/>
      <c r="BO395" s="101"/>
      <c r="BP395" s="101"/>
      <c r="BQ395" s="101"/>
      <c r="BR395" s="104"/>
      <c r="BS395" s="104"/>
      <c r="BT395" s="104"/>
      <c r="BU395" s="104"/>
      <c r="BV395" s="104"/>
      <c r="BW395" s="104"/>
      <c r="BX395" s="104"/>
      <c r="BY395" s="104"/>
      <c r="BZ395" s="104"/>
      <c r="CA395" s="104"/>
      <c r="CB395" s="104"/>
      <c r="CC395" s="104"/>
      <c r="CD395" s="104"/>
      <c r="CE395" s="104"/>
      <c r="CF395" s="104"/>
      <c r="CG395" s="104"/>
      <c r="CH395" s="104"/>
      <c r="CI395" s="104"/>
      <c r="CJ395" s="104"/>
      <c r="CK395" s="104"/>
      <c r="CL395" s="104"/>
      <c r="CM395" s="104"/>
      <c r="CN395" s="98"/>
      <c r="CP395" s="101"/>
      <c r="CQ395" s="101"/>
      <c r="CR395" s="101"/>
      <c r="CS395" s="101"/>
      <c r="CT395" s="101"/>
      <c r="FJ395" s="103"/>
      <c r="FL395" s="103"/>
      <c r="FN395" s="103"/>
      <c r="FP395" s="103"/>
    </row>
    <row r="396" spans="2:172" x14ac:dyDescent="0.35">
      <c r="B396" s="97"/>
      <c r="G396" s="100"/>
      <c r="K396" s="98"/>
      <c r="L396" s="101"/>
      <c r="M396" s="101"/>
      <c r="N396" s="101"/>
      <c r="O396" s="101"/>
      <c r="P396" s="102"/>
      <c r="Q396" s="101"/>
      <c r="R396" s="98"/>
      <c r="S396" s="98"/>
      <c r="T396" s="98"/>
      <c r="U396" s="98"/>
      <c r="V396" s="98"/>
      <c r="W396" s="98"/>
      <c r="X396" s="103"/>
      <c r="Y396" s="103"/>
      <c r="Z396" s="103"/>
      <c r="AA396" s="103"/>
      <c r="AB396" s="103"/>
      <c r="AC396" s="103"/>
      <c r="AD396" s="103"/>
      <c r="AE396" s="101"/>
      <c r="AF396" s="101"/>
      <c r="AG396" s="101"/>
      <c r="AH396" s="101"/>
      <c r="AI396" s="101"/>
      <c r="AJ396" s="101"/>
      <c r="AK396" s="101"/>
      <c r="AL396" s="103"/>
      <c r="AM396" s="103"/>
      <c r="AN396" s="103"/>
      <c r="AO396" s="103"/>
      <c r="AP396" s="103"/>
      <c r="AQ396" s="103"/>
      <c r="AR396" s="103"/>
      <c r="AS396" s="101"/>
      <c r="AT396" s="101"/>
      <c r="AU396" s="101"/>
      <c r="AV396" s="101"/>
      <c r="AW396" s="101"/>
      <c r="AX396" s="101"/>
      <c r="AY396" s="101"/>
      <c r="AZ396" s="103"/>
      <c r="BA396" s="103"/>
      <c r="BB396" s="103"/>
      <c r="BC396" s="101"/>
      <c r="BD396" s="101"/>
      <c r="BE396" s="101"/>
      <c r="BF396" s="101"/>
      <c r="BG396" s="101"/>
      <c r="BK396" s="101"/>
      <c r="BL396" s="101"/>
      <c r="BM396" s="101"/>
      <c r="BN396" s="101"/>
      <c r="BO396" s="101"/>
      <c r="BP396" s="101"/>
      <c r="BQ396" s="101"/>
      <c r="BR396" s="104"/>
      <c r="BS396" s="104"/>
      <c r="BT396" s="104"/>
      <c r="BU396" s="104"/>
      <c r="BV396" s="104"/>
      <c r="BW396" s="104"/>
      <c r="BX396" s="104"/>
      <c r="BY396" s="104"/>
      <c r="BZ396" s="104"/>
      <c r="CA396" s="104"/>
      <c r="CB396" s="104"/>
      <c r="CC396" s="104"/>
      <c r="CD396" s="104"/>
      <c r="CE396" s="104"/>
      <c r="CF396" s="104"/>
      <c r="CG396" s="104"/>
      <c r="CH396" s="104"/>
      <c r="CI396" s="104"/>
      <c r="CJ396" s="104"/>
      <c r="CK396" s="104"/>
      <c r="CL396" s="104"/>
      <c r="CM396" s="104"/>
      <c r="CN396" s="98"/>
      <c r="CP396" s="101"/>
      <c r="CQ396" s="101"/>
      <c r="CR396" s="101"/>
      <c r="CS396" s="101"/>
      <c r="CT396" s="101"/>
      <c r="FJ396" s="103"/>
      <c r="FL396" s="103"/>
      <c r="FN396" s="103"/>
      <c r="FP396" s="103"/>
    </row>
    <row r="397" spans="2:172" x14ac:dyDescent="0.35">
      <c r="B397" s="97"/>
      <c r="G397" s="100"/>
      <c r="K397" s="98"/>
      <c r="L397" s="101"/>
      <c r="M397" s="101"/>
      <c r="N397" s="101"/>
      <c r="O397" s="101"/>
      <c r="P397" s="102"/>
      <c r="Q397" s="101"/>
      <c r="R397" s="98"/>
      <c r="S397" s="98"/>
      <c r="T397" s="98"/>
      <c r="U397" s="98"/>
      <c r="V397" s="98"/>
      <c r="W397" s="98"/>
      <c r="X397" s="103"/>
      <c r="Y397" s="103"/>
      <c r="Z397" s="103"/>
      <c r="AA397" s="103"/>
      <c r="AB397" s="103"/>
      <c r="AC397" s="103"/>
      <c r="AD397" s="103"/>
      <c r="AE397" s="101"/>
      <c r="AF397" s="101"/>
      <c r="AG397" s="101"/>
      <c r="AH397" s="101"/>
      <c r="AI397" s="101"/>
      <c r="AJ397" s="101"/>
      <c r="AK397" s="101"/>
      <c r="AL397" s="103"/>
      <c r="AM397" s="103"/>
      <c r="AN397" s="103"/>
      <c r="AO397" s="103"/>
      <c r="AP397" s="103"/>
      <c r="AQ397" s="103"/>
      <c r="AR397" s="103"/>
      <c r="AS397" s="101"/>
      <c r="AT397" s="101"/>
      <c r="AU397" s="101"/>
      <c r="AV397" s="101"/>
      <c r="AW397" s="101"/>
      <c r="AX397" s="101"/>
      <c r="AY397" s="101"/>
      <c r="AZ397" s="103"/>
      <c r="BA397" s="103"/>
      <c r="BB397" s="103"/>
      <c r="BC397" s="101"/>
      <c r="BD397" s="101"/>
      <c r="BE397" s="101"/>
      <c r="BF397" s="101"/>
      <c r="BG397" s="101"/>
      <c r="BK397" s="101"/>
      <c r="BL397" s="101"/>
      <c r="BM397" s="101"/>
      <c r="BN397" s="101"/>
      <c r="BO397" s="101"/>
      <c r="BP397" s="101"/>
      <c r="BQ397" s="101"/>
      <c r="BR397" s="104"/>
      <c r="BS397" s="104"/>
      <c r="BT397" s="104"/>
      <c r="BU397" s="104"/>
      <c r="BV397" s="104"/>
      <c r="BW397" s="104"/>
      <c r="BX397" s="104"/>
      <c r="BY397" s="104"/>
      <c r="BZ397" s="104"/>
      <c r="CA397" s="104"/>
      <c r="CB397" s="104"/>
      <c r="CC397" s="104"/>
      <c r="CD397" s="104"/>
      <c r="CE397" s="104"/>
      <c r="CF397" s="104"/>
      <c r="CG397" s="104"/>
      <c r="CH397" s="104"/>
      <c r="CI397" s="104"/>
      <c r="CJ397" s="104"/>
      <c r="CK397" s="104"/>
      <c r="CL397" s="104"/>
      <c r="CM397" s="104"/>
      <c r="CN397" s="98"/>
      <c r="CP397" s="101"/>
      <c r="CQ397" s="101"/>
      <c r="CR397" s="101"/>
      <c r="CS397" s="101"/>
      <c r="CT397" s="101"/>
      <c r="FJ397" s="103"/>
      <c r="FL397" s="103"/>
      <c r="FN397" s="103"/>
      <c r="FP397" s="103"/>
    </row>
    <row r="398" spans="2:172" x14ac:dyDescent="0.35">
      <c r="B398" s="97"/>
      <c r="G398" s="100"/>
      <c r="K398" s="98"/>
      <c r="L398" s="101"/>
      <c r="M398" s="101"/>
      <c r="N398" s="101"/>
      <c r="O398" s="101"/>
      <c r="P398" s="102"/>
      <c r="Q398" s="101"/>
      <c r="R398" s="98"/>
      <c r="S398" s="98"/>
      <c r="T398" s="98"/>
      <c r="U398" s="98"/>
      <c r="V398" s="98"/>
      <c r="W398" s="98"/>
      <c r="X398" s="103"/>
      <c r="Y398" s="103"/>
      <c r="Z398" s="103"/>
      <c r="AA398" s="103"/>
      <c r="AB398" s="103"/>
      <c r="AC398" s="103"/>
      <c r="AD398" s="103"/>
      <c r="AE398" s="101"/>
      <c r="AF398" s="101"/>
      <c r="AG398" s="101"/>
      <c r="AH398" s="101"/>
      <c r="AI398" s="101"/>
      <c r="AJ398" s="101"/>
      <c r="AK398" s="101"/>
      <c r="AL398" s="103"/>
      <c r="AM398" s="103"/>
      <c r="AN398" s="103"/>
      <c r="AO398" s="103"/>
      <c r="AP398" s="103"/>
      <c r="AQ398" s="103"/>
      <c r="AR398" s="103"/>
      <c r="AS398" s="101"/>
      <c r="AT398" s="101"/>
      <c r="AU398" s="101"/>
      <c r="AV398" s="101"/>
      <c r="AW398" s="101"/>
      <c r="AX398" s="101"/>
      <c r="AY398" s="101"/>
      <c r="AZ398" s="103"/>
      <c r="BA398" s="103"/>
      <c r="BB398" s="103"/>
      <c r="BC398" s="101"/>
      <c r="BD398" s="101"/>
      <c r="BE398" s="101"/>
      <c r="BF398" s="101"/>
      <c r="BG398" s="101"/>
      <c r="BK398" s="101"/>
      <c r="BL398" s="101"/>
      <c r="BM398" s="101"/>
      <c r="BN398" s="101"/>
      <c r="BO398" s="101"/>
      <c r="BP398" s="101"/>
      <c r="BQ398" s="101"/>
      <c r="BR398" s="104"/>
      <c r="BS398" s="104"/>
      <c r="BT398" s="104"/>
      <c r="BU398" s="104"/>
      <c r="BV398" s="104"/>
      <c r="BW398" s="104"/>
      <c r="BX398" s="104"/>
      <c r="BY398" s="104"/>
      <c r="BZ398" s="104"/>
      <c r="CA398" s="104"/>
      <c r="CB398" s="104"/>
      <c r="CC398" s="104"/>
      <c r="CD398" s="104"/>
      <c r="CE398" s="104"/>
      <c r="CF398" s="104"/>
      <c r="CG398" s="104"/>
      <c r="CH398" s="104"/>
      <c r="CI398" s="104"/>
      <c r="CJ398" s="104"/>
      <c r="CK398" s="104"/>
      <c r="CL398" s="104"/>
      <c r="CM398" s="104"/>
      <c r="CN398" s="98"/>
      <c r="CP398" s="101"/>
      <c r="CQ398" s="101"/>
      <c r="CR398" s="101"/>
      <c r="CS398" s="101"/>
      <c r="CT398" s="101"/>
      <c r="FJ398" s="103"/>
      <c r="FL398" s="103"/>
      <c r="FN398" s="103"/>
      <c r="FP398" s="103"/>
    </row>
    <row r="399" spans="2:172" x14ac:dyDescent="0.35">
      <c r="B399" s="97"/>
      <c r="G399" s="100"/>
      <c r="K399" s="98"/>
      <c r="L399" s="101"/>
      <c r="M399" s="101"/>
      <c r="N399" s="101"/>
      <c r="O399" s="101"/>
      <c r="P399" s="102"/>
      <c r="Q399" s="101"/>
      <c r="R399" s="98"/>
      <c r="S399" s="98"/>
      <c r="T399" s="98"/>
      <c r="U399" s="98"/>
      <c r="V399" s="98"/>
      <c r="W399" s="98"/>
      <c r="X399" s="103"/>
      <c r="Y399" s="103"/>
      <c r="Z399" s="103"/>
      <c r="AA399" s="103"/>
      <c r="AB399" s="103"/>
      <c r="AC399" s="103"/>
      <c r="AD399" s="103"/>
      <c r="AE399" s="101"/>
      <c r="AF399" s="101"/>
      <c r="AG399" s="101"/>
      <c r="AH399" s="101"/>
      <c r="AI399" s="101"/>
      <c r="AJ399" s="101"/>
      <c r="AK399" s="101"/>
      <c r="AL399" s="103"/>
      <c r="AM399" s="103"/>
      <c r="AN399" s="103"/>
      <c r="AO399" s="103"/>
      <c r="AP399" s="103"/>
      <c r="AQ399" s="103"/>
      <c r="AR399" s="103"/>
      <c r="AS399" s="101"/>
      <c r="AT399" s="101"/>
      <c r="AU399" s="101"/>
      <c r="AV399" s="101"/>
      <c r="AW399" s="101"/>
      <c r="AX399" s="101"/>
      <c r="AY399" s="101"/>
      <c r="AZ399" s="103"/>
      <c r="BA399" s="103"/>
      <c r="BB399" s="103"/>
      <c r="BC399" s="101"/>
      <c r="BD399" s="101"/>
      <c r="BE399" s="101"/>
      <c r="BF399" s="101"/>
      <c r="BG399" s="101"/>
      <c r="BK399" s="101"/>
      <c r="BL399" s="101"/>
      <c r="BM399" s="101"/>
      <c r="BN399" s="101"/>
      <c r="BO399" s="101"/>
      <c r="BP399" s="101"/>
      <c r="BQ399" s="101"/>
      <c r="BR399" s="104"/>
      <c r="BS399" s="104"/>
      <c r="BT399" s="104"/>
      <c r="BU399" s="104"/>
      <c r="BV399" s="104"/>
      <c r="BW399" s="104"/>
      <c r="BX399" s="104"/>
      <c r="BY399" s="104"/>
      <c r="BZ399" s="104"/>
      <c r="CA399" s="104"/>
      <c r="CB399" s="104"/>
      <c r="CC399" s="104"/>
      <c r="CD399" s="104"/>
      <c r="CE399" s="104"/>
      <c r="CF399" s="104"/>
      <c r="CG399" s="104"/>
      <c r="CH399" s="104"/>
      <c r="CI399" s="104"/>
      <c r="CJ399" s="104"/>
      <c r="CK399" s="104"/>
      <c r="CL399" s="104"/>
      <c r="CM399" s="104"/>
      <c r="CN399" s="98"/>
      <c r="CP399" s="101"/>
      <c r="CQ399" s="101"/>
      <c r="CR399" s="101"/>
      <c r="CS399" s="101"/>
      <c r="CT399" s="101"/>
      <c r="FJ399" s="103"/>
      <c r="FL399" s="103"/>
      <c r="FN399" s="103"/>
      <c r="FP399" s="103"/>
    </row>
    <row r="400" spans="2:172" x14ac:dyDescent="0.35">
      <c r="B400" s="97"/>
      <c r="G400" s="100"/>
      <c r="K400" s="98"/>
      <c r="L400" s="101"/>
      <c r="M400" s="101"/>
      <c r="N400" s="101"/>
      <c r="O400" s="101"/>
      <c r="P400" s="102"/>
      <c r="Q400" s="101"/>
      <c r="R400" s="98"/>
      <c r="S400" s="98"/>
      <c r="T400" s="98"/>
      <c r="U400" s="98"/>
      <c r="V400" s="98"/>
      <c r="W400" s="98"/>
      <c r="X400" s="103"/>
      <c r="Y400" s="103"/>
      <c r="Z400" s="103"/>
      <c r="AA400" s="103"/>
      <c r="AB400" s="103"/>
      <c r="AC400" s="103"/>
      <c r="AD400" s="103"/>
      <c r="AE400" s="101"/>
      <c r="AF400" s="101"/>
      <c r="AG400" s="101"/>
      <c r="AH400" s="101"/>
      <c r="AI400" s="101"/>
      <c r="AJ400" s="101"/>
      <c r="AK400" s="101"/>
      <c r="AL400" s="103"/>
      <c r="AM400" s="103"/>
      <c r="AN400" s="103"/>
      <c r="AO400" s="103"/>
      <c r="AP400" s="103"/>
      <c r="AQ400" s="103"/>
      <c r="AR400" s="103"/>
      <c r="AS400" s="101"/>
      <c r="AT400" s="101"/>
      <c r="AU400" s="101"/>
      <c r="AV400" s="101"/>
      <c r="AW400" s="101"/>
      <c r="AX400" s="101"/>
      <c r="AY400" s="101"/>
      <c r="AZ400" s="103"/>
      <c r="BA400" s="103"/>
      <c r="BB400" s="103"/>
      <c r="BC400" s="101"/>
      <c r="BD400" s="101"/>
      <c r="BE400" s="101"/>
      <c r="BF400" s="101"/>
      <c r="BG400" s="101"/>
      <c r="BK400" s="101"/>
      <c r="BL400" s="101"/>
      <c r="BM400" s="101"/>
      <c r="BN400" s="101"/>
      <c r="BO400" s="101"/>
      <c r="BP400" s="101"/>
      <c r="BQ400" s="101"/>
      <c r="BR400" s="104"/>
      <c r="BS400" s="104"/>
      <c r="BT400" s="104"/>
      <c r="BU400" s="104"/>
      <c r="BV400" s="104"/>
      <c r="BW400" s="104"/>
      <c r="BX400" s="104"/>
      <c r="BY400" s="104"/>
      <c r="BZ400" s="104"/>
      <c r="CA400" s="104"/>
      <c r="CB400" s="104"/>
      <c r="CC400" s="104"/>
      <c r="CD400" s="104"/>
      <c r="CE400" s="104"/>
      <c r="CF400" s="104"/>
      <c r="CG400" s="104"/>
      <c r="CH400" s="104"/>
      <c r="CI400" s="104"/>
      <c r="CJ400" s="104"/>
      <c r="CK400" s="104"/>
      <c r="CL400" s="104"/>
      <c r="CM400" s="104"/>
      <c r="CN400" s="98"/>
      <c r="CP400" s="101"/>
      <c r="CQ400" s="101"/>
      <c r="CR400" s="101"/>
      <c r="CS400" s="101"/>
      <c r="CT400" s="101"/>
      <c r="FJ400" s="103"/>
      <c r="FL400" s="103"/>
      <c r="FN400" s="103"/>
      <c r="FP400" s="103"/>
    </row>
    <row r="401" spans="2:172" x14ac:dyDescent="0.35">
      <c r="B401" s="97"/>
      <c r="G401" s="100"/>
      <c r="K401" s="98"/>
      <c r="L401" s="101"/>
      <c r="M401" s="101"/>
      <c r="N401" s="101"/>
      <c r="O401" s="101"/>
      <c r="P401" s="102"/>
      <c r="Q401" s="101"/>
      <c r="R401" s="98"/>
      <c r="S401" s="98"/>
      <c r="T401" s="98"/>
      <c r="U401" s="98"/>
      <c r="V401" s="98"/>
      <c r="W401" s="98"/>
      <c r="X401" s="103"/>
      <c r="Y401" s="103"/>
      <c r="Z401" s="103"/>
      <c r="AA401" s="103"/>
      <c r="AB401" s="103"/>
      <c r="AC401" s="103"/>
      <c r="AD401" s="103"/>
      <c r="AE401" s="101"/>
      <c r="AF401" s="101"/>
      <c r="AG401" s="101"/>
      <c r="AH401" s="101"/>
      <c r="AI401" s="101"/>
      <c r="AJ401" s="101"/>
      <c r="AK401" s="101"/>
      <c r="AL401" s="103"/>
      <c r="AM401" s="103"/>
      <c r="AN401" s="103"/>
      <c r="AO401" s="103"/>
      <c r="AP401" s="103"/>
      <c r="AQ401" s="103"/>
      <c r="AR401" s="103"/>
      <c r="AS401" s="101"/>
      <c r="AT401" s="101"/>
      <c r="AU401" s="101"/>
      <c r="AV401" s="101"/>
      <c r="AW401" s="101"/>
      <c r="AX401" s="101"/>
      <c r="AY401" s="101"/>
      <c r="AZ401" s="103"/>
      <c r="BA401" s="103"/>
      <c r="BB401" s="103"/>
      <c r="BC401" s="101"/>
      <c r="BD401" s="101"/>
      <c r="BE401" s="101"/>
      <c r="BF401" s="101"/>
      <c r="BG401" s="101"/>
      <c r="BK401" s="101"/>
      <c r="BL401" s="101"/>
      <c r="BM401" s="101"/>
      <c r="BN401" s="101"/>
      <c r="BO401" s="101"/>
      <c r="BP401" s="101"/>
      <c r="BQ401" s="101"/>
      <c r="BR401" s="104"/>
      <c r="BS401" s="104"/>
      <c r="BT401" s="104"/>
      <c r="BU401" s="104"/>
      <c r="BV401" s="104"/>
      <c r="BW401" s="104"/>
      <c r="BX401" s="104"/>
      <c r="BY401" s="104"/>
      <c r="BZ401" s="104"/>
      <c r="CA401" s="104"/>
      <c r="CB401" s="104"/>
      <c r="CC401" s="104"/>
      <c r="CD401" s="104"/>
      <c r="CE401" s="104"/>
      <c r="CF401" s="104"/>
      <c r="CG401" s="104"/>
      <c r="CH401" s="104"/>
      <c r="CI401" s="104"/>
      <c r="CJ401" s="104"/>
      <c r="CK401" s="104"/>
      <c r="CL401" s="104"/>
      <c r="CM401" s="104"/>
      <c r="CN401" s="98"/>
      <c r="CP401" s="101"/>
      <c r="CQ401" s="101"/>
      <c r="CR401" s="101"/>
      <c r="CS401" s="101"/>
      <c r="CT401" s="101"/>
      <c r="FJ401" s="103"/>
      <c r="FL401" s="103"/>
      <c r="FN401" s="103"/>
      <c r="FP401" s="103"/>
    </row>
    <row r="402" spans="2:172" x14ac:dyDescent="0.35">
      <c r="B402" s="97"/>
      <c r="G402" s="100"/>
      <c r="K402" s="98"/>
      <c r="L402" s="101"/>
      <c r="M402" s="101"/>
      <c r="N402" s="101"/>
      <c r="O402" s="101"/>
      <c r="P402" s="102"/>
      <c r="Q402" s="101"/>
      <c r="R402" s="98"/>
      <c r="S402" s="98"/>
      <c r="T402" s="98"/>
      <c r="U402" s="98"/>
      <c r="V402" s="98"/>
      <c r="W402" s="98"/>
      <c r="X402" s="103"/>
      <c r="Y402" s="103"/>
      <c r="Z402" s="103"/>
      <c r="AA402" s="103"/>
      <c r="AB402" s="103"/>
      <c r="AC402" s="103"/>
      <c r="AD402" s="103"/>
      <c r="AE402" s="101"/>
      <c r="AF402" s="101"/>
      <c r="AG402" s="101"/>
      <c r="AH402" s="101"/>
      <c r="AI402" s="101"/>
      <c r="AJ402" s="101"/>
      <c r="AK402" s="101"/>
      <c r="AL402" s="103"/>
      <c r="AM402" s="103"/>
      <c r="AN402" s="103"/>
      <c r="AO402" s="103"/>
      <c r="AP402" s="103"/>
      <c r="AQ402" s="103"/>
      <c r="AR402" s="103"/>
      <c r="AS402" s="101"/>
      <c r="AT402" s="101"/>
      <c r="AU402" s="101"/>
      <c r="AV402" s="101"/>
      <c r="AW402" s="101"/>
      <c r="AX402" s="101"/>
      <c r="AY402" s="101"/>
      <c r="AZ402" s="103"/>
      <c r="BA402" s="103"/>
      <c r="BB402" s="103"/>
      <c r="BC402" s="101"/>
      <c r="BD402" s="101"/>
      <c r="BE402" s="101"/>
      <c r="BF402" s="101"/>
      <c r="BG402" s="101"/>
      <c r="BK402" s="101"/>
      <c r="BL402" s="101"/>
      <c r="BM402" s="101"/>
      <c r="BN402" s="101"/>
      <c r="BO402" s="101"/>
      <c r="BP402" s="101"/>
      <c r="BQ402" s="101"/>
      <c r="BR402" s="104"/>
      <c r="BS402" s="104"/>
      <c r="BT402" s="104"/>
      <c r="BU402" s="104"/>
      <c r="BV402" s="104"/>
      <c r="BW402" s="104"/>
      <c r="BX402" s="104"/>
      <c r="BY402" s="104"/>
      <c r="BZ402" s="104"/>
      <c r="CA402" s="104"/>
      <c r="CB402" s="104"/>
      <c r="CC402" s="104"/>
      <c r="CD402" s="104"/>
      <c r="CE402" s="104"/>
      <c r="CF402" s="104"/>
      <c r="CG402" s="104"/>
      <c r="CH402" s="104"/>
      <c r="CI402" s="104"/>
      <c r="CJ402" s="104"/>
      <c r="CK402" s="104"/>
      <c r="CL402" s="104"/>
      <c r="CM402" s="104"/>
      <c r="CN402" s="98"/>
      <c r="CP402" s="101"/>
      <c r="CQ402" s="101"/>
      <c r="CR402" s="101"/>
      <c r="CS402" s="101"/>
      <c r="CT402" s="101"/>
      <c r="FJ402" s="103"/>
      <c r="FL402" s="103"/>
      <c r="FN402" s="103"/>
      <c r="FP402" s="103"/>
    </row>
    <row r="403" spans="2:172" x14ac:dyDescent="0.35">
      <c r="B403" s="97"/>
      <c r="G403" s="100"/>
      <c r="K403" s="98"/>
      <c r="L403" s="101"/>
      <c r="M403" s="101"/>
      <c r="N403" s="101"/>
      <c r="O403" s="101"/>
      <c r="P403" s="102"/>
      <c r="Q403" s="101"/>
      <c r="R403" s="98"/>
      <c r="S403" s="98"/>
      <c r="T403" s="98"/>
      <c r="U403" s="98"/>
      <c r="V403" s="98"/>
      <c r="W403" s="98"/>
      <c r="X403" s="103"/>
      <c r="Y403" s="103"/>
      <c r="Z403" s="103"/>
      <c r="AA403" s="103"/>
      <c r="AB403" s="103"/>
      <c r="AC403" s="103"/>
      <c r="AD403" s="103"/>
      <c r="AE403" s="101"/>
      <c r="AF403" s="101"/>
      <c r="AG403" s="101"/>
      <c r="AH403" s="101"/>
      <c r="AI403" s="101"/>
      <c r="AJ403" s="101"/>
      <c r="AK403" s="101"/>
      <c r="AL403" s="103"/>
      <c r="AM403" s="103"/>
      <c r="AN403" s="103"/>
      <c r="AO403" s="103"/>
      <c r="AP403" s="103"/>
      <c r="AQ403" s="103"/>
      <c r="AR403" s="103"/>
      <c r="AS403" s="101"/>
      <c r="AT403" s="101"/>
      <c r="AU403" s="101"/>
      <c r="AV403" s="101"/>
      <c r="AW403" s="101"/>
      <c r="AX403" s="101"/>
      <c r="AY403" s="101"/>
      <c r="AZ403" s="103"/>
      <c r="BA403" s="103"/>
      <c r="BB403" s="103"/>
      <c r="BC403" s="101"/>
      <c r="BD403" s="101"/>
      <c r="BE403" s="101"/>
      <c r="BF403" s="101"/>
      <c r="BG403" s="101"/>
      <c r="BK403" s="101"/>
      <c r="BL403" s="101"/>
      <c r="BM403" s="101"/>
      <c r="BN403" s="101"/>
      <c r="BO403" s="101"/>
      <c r="BP403" s="101"/>
      <c r="BQ403" s="101"/>
      <c r="BR403" s="104"/>
      <c r="BS403" s="104"/>
      <c r="BT403" s="104"/>
      <c r="BU403" s="104"/>
      <c r="BV403" s="104"/>
      <c r="BW403" s="104"/>
      <c r="BX403" s="104"/>
      <c r="BY403" s="104"/>
      <c r="BZ403" s="104"/>
      <c r="CA403" s="104"/>
      <c r="CB403" s="104"/>
      <c r="CC403" s="104"/>
      <c r="CD403" s="104"/>
      <c r="CE403" s="104"/>
      <c r="CF403" s="104"/>
      <c r="CG403" s="104"/>
      <c r="CH403" s="104"/>
      <c r="CI403" s="104"/>
      <c r="CJ403" s="104"/>
      <c r="CK403" s="104"/>
      <c r="CL403" s="104"/>
      <c r="CM403" s="104"/>
      <c r="CN403" s="98"/>
      <c r="CP403" s="101"/>
      <c r="CQ403" s="101"/>
      <c r="CR403" s="101"/>
      <c r="CS403" s="101"/>
      <c r="CT403" s="101"/>
      <c r="FJ403" s="103"/>
      <c r="FL403" s="103"/>
      <c r="FN403" s="103"/>
      <c r="FP403" s="103"/>
    </row>
    <row r="404" spans="2:172" x14ac:dyDescent="0.35">
      <c r="B404" s="97"/>
      <c r="G404" s="100"/>
      <c r="K404" s="98"/>
      <c r="L404" s="101"/>
      <c r="M404" s="101"/>
      <c r="N404" s="101"/>
      <c r="O404" s="101"/>
      <c r="P404" s="102"/>
      <c r="Q404" s="101"/>
      <c r="R404" s="98"/>
      <c r="S404" s="98"/>
      <c r="T404" s="98"/>
      <c r="U404" s="98"/>
      <c r="V404" s="98"/>
      <c r="W404" s="98"/>
      <c r="X404" s="103"/>
      <c r="Y404" s="103"/>
      <c r="Z404" s="103"/>
      <c r="AA404" s="103"/>
      <c r="AB404" s="103"/>
      <c r="AC404" s="103"/>
      <c r="AD404" s="103"/>
      <c r="AE404" s="101"/>
      <c r="AF404" s="101"/>
      <c r="AG404" s="101"/>
      <c r="AH404" s="101"/>
      <c r="AI404" s="101"/>
      <c r="AJ404" s="101"/>
      <c r="AK404" s="101"/>
      <c r="AL404" s="103"/>
      <c r="AM404" s="103"/>
      <c r="AN404" s="103"/>
      <c r="AO404" s="103"/>
      <c r="AP404" s="103"/>
      <c r="AQ404" s="103"/>
      <c r="AR404" s="103"/>
      <c r="AS404" s="101"/>
      <c r="AT404" s="101"/>
      <c r="AU404" s="101"/>
      <c r="AV404" s="101"/>
      <c r="AW404" s="101"/>
      <c r="AX404" s="101"/>
      <c r="AY404" s="101"/>
      <c r="AZ404" s="103"/>
      <c r="BA404" s="103"/>
      <c r="BB404" s="103"/>
      <c r="BC404" s="101"/>
      <c r="BD404" s="101"/>
      <c r="BE404" s="101"/>
      <c r="BF404" s="101"/>
      <c r="BG404" s="101"/>
      <c r="BK404" s="101"/>
      <c r="BL404" s="101"/>
      <c r="BM404" s="101"/>
      <c r="BN404" s="101"/>
      <c r="BO404" s="101"/>
      <c r="BP404" s="101"/>
      <c r="BQ404" s="101"/>
      <c r="BR404" s="104"/>
      <c r="BS404" s="104"/>
      <c r="BT404" s="104"/>
      <c r="BU404" s="104"/>
      <c r="BV404" s="104"/>
      <c r="BW404" s="104"/>
      <c r="BX404" s="104"/>
      <c r="BY404" s="104"/>
      <c r="BZ404" s="104"/>
      <c r="CA404" s="104"/>
      <c r="CB404" s="104"/>
      <c r="CC404" s="104"/>
      <c r="CD404" s="104"/>
      <c r="CE404" s="104"/>
      <c r="CF404" s="104"/>
      <c r="CG404" s="104"/>
      <c r="CH404" s="104"/>
      <c r="CI404" s="104"/>
      <c r="CJ404" s="104"/>
      <c r="CK404" s="104"/>
      <c r="CL404" s="104"/>
      <c r="CM404" s="104"/>
      <c r="CN404" s="98"/>
      <c r="CP404" s="101"/>
      <c r="CQ404" s="101"/>
      <c r="CR404" s="101"/>
      <c r="CS404" s="101"/>
      <c r="CT404" s="101"/>
      <c r="FJ404" s="103"/>
      <c r="FL404" s="103"/>
      <c r="FN404" s="103"/>
      <c r="FP404" s="103"/>
    </row>
    <row r="405" spans="2:172" x14ac:dyDescent="0.35">
      <c r="B405" s="97"/>
      <c r="G405" s="100"/>
      <c r="K405" s="98"/>
      <c r="L405" s="101"/>
      <c r="M405" s="101"/>
      <c r="N405" s="101"/>
      <c r="O405" s="101"/>
      <c r="P405" s="102"/>
      <c r="Q405" s="101"/>
      <c r="R405" s="98"/>
      <c r="S405" s="98"/>
      <c r="T405" s="98"/>
      <c r="U405" s="98"/>
      <c r="V405" s="98"/>
      <c r="W405" s="98"/>
      <c r="X405" s="103"/>
      <c r="Y405" s="103"/>
      <c r="Z405" s="103"/>
      <c r="AA405" s="103"/>
      <c r="AB405" s="103"/>
      <c r="AC405" s="103"/>
      <c r="AD405" s="103"/>
      <c r="AE405" s="101"/>
      <c r="AF405" s="101"/>
      <c r="AG405" s="101"/>
      <c r="AH405" s="101"/>
      <c r="AI405" s="101"/>
      <c r="AJ405" s="101"/>
      <c r="AK405" s="101"/>
      <c r="AL405" s="103"/>
      <c r="AM405" s="103"/>
      <c r="AN405" s="103"/>
      <c r="AO405" s="103"/>
      <c r="AP405" s="103"/>
      <c r="AQ405" s="103"/>
      <c r="AR405" s="103"/>
      <c r="AS405" s="101"/>
      <c r="AT405" s="101"/>
      <c r="AU405" s="101"/>
      <c r="AV405" s="101"/>
      <c r="AW405" s="101"/>
      <c r="AX405" s="101"/>
      <c r="AY405" s="101"/>
      <c r="AZ405" s="103"/>
      <c r="BA405" s="103"/>
      <c r="BB405" s="103"/>
      <c r="BC405" s="101"/>
      <c r="BD405" s="101"/>
      <c r="BE405" s="101"/>
      <c r="BF405" s="101"/>
      <c r="BG405" s="101"/>
      <c r="BK405" s="101"/>
      <c r="BL405" s="101"/>
      <c r="BM405" s="101"/>
      <c r="BN405" s="101"/>
      <c r="BO405" s="101"/>
      <c r="BP405" s="101"/>
      <c r="BQ405" s="101"/>
      <c r="BR405" s="104"/>
      <c r="BS405" s="104"/>
      <c r="BT405" s="104"/>
      <c r="BU405" s="104"/>
      <c r="BV405" s="104"/>
      <c r="BW405" s="104"/>
      <c r="BX405" s="104"/>
      <c r="BY405" s="104"/>
      <c r="BZ405" s="104"/>
      <c r="CA405" s="104"/>
      <c r="CB405" s="104"/>
      <c r="CC405" s="104"/>
      <c r="CD405" s="104"/>
      <c r="CE405" s="104"/>
      <c r="CF405" s="104"/>
      <c r="CG405" s="104"/>
      <c r="CH405" s="104"/>
      <c r="CI405" s="104"/>
      <c r="CJ405" s="104"/>
      <c r="CK405" s="104"/>
      <c r="CL405" s="104"/>
      <c r="CM405" s="104"/>
      <c r="CN405" s="98"/>
      <c r="CP405" s="101"/>
      <c r="CQ405" s="101"/>
      <c r="CR405" s="101"/>
      <c r="CS405" s="101"/>
      <c r="CT405" s="101"/>
      <c r="FJ405" s="103"/>
      <c r="FL405" s="103"/>
      <c r="FN405" s="103"/>
      <c r="FP405" s="103"/>
    </row>
    <row r="406" spans="2:172" x14ac:dyDescent="0.35">
      <c r="B406" s="97"/>
      <c r="G406" s="100"/>
      <c r="K406" s="98"/>
      <c r="L406" s="101"/>
      <c r="M406" s="101"/>
      <c r="N406" s="101"/>
      <c r="O406" s="101"/>
      <c r="P406" s="102"/>
      <c r="Q406" s="101"/>
      <c r="R406" s="98"/>
      <c r="S406" s="98"/>
      <c r="T406" s="98"/>
      <c r="U406" s="98"/>
      <c r="V406" s="98"/>
      <c r="W406" s="98"/>
      <c r="X406" s="103"/>
      <c r="Y406" s="103"/>
      <c r="Z406" s="103"/>
      <c r="AA406" s="103"/>
      <c r="AB406" s="103"/>
      <c r="AC406" s="103"/>
      <c r="AD406" s="103"/>
      <c r="AE406" s="101"/>
      <c r="AF406" s="101"/>
      <c r="AG406" s="101"/>
      <c r="AH406" s="101"/>
      <c r="AI406" s="101"/>
      <c r="AJ406" s="101"/>
      <c r="AK406" s="101"/>
      <c r="AL406" s="103"/>
      <c r="AM406" s="103"/>
      <c r="AN406" s="103"/>
      <c r="AO406" s="103"/>
      <c r="AP406" s="103"/>
      <c r="AQ406" s="103"/>
      <c r="AR406" s="103"/>
      <c r="AS406" s="101"/>
      <c r="AT406" s="101"/>
      <c r="AU406" s="101"/>
      <c r="AV406" s="101"/>
      <c r="AW406" s="101"/>
      <c r="AX406" s="101"/>
      <c r="AY406" s="101"/>
      <c r="AZ406" s="103"/>
      <c r="BA406" s="103"/>
      <c r="BB406" s="103"/>
      <c r="BC406" s="101"/>
      <c r="BD406" s="101"/>
      <c r="BE406" s="101"/>
      <c r="BF406" s="101"/>
      <c r="BG406" s="101"/>
      <c r="BK406" s="101"/>
      <c r="BL406" s="101"/>
      <c r="BM406" s="101"/>
      <c r="BN406" s="101"/>
      <c r="BO406" s="101"/>
      <c r="BP406" s="101"/>
      <c r="BQ406" s="101"/>
      <c r="BR406" s="104"/>
      <c r="BS406" s="104"/>
      <c r="BT406" s="104"/>
      <c r="BU406" s="104"/>
      <c r="BV406" s="104"/>
      <c r="BW406" s="104"/>
      <c r="BX406" s="104"/>
      <c r="BY406" s="104"/>
      <c r="BZ406" s="104"/>
      <c r="CA406" s="104"/>
      <c r="CB406" s="104"/>
      <c r="CC406" s="104"/>
      <c r="CD406" s="104"/>
      <c r="CE406" s="104"/>
      <c r="CF406" s="104"/>
      <c r="CG406" s="104"/>
      <c r="CH406" s="104"/>
      <c r="CI406" s="104"/>
      <c r="CJ406" s="104"/>
      <c r="CK406" s="104"/>
      <c r="CL406" s="104"/>
      <c r="CM406" s="104"/>
      <c r="CN406" s="98"/>
      <c r="CP406" s="101"/>
      <c r="CQ406" s="101"/>
      <c r="CR406" s="101"/>
      <c r="CS406" s="101"/>
      <c r="CT406" s="101"/>
      <c r="FJ406" s="103"/>
      <c r="FL406" s="103"/>
      <c r="FN406" s="103"/>
      <c r="FP406" s="103"/>
    </row>
    <row r="407" spans="2:172" x14ac:dyDescent="0.35">
      <c r="B407" s="97"/>
      <c r="G407" s="100"/>
      <c r="K407" s="98"/>
      <c r="L407" s="101"/>
      <c r="M407" s="101"/>
      <c r="N407" s="101"/>
      <c r="O407" s="101"/>
      <c r="P407" s="102"/>
      <c r="Q407" s="101"/>
      <c r="R407" s="98"/>
      <c r="S407" s="98"/>
      <c r="T407" s="98"/>
      <c r="U407" s="98"/>
      <c r="V407" s="98"/>
      <c r="W407" s="98"/>
      <c r="X407" s="103"/>
      <c r="Y407" s="103"/>
      <c r="Z407" s="103"/>
      <c r="AA407" s="103"/>
      <c r="AB407" s="103"/>
      <c r="AC407" s="103"/>
      <c r="AD407" s="103"/>
      <c r="AE407" s="101"/>
      <c r="AF407" s="101"/>
      <c r="AG407" s="101"/>
      <c r="AH407" s="101"/>
      <c r="AI407" s="101"/>
      <c r="AJ407" s="101"/>
      <c r="AK407" s="101"/>
      <c r="AL407" s="103"/>
      <c r="AM407" s="103"/>
      <c r="AN407" s="103"/>
      <c r="AO407" s="103"/>
      <c r="AP407" s="103"/>
      <c r="AQ407" s="103"/>
      <c r="AR407" s="103"/>
      <c r="AS407" s="101"/>
      <c r="AT407" s="101"/>
      <c r="AU407" s="101"/>
      <c r="AV407" s="101"/>
      <c r="AW407" s="101"/>
      <c r="AX407" s="101"/>
      <c r="AY407" s="101"/>
      <c r="AZ407" s="103"/>
      <c r="BA407" s="103"/>
      <c r="BB407" s="103"/>
      <c r="BC407" s="101"/>
      <c r="BD407" s="101"/>
      <c r="BE407" s="101"/>
      <c r="BF407" s="101"/>
      <c r="BG407" s="101"/>
      <c r="BK407" s="101"/>
      <c r="BL407" s="101"/>
      <c r="BM407" s="101"/>
      <c r="BN407" s="101"/>
      <c r="BO407" s="101"/>
      <c r="BP407" s="101"/>
      <c r="BQ407" s="101"/>
      <c r="BR407" s="104"/>
      <c r="BS407" s="104"/>
      <c r="BT407" s="104"/>
      <c r="BU407" s="104"/>
      <c r="BV407" s="104"/>
      <c r="BW407" s="104"/>
      <c r="BX407" s="104"/>
      <c r="BY407" s="104"/>
      <c r="BZ407" s="104"/>
      <c r="CA407" s="104"/>
      <c r="CB407" s="104"/>
      <c r="CC407" s="104"/>
      <c r="CD407" s="104"/>
      <c r="CE407" s="104"/>
      <c r="CF407" s="104"/>
      <c r="CG407" s="104"/>
      <c r="CH407" s="104"/>
      <c r="CI407" s="104"/>
      <c r="CJ407" s="104"/>
      <c r="CK407" s="104"/>
      <c r="CL407" s="104"/>
      <c r="CM407" s="104"/>
      <c r="CN407" s="98"/>
      <c r="CP407" s="101"/>
      <c r="CQ407" s="101"/>
      <c r="CR407" s="101"/>
      <c r="CS407" s="101"/>
      <c r="CT407" s="101"/>
      <c r="FJ407" s="103"/>
      <c r="FL407" s="103"/>
      <c r="FN407" s="103"/>
      <c r="FP407" s="103"/>
    </row>
    <row r="408" spans="2:172" x14ac:dyDescent="0.35">
      <c r="B408" s="97"/>
      <c r="G408" s="100"/>
      <c r="K408" s="98"/>
      <c r="L408" s="101"/>
      <c r="M408" s="101"/>
      <c r="N408" s="101"/>
      <c r="O408" s="101"/>
      <c r="P408" s="102"/>
      <c r="Q408" s="101"/>
      <c r="R408" s="98"/>
      <c r="S408" s="98"/>
      <c r="T408" s="98"/>
      <c r="U408" s="98"/>
      <c r="V408" s="98"/>
      <c r="W408" s="98"/>
      <c r="X408" s="103"/>
      <c r="Y408" s="103"/>
      <c r="Z408" s="103"/>
      <c r="AA408" s="103"/>
      <c r="AB408" s="103"/>
      <c r="AC408" s="103"/>
      <c r="AD408" s="103"/>
      <c r="AE408" s="101"/>
      <c r="AF408" s="101"/>
      <c r="AG408" s="101"/>
      <c r="AH408" s="101"/>
      <c r="AI408" s="101"/>
      <c r="AJ408" s="101"/>
      <c r="AK408" s="101"/>
      <c r="AL408" s="103"/>
      <c r="AM408" s="103"/>
      <c r="AN408" s="103"/>
      <c r="AO408" s="103"/>
      <c r="AP408" s="103"/>
      <c r="AQ408" s="103"/>
      <c r="AR408" s="103"/>
      <c r="AS408" s="101"/>
      <c r="AT408" s="101"/>
      <c r="AU408" s="101"/>
      <c r="AV408" s="101"/>
      <c r="AW408" s="101"/>
      <c r="AX408" s="101"/>
      <c r="AY408" s="101"/>
      <c r="AZ408" s="103"/>
      <c r="BA408" s="103"/>
      <c r="BB408" s="103"/>
      <c r="BC408" s="101"/>
      <c r="BD408" s="101"/>
      <c r="BE408" s="101"/>
      <c r="BF408" s="101"/>
      <c r="BG408" s="101"/>
      <c r="BK408" s="101"/>
      <c r="BL408" s="101"/>
      <c r="BM408" s="101"/>
      <c r="BN408" s="101"/>
      <c r="BO408" s="101"/>
      <c r="BP408" s="101"/>
      <c r="BQ408" s="101"/>
      <c r="BR408" s="104"/>
      <c r="BS408" s="104"/>
      <c r="BT408" s="104"/>
      <c r="BU408" s="104"/>
      <c r="BV408" s="104"/>
      <c r="BW408" s="104"/>
      <c r="BX408" s="104"/>
      <c r="BY408" s="104"/>
      <c r="BZ408" s="104"/>
      <c r="CA408" s="104"/>
      <c r="CB408" s="104"/>
      <c r="CC408" s="104"/>
      <c r="CD408" s="104"/>
      <c r="CE408" s="104"/>
      <c r="CF408" s="104"/>
      <c r="CG408" s="104"/>
      <c r="CH408" s="104"/>
      <c r="CI408" s="104"/>
      <c r="CJ408" s="104"/>
      <c r="CK408" s="104"/>
      <c r="CL408" s="104"/>
      <c r="CM408" s="104"/>
      <c r="CN408" s="98"/>
      <c r="CP408" s="101"/>
      <c r="CQ408" s="101"/>
      <c r="CR408" s="101"/>
      <c r="CS408" s="101"/>
      <c r="CT408" s="101"/>
      <c r="FJ408" s="103"/>
      <c r="FL408" s="103"/>
      <c r="FN408" s="103"/>
      <c r="FP408" s="103"/>
    </row>
    <row r="409" spans="2:172" x14ac:dyDescent="0.35">
      <c r="B409" s="97"/>
      <c r="G409" s="100"/>
      <c r="K409" s="98"/>
      <c r="L409" s="101"/>
      <c r="M409" s="101"/>
      <c r="N409" s="101"/>
      <c r="O409" s="101"/>
      <c r="P409" s="102"/>
      <c r="Q409" s="101"/>
      <c r="R409" s="98"/>
      <c r="S409" s="98"/>
      <c r="T409" s="98"/>
      <c r="U409" s="98"/>
      <c r="V409" s="98"/>
      <c r="W409" s="98"/>
      <c r="X409" s="103"/>
      <c r="Y409" s="103"/>
      <c r="Z409" s="103"/>
      <c r="AA409" s="103"/>
      <c r="AB409" s="103"/>
      <c r="AC409" s="103"/>
      <c r="AD409" s="103"/>
      <c r="AE409" s="101"/>
      <c r="AF409" s="101"/>
      <c r="AG409" s="101"/>
      <c r="AH409" s="101"/>
      <c r="AI409" s="101"/>
      <c r="AJ409" s="101"/>
      <c r="AK409" s="101"/>
      <c r="AL409" s="103"/>
      <c r="AM409" s="103"/>
      <c r="AN409" s="103"/>
      <c r="AO409" s="103"/>
      <c r="AP409" s="103"/>
      <c r="AQ409" s="103"/>
      <c r="AR409" s="103"/>
      <c r="AS409" s="101"/>
      <c r="AT409" s="101"/>
      <c r="AU409" s="101"/>
      <c r="AV409" s="101"/>
      <c r="AW409" s="101"/>
      <c r="AX409" s="101"/>
      <c r="AY409" s="101"/>
      <c r="AZ409" s="103"/>
      <c r="BA409" s="103"/>
      <c r="BB409" s="103"/>
      <c r="BC409" s="101"/>
      <c r="BD409" s="101"/>
      <c r="BE409" s="101"/>
      <c r="BF409" s="101"/>
      <c r="BG409" s="101"/>
      <c r="BK409" s="101"/>
      <c r="BL409" s="101"/>
      <c r="BM409" s="101"/>
      <c r="BN409" s="101"/>
      <c r="BO409" s="101"/>
      <c r="BP409" s="101"/>
      <c r="BQ409" s="101"/>
      <c r="BR409" s="104"/>
      <c r="BS409" s="104"/>
      <c r="BT409" s="104"/>
      <c r="BU409" s="104"/>
      <c r="BV409" s="104"/>
      <c r="BW409" s="104"/>
      <c r="BX409" s="104"/>
      <c r="BY409" s="104"/>
      <c r="BZ409" s="104"/>
      <c r="CA409" s="104"/>
      <c r="CB409" s="104"/>
      <c r="CC409" s="104"/>
      <c r="CD409" s="104"/>
      <c r="CE409" s="104"/>
      <c r="CF409" s="104"/>
      <c r="CG409" s="104"/>
      <c r="CH409" s="104"/>
      <c r="CI409" s="104"/>
      <c r="CJ409" s="104"/>
      <c r="CK409" s="104"/>
      <c r="CL409" s="104"/>
      <c r="CM409" s="104"/>
      <c r="CN409" s="98"/>
      <c r="CP409" s="101"/>
      <c r="CQ409" s="101"/>
      <c r="CR409" s="101"/>
      <c r="CS409" s="101"/>
      <c r="CT409" s="101"/>
      <c r="FJ409" s="103"/>
      <c r="FL409" s="103"/>
      <c r="FN409" s="103"/>
      <c r="FP409" s="103"/>
    </row>
    <row r="410" spans="2:172" x14ac:dyDescent="0.35">
      <c r="B410" s="97"/>
      <c r="G410" s="100"/>
      <c r="K410" s="98"/>
      <c r="L410" s="101"/>
      <c r="M410" s="101"/>
      <c r="N410" s="101"/>
      <c r="O410" s="101"/>
      <c r="P410" s="102"/>
      <c r="Q410" s="101"/>
      <c r="R410" s="98"/>
      <c r="S410" s="98"/>
      <c r="T410" s="98"/>
      <c r="U410" s="98"/>
      <c r="V410" s="98"/>
      <c r="W410" s="98"/>
      <c r="X410" s="103"/>
      <c r="Y410" s="103"/>
      <c r="Z410" s="103"/>
      <c r="AA410" s="103"/>
      <c r="AB410" s="103"/>
      <c r="AC410" s="103"/>
      <c r="AD410" s="103"/>
      <c r="AE410" s="101"/>
      <c r="AF410" s="101"/>
      <c r="AG410" s="101"/>
      <c r="AH410" s="101"/>
      <c r="AI410" s="101"/>
      <c r="AJ410" s="101"/>
      <c r="AK410" s="101"/>
      <c r="AL410" s="103"/>
      <c r="AM410" s="103"/>
      <c r="AN410" s="103"/>
      <c r="AO410" s="103"/>
      <c r="AP410" s="103"/>
      <c r="AQ410" s="103"/>
      <c r="AR410" s="103"/>
      <c r="AS410" s="101"/>
      <c r="AT410" s="101"/>
      <c r="AU410" s="101"/>
      <c r="AV410" s="101"/>
      <c r="AW410" s="101"/>
      <c r="AX410" s="101"/>
      <c r="AY410" s="101"/>
      <c r="AZ410" s="103"/>
      <c r="BA410" s="103"/>
      <c r="BB410" s="103"/>
      <c r="BC410" s="101"/>
      <c r="BD410" s="101"/>
      <c r="BE410" s="101"/>
      <c r="BF410" s="101"/>
      <c r="BG410" s="101"/>
      <c r="BK410" s="101"/>
      <c r="BL410" s="101"/>
      <c r="BM410" s="101"/>
      <c r="BN410" s="101"/>
      <c r="BO410" s="101"/>
      <c r="BP410" s="101"/>
      <c r="BQ410" s="101"/>
      <c r="BR410" s="104"/>
      <c r="BS410" s="104"/>
      <c r="BT410" s="104"/>
      <c r="BU410" s="104"/>
      <c r="BV410" s="104"/>
      <c r="BW410" s="104"/>
      <c r="BX410" s="104"/>
      <c r="BY410" s="104"/>
      <c r="BZ410" s="104"/>
      <c r="CA410" s="104"/>
      <c r="CB410" s="104"/>
      <c r="CC410" s="104"/>
      <c r="CD410" s="104"/>
      <c r="CE410" s="104"/>
      <c r="CF410" s="104"/>
      <c r="CG410" s="104"/>
      <c r="CH410" s="104"/>
      <c r="CI410" s="104"/>
      <c r="CJ410" s="104"/>
      <c r="CK410" s="104"/>
      <c r="CL410" s="104"/>
      <c r="CM410" s="104"/>
      <c r="CN410" s="98"/>
      <c r="CP410" s="101"/>
      <c r="CQ410" s="101"/>
      <c r="CR410" s="101"/>
      <c r="CS410" s="101"/>
      <c r="CT410" s="101"/>
      <c r="FJ410" s="103"/>
      <c r="FL410" s="103"/>
      <c r="FN410" s="103"/>
      <c r="FP410" s="103"/>
    </row>
    <row r="411" spans="2:172" x14ac:dyDescent="0.35">
      <c r="B411" s="97"/>
      <c r="G411" s="100"/>
      <c r="K411" s="98"/>
      <c r="L411" s="101"/>
      <c r="M411" s="101"/>
      <c r="N411" s="101"/>
      <c r="O411" s="101"/>
      <c r="P411" s="102"/>
      <c r="Q411" s="101"/>
      <c r="R411" s="98"/>
      <c r="S411" s="98"/>
      <c r="T411" s="98"/>
      <c r="U411" s="98"/>
      <c r="V411" s="98"/>
      <c r="W411" s="98"/>
      <c r="X411" s="103"/>
      <c r="Y411" s="103"/>
      <c r="Z411" s="103"/>
      <c r="AA411" s="103"/>
      <c r="AB411" s="103"/>
      <c r="AC411" s="103"/>
      <c r="AD411" s="103"/>
      <c r="AE411" s="101"/>
      <c r="AF411" s="101"/>
      <c r="AG411" s="101"/>
      <c r="AH411" s="101"/>
      <c r="AI411" s="101"/>
      <c r="AJ411" s="101"/>
      <c r="AK411" s="101"/>
      <c r="AL411" s="103"/>
      <c r="AM411" s="103"/>
      <c r="AN411" s="103"/>
      <c r="AO411" s="103"/>
      <c r="AP411" s="103"/>
      <c r="AQ411" s="103"/>
      <c r="AR411" s="103"/>
      <c r="AS411" s="101"/>
      <c r="AT411" s="101"/>
      <c r="AU411" s="101"/>
      <c r="AV411" s="101"/>
      <c r="AW411" s="101"/>
      <c r="AX411" s="101"/>
      <c r="AY411" s="101"/>
      <c r="AZ411" s="103"/>
      <c r="BA411" s="103"/>
      <c r="BB411" s="103"/>
      <c r="BC411" s="101"/>
      <c r="BD411" s="101"/>
      <c r="BE411" s="101"/>
      <c r="BF411" s="101"/>
      <c r="BG411" s="101"/>
      <c r="BK411" s="101"/>
      <c r="BL411" s="101"/>
      <c r="BM411" s="101"/>
      <c r="BN411" s="101"/>
      <c r="BO411" s="101"/>
      <c r="BP411" s="101"/>
      <c r="BQ411" s="101"/>
      <c r="BR411" s="104"/>
      <c r="BS411" s="104"/>
      <c r="BT411" s="104"/>
      <c r="BU411" s="104"/>
      <c r="BV411" s="104"/>
      <c r="BW411" s="104"/>
      <c r="BX411" s="104"/>
      <c r="BY411" s="104"/>
      <c r="BZ411" s="104"/>
      <c r="CA411" s="104"/>
      <c r="CB411" s="104"/>
      <c r="CC411" s="104"/>
      <c r="CD411" s="104"/>
      <c r="CE411" s="104"/>
      <c r="CF411" s="104"/>
      <c r="CG411" s="104"/>
      <c r="CH411" s="104"/>
      <c r="CI411" s="104"/>
      <c r="CJ411" s="104"/>
      <c r="CK411" s="104"/>
      <c r="CL411" s="104"/>
      <c r="CM411" s="104"/>
      <c r="CN411" s="98"/>
      <c r="CP411" s="101"/>
      <c r="CQ411" s="101"/>
      <c r="CR411" s="101"/>
      <c r="CS411" s="101"/>
      <c r="CT411" s="101"/>
      <c r="FJ411" s="103"/>
      <c r="FL411" s="103"/>
      <c r="FN411" s="103"/>
      <c r="FP411" s="103"/>
    </row>
    <row r="412" spans="2:172" x14ac:dyDescent="0.35">
      <c r="B412" s="97"/>
      <c r="G412" s="100"/>
      <c r="K412" s="98"/>
      <c r="L412" s="101"/>
      <c r="M412" s="101"/>
      <c r="N412" s="101"/>
      <c r="O412" s="101"/>
      <c r="P412" s="102"/>
      <c r="Q412" s="101"/>
      <c r="R412" s="98"/>
      <c r="S412" s="98"/>
      <c r="T412" s="98"/>
      <c r="U412" s="98"/>
      <c r="V412" s="98"/>
      <c r="W412" s="98"/>
      <c r="X412" s="103"/>
      <c r="Y412" s="103"/>
      <c r="Z412" s="103"/>
      <c r="AA412" s="103"/>
      <c r="AB412" s="103"/>
      <c r="AC412" s="103"/>
      <c r="AD412" s="103"/>
      <c r="AE412" s="101"/>
      <c r="AF412" s="101"/>
      <c r="AG412" s="101"/>
      <c r="AH412" s="101"/>
      <c r="AI412" s="101"/>
      <c r="AJ412" s="101"/>
      <c r="AK412" s="101"/>
      <c r="AL412" s="103"/>
      <c r="AM412" s="103"/>
      <c r="AN412" s="103"/>
      <c r="AO412" s="103"/>
      <c r="AP412" s="103"/>
      <c r="AQ412" s="103"/>
      <c r="AR412" s="103"/>
      <c r="AS412" s="101"/>
      <c r="AT412" s="101"/>
      <c r="AU412" s="101"/>
      <c r="AV412" s="101"/>
      <c r="AW412" s="101"/>
      <c r="AX412" s="101"/>
      <c r="AY412" s="101"/>
      <c r="AZ412" s="103"/>
      <c r="BA412" s="103"/>
      <c r="BB412" s="103"/>
      <c r="BC412" s="101"/>
      <c r="BD412" s="101"/>
      <c r="BE412" s="101"/>
      <c r="BF412" s="101"/>
      <c r="BG412" s="101"/>
      <c r="BK412" s="101"/>
      <c r="BL412" s="101"/>
      <c r="BM412" s="101"/>
      <c r="BN412" s="101"/>
      <c r="BO412" s="101"/>
      <c r="BP412" s="101"/>
      <c r="BQ412" s="101"/>
      <c r="BR412" s="104"/>
      <c r="BS412" s="104"/>
      <c r="BT412" s="104"/>
      <c r="BU412" s="104"/>
      <c r="BV412" s="104"/>
      <c r="BW412" s="104"/>
      <c r="BX412" s="104"/>
      <c r="BY412" s="104"/>
      <c r="BZ412" s="104"/>
      <c r="CA412" s="104"/>
      <c r="CB412" s="104"/>
      <c r="CC412" s="104"/>
      <c r="CD412" s="104"/>
      <c r="CE412" s="104"/>
      <c r="CF412" s="104"/>
      <c r="CG412" s="104"/>
      <c r="CH412" s="104"/>
      <c r="CI412" s="104"/>
      <c r="CJ412" s="104"/>
      <c r="CK412" s="104"/>
      <c r="CL412" s="104"/>
      <c r="CM412" s="104"/>
      <c r="CN412" s="98"/>
      <c r="CP412" s="101"/>
      <c r="CQ412" s="101"/>
      <c r="CR412" s="101"/>
      <c r="CS412" s="101"/>
      <c r="CT412" s="101"/>
      <c r="FJ412" s="103"/>
      <c r="FL412" s="103"/>
      <c r="FN412" s="103"/>
      <c r="FP412" s="103"/>
    </row>
    <row r="413" spans="2:172" x14ac:dyDescent="0.35">
      <c r="B413" s="97"/>
      <c r="G413" s="100"/>
      <c r="K413" s="98"/>
      <c r="L413" s="101"/>
      <c r="M413" s="101"/>
      <c r="N413" s="101"/>
      <c r="O413" s="101"/>
      <c r="P413" s="102"/>
      <c r="Q413" s="101"/>
      <c r="R413" s="98"/>
      <c r="S413" s="98"/>
      <c r="T413" s="98"/>
      <c r="U413" s="98"/>
      <c r="V413" s="98"/>
      <c r="W413" s="98"/>
      <c r="X413" s="103"/>
      <c r="Y413" s="103"/>
      <c r="Z413" s="103"/>
      <c r="AA413" s="103"/>
      <c r="AB413" s="103"/>
      <c r="AC413" s="103"/>
      <c r="AD413" s="103"/>
      <c r="AE413" s="101"/>
      <c r="AF413" s="101"/>
      <c r="AG413" s="101"/>
      <c r="AH413" s="101"/>
      <c r="AI413" s="101"/>
      <c r="AJ413" s="101"/>
      <c r="AK413" s="101"/>
      <c r="AL413" s="103"/>
      <c r="AM413" s="103"/>
      <c r="AN413" s="103"/>
      <c r="AO413" s="103"/>
      <c r="AP413" s="103"/>
      <c r="AQ413" s="103"/>
      <c r="AR413" s="103"/>
      <c r="AS413" s="101"/>
      <c r="AT413" s="101"/>
      <c r="AU413" s="101"/>
      <c r="AV413" s="101"/>
      <c r="AW413" s="101"/>
      <c r="AX413" s="101"/>
      <c r="AY413" s="101"/>
      <c r="AZ413" s="103"/>
      <c r="BA413" s="103"/>
      <c r="BB413" s="103"/>
      <c r="BC413" s="101"/>
      <c r="BD413" s="101"/>
      <c r="BE413" s="101"/>
      <c r="BF413" s="101"/>
      <c r="BG413" s="101"/>
      <c r="BK413" s="101"/>
      <c r="BL413" s="101"/>
      <c r="BM413" s="101"/>
      <c r="BN413" s="101"/>
      <c r="BO413" s="101"/>
      <c r="BP413" s="101"/>
      <c r="BQ413" s="101"/>
      <c r="BR413" s="104"/>
      <c r="BS413" s="104"/>
      <c r="BT413" s="104"/>
      <c r="BU413" s="104"/>
      <c r="BV413" s="104"/>
      <c r="BW413" s="104"/>
      <c r="BX413" s="104"/>
      <c r="BY413" s="104"/>
      <c r="BZ413" s="104"/>
      <c r="CA413" s="104"/>
      <c r="CB413" s="104"/>
      <c r="CC413" s="104"/>
      <c r="CD413" s="104"/>
      <c r="CE413" s="104"/>
      <c r="CF413" s="104"/>
      <c r="CG413" s="104"/>
      <c r="CH413" s="104"/>
      <c r="CI413" s="104"/>
      <c r="CJ413" s="104"/>
      <c r="CK413" s="104"/>
      <c r="CL413" s="104"/>
      <c r="CM413" s="104"/>
      <c r="CN413" s="98"/>
      <c r="CP413" s="101"/>
      <c r="CQ413" s="101"/>
      <c r="CR413" s="101"/>
      <c r="CS413" s="101"/>
      <c r="CT413" s="101"/>
      <c r="FJ413" s="103"/>
      <c r="FL413" s="103"/>
      <c r="FN413" s="103"/>
      <c r="FP413" s="103"/>
    </row>
    <row r="414" spans="2:172" x14ac:dyDescent="0.35">
      <c r="B414" s="97"/>
      <c r="G414" s="100"/>
      <c r="K414" s="98"/>
      <c r="L414" s="101"/>
      <c r="M414" s="101"/>
      <c r="N414" s="101"/>
      <c r="O414" s="101"/>
      <c r="P414" s="102"/>
      <c r="Q414" s="101"/>
      <c r="R414" s="98"/>
      <c r="S414" s="98"/>
      <c r="T414" s="98"/>
      <c r="U414" s="98"/>
      <c r="V414" s="98"/>
      <c r="W414" s="98"/>
      <c r="X414" s="103"/>
      <c r="Y414" s="103"/>
      <c r="Z414" s="103"/>
      <c r="AA414" s="103"/>
      <c r="AB414" s="103"/>
      <c r="AC414" s="103"/>
      <c r="AD414" s="103"/>
      <c r="AE414" s="101"/>
      <c r="AF414" s="101"/>
      <c r="AG414" s="101"/>
      <c r="AH414" s="101"/>
      <c r="AI414" s="101"/>
      <c r="AJ414" s="101"/>
      <c r="AK414" s="101"/>
      <c r="AL414" s="103"/>
      <c r="AM414" s="103"/>
      <c r="AN414" s="103"/>
      <c r="AO414" s="103"/>
      <c r="AP414" s="103"/>
      <c r="AQ414" s="103"/>
      <c r="AR414" s="103"/>
      <c r="AS414" s="101"/>
      <c r="AT414" s="101"/>
      <c r="AU414" s="101"/>
      <c r="AV414" s="101"/>
      <c r="AW414" s="101"/>
      <c r="AX414" s="101"/>
      <c r="AY414" s="101"/>
      <c r="AZ414" s="103"/>
      <c r="BA414" s="103"/>
      <c r="BB414" s="103"/>
      <c r="BC414" s="101"/>
      <c r="BD414" s="101"/>
      <c r="BE414" s="101"/>
      <c r="BF414" s="101"/>
      <c r="BG414" s="101"/>
      <c r="BK414" s="101"/>
      <c r="BL414" s="101"/>
      <c r="BM414" s="101"/>
      <c r="BN414" s="101"/>
      <c r="BO414" s="101"/>
      <c r="BP414" s="101"/>
      <c r="BQ414" s="101"/>
      <c r="BR414" s="104"/>
      <c r="BS414" s="104"/>
      <c r="BT414" s="104"/>
      <c r="BU414" s="104"/>
      <c r="BV414" s="104"/>
      <c r="BW414" s="104"/>
      <c r="BX414" s="104"/>
      <c r="BY414" s="104"/>
      <c r="BZ414" s="104"/>
      <c r="CA414" s="104"/>
      <c r="CB414" s="104"/>
      <c r="CC414" s="104"/>
      <c r="CD414" s="104"/>
      <c r="CE414" s="104"/>
      <c r="CF414" s="104"/>
      <c r="CG414" s="104"/>
      <c r="CH414" s="104"/>
      <c r="CI414" s="104"/>
      <c r="CJ414" s="104"/>
      <c r="CK414" s="104"/>
      <c r="CL414" s="104"/>
      <c r="CM414" s="104"/>
      <c r="CN414" s="98"/>
      <c r="CP414" s="101"/>
      <c r="CQ414" s="101"/>
      <c r="CR414" s="101"/>
      <c r="CS414" s="101"/>
      <c r="CT414" s="101"/>
      <c r="FJ414" s="103"/>
      <c r="FL414" s="103"/>
      <c r="FN414" s="103"/>
      <c r="FP414" s="103"/>
    </row>
    <row r="415" spans="2:172" x14ac:dyDescent="0.35">
      <c r="B415" s="97"/>
      <c r="G415" s="100"/>
      <c r="K415" s="98"/>
      <c r="L415" s="101"/>
      <c r="M415" s="101"/>
      <c r="N415" s="101"/>
      <c r="O415" s="101"/>
      <c r="P415" s="102"/>
      <c r="Q415" s="101"/>
      <c r="R415" s="98"/>
      <c r="S415" s="98"/>
      <c r="T415" s="98"/>
      <c r="U415" s="98"/>
      <c r="V415" s="98"/>
      <c r="W415" s="98"/>
      <c r="X415" s="103"/>
      <c r="Y415" s="103"/>
      <c r="Z415" s="103"/>
      <c r="AA415" s="103"/>
      <c r="AB415" s="103"/>
      <c r="AC415" s="103"/>
      <c r="AD415" s="103"/>
      <c r="AE415" s="101"/>
      <c r="AF415" s="101"/>
      <c r="AG415" s="101"/>
      <c r="AH415" s="101"/>
      <c r="AI415" s="101"/>
      <c r="AJ415" s="101"/>
      <c r="AK415" s="101"/>
      <c r="AL415" s="103"/>
      <c r="AM415" s="103"/>
      <c r="AN415" s="103"/>
      <c r="AO415" s="103"/>
      <c r="AP415" s="103"/>
      <c r="AQ415" s="103"/>
      <c r="AR415" s="103"/>
      <c r="AS415" s="101"/>
      <c r="AT415" s="101"/>
      <c r="AU415" s="101"/>
      <c r="AV415" s="101"/>
      <c r="AW415" s="101"/>
      <c r="AX415" s="101"/>
      <c r="AY415" s="101"/>
      <c r="AZ415" s="103"/>
      <c r="BA415" s="103"/>
      <c r="BB415" s="103"/>
      <c r="BC415" s="101"/>
      <c r="BD415" s="101"/>
      <c r="BE415" s="101"/>
      <c r="BF415" s="101"/>
      <c r="BG415" s="101"/>
      <c r="BK415" s="101"/>
      <c r="BL415" s="101"/>
      <c r="BM415" s="101"/>
      <c r="BN415" s="101"/>
      <c r="BO415" s="101"/>
      <c r="BP415" s="101"/>
      <c r="BQ415" s="101"/>
      <c r="BR415" s="104"/>
      <c r="BS415" s="104"/>
      <c r="BT415" s="104"/>
      <c r="BU415" s="104"/>
      <c r="BV415" s="104"/>
      <c r="BW415" s="104"/>
      <c r="BX415" s="104"/>
      <c r="BY415" s="104"/>
      <c r="BZ415" s="104"/>
      <c r="CA415" s="104"/>
      <c r="CB415" s="104"/>
      <c r="CC415" s="104"/>
      <c r="CD415" s="104"/>
      <c r="CE415" s="104"/>
      <c r="CF415" s="104"/>
      <c r="CG415" s="104"/>
      <c r="CH415" s="104"/>
      <c r="CI415" s="104"/>
      <c r="CJ415" s="104"/>
      <c r="CK415" s="104"/>
      <c r="CL415" s="104"/>
      <c r="CM415" s="104"/>
      <c r="CN415" s="98"/>
      <c r="CP415" s="101"/>
      <c r="CQ415" s="101"/>
      <c r="CR415" s="101"/>
      <c r="CS415" s="101"/>
      <c r="CT415" s="101"/>
      <c r="FJ415" s="103"/>
      <c r="FL415" s="103"/>
      <c r="FN415" s="103"/>
      <c r="FP415" s="103"/>
    </row>
    <row r="416" spans="2:172" x14ac:dyDescent="0.35">
      <c r="B416" s="97"/>
      <c r="G416" s="100"/>
      <c r="K416" s="98"/>
      <c r="L416" s="101"/>
      <c r="M416" s="101"/>
      <c r="N416" s="101"/>
      <c r="O416" s="101"/>
      <c r="P416" s="102"/>
      <c r="Q416" s="101"/>
      <c r="R416" s="98"/>
      <c r="S416" s="98"/>
      <c r="T416" s="98"/>
      <c r="U416" s="98"/>
      <c r="V416" s="98"/>
      <c r="W416" s="98"/>
      <c r="X416" s="103"/>
      <c r="Y416" s="103"/>
      <c r="Z416" s="103"/>
      <c r="AA416" s="103"/>
      <c r="AB416" s="103"/>
      <c r="AC416" s="103"/>
      <c r="AD416" s="103"/>
      <c r="AE416" s="101"/>
      <c r="AF416" s="101"/>
      <c r="AG416" s="101"/>
      <c r="AH416" s="101"/>
      <c r="AI416" s="101"/>
      <c r="AJ416" s="101"/>
      <c r="AK416" s="101"/>
      <c r="AL416" s="103"/>
      <c r="AM416" s="103"/>
      <c r="AN416" s="103"/>
      <c r="AO416" s="103"/>
      <c r="AP416" s="103"/>
      <c r="AQ416" s="103"/>
      <c r="AR416" s="103"/>
      <c r="AS416" s="101"/>
      <c r="AT416" s="101"/>
      <c r="AU416" s="101"/>
      <c r="AV416" s="101"/>
      <c r="AW416" s="101"/>
      <c r="AX416" s="101"/>
      <c r="AY416" s="101"/>
      <c r="AZ416" s="103"/>
      <c r="BA416" s="103"/>
      <c r="BB416" s="103"/>
      <c r="BC416" s="101"/>
      <c r="BD416" s="101"/>
      <c r="BE416" s="101"/>
      <c r="BF416" s="101"/>
      <c r="BG416" s="101"/>
      <c r="BK416" s="101"/>
      <c r="BL416" s="101"/>
      <c r="BM416" s="101"/>
      <c r="BN416" s="101"/>
      <c r="BO416" s="101"/>
      <c r="BP416" s="101"/>
      <c r="BQ416" s="101"/>
      <c r="BR416" s="104"/>
      <c r="BS416" s="104"/>
      <c r="BT416" s="104"/>
      <c r="BU416" s="104"/>
      <c r="BV416" s="104"/>
      <c r="BW416" s="104"/>
      <c r="BX416" s="104"/>
      <c r="BY416" s="104"/>
      <c r="BZ416" s="104"/>
      <c r="CA416" s="104"/>
      <c r="CB416" s="104"/>
      <c r="CC416" s="104"/>
      <c r="CD416" s="104"/>
      <c r="CE416" s="104"/>
      <c r="CF416" s="104"/>
      <c r="CG416" s="104"/>
      <c r="CH416" s="104"/>
      <c r="CI416" s="104"/>
      <c r="CJ416" s="104"/>
      <c r="CK416" s="104"/>
      <c r="CL416" s="104"/>
      <c r="CM416" s="104"/>
      <c r="CN416" s="98"/>
      <c r="CP416" s="101"/>
      <c r="CQ416" s="101"/>
      <c r="CR416" s="101"/>
      <c r="CS416" s="101"/>
      <c r="CT416" s="101"/>
      <c r="FJ416" s="103"/>
      <c r="FL416" s="103"/>
      <c r="FN416" s="103"/>
      <c r="FP416" s="103"/>
    </row>
    <row r="417" spans="2:172" x14ac:dyDescent="0.35">
      <c r="B417" s="97"/>
      <c r="G417" s="100"/>
      <c r="K417" s="98"/>
      <c r="L417" s="101"/>
      <c r="M417" s="101"/>
      <c r="N417" s="101"/>
      <c r="O417" s="101"/>
      <c r="P417" s="102"/>
      <c r="Q417" s="101"/>
      <c r="R417" s="98"/>
      <c r="S417" s="98"/>
      <c r="T417" s="98"/>
      <c r="U417" s="98"/>
      <c r="V417" s="98"/>
      <c r="W417" s="98"/>
      <c r="X417" s="103"/>
      <c r="Y417" s="103"/>
      <c r="Z417" s="103"/>
      <c r="AA417" s="103"/>
      <c r="AB417" s="103"/>
      <c r="AC417" s="103"/>
      <c r="AD417" s="103"/>
      <c r="AE417" s="101"/>
      <c r="AF417" s="101"/>
      <c r="AG417" s="101"/>
      <c r="AH417" s="101"/>
      <c r="AI417" s="101"/>
      <c r="AJ417" s="101"/>
      <c r="AK417" s="101"/>
      <c r="AL417" s="103"/>
      <c r="AM417" s="103"/>
      <c r="AN417" s="103"/>
      <c r="AO417" s="103"/>
      <c r="AP417" s="103"/>
      <c r="AQ417" s="103"/>
      <c r="AR417" s="103"/>
      <c r="AS417" s="101"/>
      <c r="AT417" s="101"/>
      <c r="AU417" s="101"/>
      <c r="AV417" s="101"/>
      <c r="AW417" s="101"/>
      <c r="AX417" s="101"/>
      <c r="AY417" s="101"/>
      <c r="AZ417" s="103"/>
      <c r="BA417" s="103"/>
      <c r="BB417" s="103"/>
      <c r="BC417" s="101"/>
      <c r="BD417" s="101"/>
      <c r="BE417" s="101"/>
      <c r="BF417" s="101"/>
      <c r="BG417" s="101"/>
      <c r="BK417" s="101"/>
      <c r="BL417" s="101"/>
      <c r="BM417" s="101"/>
      <c r="BN417" s="101"/>
      <c r="BO417" s="101"/>
      <c r="BP417" s="101"/>
      <c r="BQ417" s="101"/>
      <c r="BR417" s="104"/>
      <c r="BS417" s="104"/>
      <c r="BT417" s="104"/>
      <c r="BU417" s="104"/>
      <c r="BV417" s="104"/>
      <c r="BW417" s="104"/>
      <c r="BX417" s="104"/>
      <c r="BY417" s="104"/>
      <c r="BZ417" s="104"/>
      <c r="CA417" s="104"/>
      <c r="CB417" s="104"/>
      <c r="CC417" s="104"/>
      <c r="CD417" s="104"/>
      <c r="CE417" s="104"/>
      <c r="CF417" s="104"/>
      <c r="CG417" s="104"/>
      <c r="CH417" s="104"/>
      <c r="CI417" s="104"/>
      <c r="CJ417" s="104"/>
      <c r="CK417" s="104"/>
      <c r="CL417" s="104"/>
      <c r="CM417" s="104"/>
      <c r="CN417" s="98"/>
      <c r="CP417" s="101"/>
      <c r="CQ417" s="101"/>
      <c r="CR417" s="101"/>
      <c r="CS417" s="101"/>
      <c r="CT417" s="101"/>
      <c r="FJ417" s="103"/>
      <c r="FL417" s="103"/>
      <c r="FN417" s="103"/>
      <c r="FP417" s="103"/>
    </row>
    <row r="418" spans="2:172" x14ac:dyDescent="0.35">
      <c r="B418" s="97"/>
      <c r="G418" s="100"/>
      <c r="K418" s="98"/>
      <c r="L418" s="101"/>
      <c r="M418" s="101"/>
      <c r="N418" s="101"/>
      <c r="O418" s="101"/>
      <c r="P418" s="102"/>
      <c r="Q418" s="101"/>
      <c r="R418" s="98"/>
      <c r="S418" s="98"/>
      <c r="T418" s="98"/>
      <c r="U418" s="98"/>
      <c r="V418" s="98"/>
      <c r="W418" s="98"/>
      <c r="X418" s="103"/>
      <c r="Y418" s="103"/>
      <c r="Z418" s="103"/>
      <c r="AA418" s="103"/>
      <c r="AB418" s="103"/>
      <c r="AC418" s="103"/>
      <c r="AD418" s="103"/>
      <c r="AE418" s="101"/>
      <c r="AF418" s="101"/>
      <c r="AG418" s="101"/>
      <c r="AH418" s="101"/>
      <c r="AI418" s="101"/>
      <c r="AJ418" s="101"/>
      <c r="AK418" s="101"/>
      <c r="AL418" s="103"/>
      <c r="AM418" s="103"/>
      <c r="AN418" s="103"/>
      <c r="AO418" s="103"/>
      <c r="AP418" s="103"/>
      <c r="AQ418" s="103"/>
      <c r="AR418" s="103"/>
      <c r="AS418" s="101"/>
      <c r="AT418" s="101"/>
      <c r="AU418" s="101"/>
      <c r="AV418" s="101"/>
      <c r="AW418" s="101"/>
      <c r="AX418" s="101"/>
      <c r="AY418" s="101"/>
      <c r="AZ418" s="103"/>
      <c r="BA418" s="103"/>
      <c r="BB418" s="103"/>
      <c r="BC418" s="101"/>
      <c r="BD418" s="101"/>
      <c r="BE418" s="101"/>
      <c r="BF418" s="101"/>
      <c r="BG418" s="101"/>
      <c r="BK418" s="101"/>
      <c r="BL418" s="101"/>
      <c r="BM418" s="101"/>
      <c r="BN418" s="101"/>
      <c r="BO418" s="101"/>
      <c r="BP418" s="101"/>
      <c r="BQ418" s="101"/>
      <c r="BR418" s="104"/>
      <c r="BS418" s="104"/>
      <c r="BT418" s="104"/>
      <c r="BU418" s="104"/>
      <c r="BV418" s="104"/>
      <c r="BW418" s="104"/>
      <c r="BX418" s="104"/>
      <c r="BY418" s="104"/>
      <c r="BZ418" s="104"/>
      <c r="CA418" s="104"/>
      <c r="CB418" s="104"/>
      <c r="CC418" s="104"/>
      <c r="CD418" s="104"/>
      <c r="CE418" s="104"/>
      <c r="CF418" s="104"/>
      <c r="CG418" s="104"/>
      <c r="CH418" s="104"/>
      <c r="CI418" s="104"/>
      <c r="CJ418" s="104"/>
      <c r="CK418" s="104"/>
      <c r="CL418" s="104"/>
      <c r="CM418" s="104"/>
      <c r="CN418" s="98"/>
      <c r="CP418" s="101"/>
      <c r="CQ418" s="101"/>
      <c r="CR418" s="101"/>
      <c r="CS418" s="101"/>
      <c r="CT418" s="101"/>
      <c r="FJ418" s="103"/>
      <c r="FL418" s="103"/>
      <c r="FN418" s="103"/>
      <c r="FP418" s="103"/>
    </row>
    <row r="419" spans="2:172" x14ac:dyDescent="0.35">
      <c r="B419" s="97"/>
      <c r="G419" s="100"/>
      <c r="K419" s="98"/>
      <c r="L419" s="101"/>
      <c r="M419" s="101"/>
      <c r="N419" s="101"/>
      <c r="O419" s="101"/>
      <c r="P419" s="102"/>
      <c r="Q419" s="101"/>
      <c r="R419" s="98"/>
      <c r="S419" s="98"/>
      <c r="T419" s="98"/>
      <c r="U419" s="98"/>
      <c r="V419" s="98"/>
      <c r="W419" s="98"/>
      <c r="X419" s="103"/>
      <c r="Y419" s="103"/>
      <c r="Z419" s="103"/>
      <c r="AA419" s="103"/>
      <c r="AB419" s="103"/>
      <c r="AC419" s="103"/>
      <c r="AD419" s="103"/>
      <c r="AE419" s="101"/>
      <c r="AF419" s="101"/>
      <c r="AG419" s="101"/>
      <c r="AH419" s="101"/>
      <c r="AI419" s="101"/>
      <c r="AJ419" s="101"/>
      <c r="AK419" s="101"/>
      <c r="AL419" s="103"/>
      <c r="AM419" s="103"/>
      <c r="AN419" s="103"/>
      <c r="AO419" s="103"/>
      <c r="AP419" s="103"/>
      <c r="AQ419" s="103"/>
      <c r="AR419" s="103"/>
      <c r="AS419" s="101"/>
      <c r="AT419" s="101"/>
      <c r="AU419" s="101"/>
      <c r="AV419" s="101"/>
      <c r="AW419" s="101"/>
      <c r="AX419" s="101"/>
      <c r="AY419" s="101"/>
      <c r="AZ419" s="103"/>
      <c r="BA419" s="103"/>
      <c r="BB419" s="103"/>
      <c r="BC419" s="101"/>
      <c r="BD419" s="101"/>
      <c r="BE419" s="101"/>
      <c r="BF419" s="101"/>
      <c r="BG419" s="101"/>
      <c r="BK419" s="101"/>
      <c r="BL419" s="101"/>
      <c r="BM419" s="101"/>
      <c r="BN419" s="101"/>
      <c r="BO419" s="101"/>
      <c r="BP419" s="101"/>
      <c r="BQ419" s="101"/>
      <c r="BR419" s="104"/>
      <c r="BS419" s="104"/>
      <c r="BT419" s="104"/>
      <c r="BU419" s="104"/>
      <c r="BV419" s="104"/>
      <c r="BW419" s="104"/>
      <c r="BX419" s="104"/>
      <c r="BY419" s="104"/>
      <c r="BZ419" s="104"/>
      <c r="CA419" s="104"/>
      <c r="CB419" s="104"/>
      <c r="CC419" s="104"/>
      <c r="CD419" s="104"/>
      <c r="CE419" s="104"/>
      <c r="CF419" s="104"/>
      <c r="CG419" s="104"/>
      <c r="CH419" s="104"/>
      <c r="CI419" s="104"/>
      <c r="CJ419" s="104"/>
      <c r="CK419" s="104"/>
      <c r="CL419" s="104"/>
      <c r="CM419" s="104"/>
      <c r="CN419" s="98"/>
      <c r="CP419" s="101"/>
      <c r="CQ419" s="101"/>
      <c r="CR419" s="101"/>
      <c r="CS419" s="101"/>
      <c r="CT419" s="101"/>
      <c r="FJ419" s="103"/>
      <c r="FL419" s="103"/>
      <c r="FN419" s="103"/>
      <c r="FP419" s="103"/>
    </row>
    <row r="420" spans="2:172" x14ac:dyDescent="0.35">
      <c r="B420" s="97"/>
      <c r="G420" s="100"/>
      <c r="K420" s="98"/>
      <c r="L420" s="101"/>
      <c r="M420" s="101"/>
      <c r="N420" s="101"/>
      <c r="O420" s="101"/>
      <c r="P420" s="102"/>
      <c r="Q420" s="101"/>
      <c r="R420" s="98"/>
      <c r="S420" s="98"/>
      <c r="T420" s="98"/>
      <c r="U420" s="98"/>
      <c r="V420" s="98"/>
      <c r="W420" s="98"/>
      <c r="X420" s="103"/>
      <c r="Y420" s="103"/>
      <c r="Z420" s="103"/>
      <c r="AA420" s="103"/>
      <c r="AB420" s="103"/>
      <c r="AC420" s="103"/>
      <c r="AD420" s="103"/>
      <c r="AE420" s="101"/>
      <c r="AF420" s="101"/>
      <c r="AG420" s="101"/>
      <c r="AH420" s="101"/>
      <c r="AI420" s="101"/>
      <c r="AJ420" s="101"/>
      <c r="AK420" s="101"/>
      <c r="AL420" s="103"/>
      <c r="AM420" s="103"/>
      <c r="AN420" s="103"/>
      <c r="AO420" s="103"/>
      <c r="AP420" s="103"/>
      <c r="AQ420" s="103"/>
      <c r="AR420" s="103"/>
      <c r="AS420" s="101"/>
      <c r="AT420" s="101"/>
      <c r="AU420" s="101"/>
      <c r="AV420" s="101"/>
      <c r="AW420" s="101"/>
      <c r="AX420" s="101"/>
      <c r="AY420" s="101"/>
      <c r="AZ420" s="103"/>
      <c r="BA420" s="103"/>
      <c r="BB420" s="103"/>
      <c r="BC420" s="101"/>
      <c r="BD420" s="101"/>
      <c r="BE420" s="101"/>
      <c r="BF420" s="101"/>
      <c r="BG420" s="101"/>
      <c r="BK420" s="101"/>
      <c r="BL420" s="101"/>
      <c r="BM420" s="101"/>
      <c r="BN420" s="101"/>
      <c r="BO420" s="101"/>
      <c r="BP420" s="101"/>
      <c r="BQ420" s="101"/>
      <c r="BR420" s="104"/>
      <c r="BS420" s="104"/>
      <c r="BT420" s="104"/>
      <c r="BU420" s="104"/>
      <c r="BV420" s="104"/>
      <c r="BW420" s="104"/>
      <c r="BX420" s="104"/>
      <c r="BY420" s="104"/>
      <c r="BZ420" s="104"/>
      <c r="CA420" s="104"/>
      <c r="CB420" s="104"/>
      <c r="CC420" s="104"/>
      <c r="CD420" s="104"/>
      <c r="CE420" s="104"/>
      <c r="CF420" s="104"/>
      <c r="CG420" s="104"/>
      <c r="CH420" s="104"/>
      <c r="CI420" s="104"/>
      <c r="CJ420" s="104"/>
      <c r="CK420" s="104"/>
      <c r="CL420" s="104"/>
      <c r="CM420" s="104"/>
      <c r="CN420" s="98"/>
      <c r="CP420" s="101"/>
      <c r="CQ420" s="101"/>
      <c r="CR420" s="101"/>
      <c r="CS420" s="101"/>
      <c r="CT420" s="101"/>
      <c r="FJ420" s="103"/>
      <c r="FL420" s="103"/>
      <c r="FN420" s="103"/>
      <c r="FP420" s="103"/>
    </row>
    <row r="421" spans="2:172" x14ac:dyDescent="0.35">
      <c r="B421" s="97"/>
      <c r="G421" s="100"/>
      <c r="K421" s="98"/>
      <c r="L421" s="101"/>
      <c r="M421" s="101"/>
      <c r="N421" s="101"/>
      <c r="O421" s="101"/>
      <c r="P421" s="102"/>
      <c r="Q421" s="101"/>
      <c r="R421" s="98"/>
      <c r="S421" s="98"/>
      <c r="T421" s="98"/>
      <c r="U421" s="98"/>
      <c r="V421" s="98"/>
      <c r="W421" s="98"/>
      <c r="X421" s="103"/>
      <c r="Y421" s="103"/>
      <c r="Z421" s="103"/>
      <c r="AA421" s="103"/>
      <c r="AB421" s="103"/>
      <c r="AC421" s="103"/>
      <c r="AD421" s="103"/>
      <c r="AE421" s="101"/>
      <c r="AF421" s="101"/>
      <c r="AG421" s="101"/>
      <c r="AH421" s="101"/>
      <c r="AI421" s="101"/>
      <c r="AJ421" s="101"/>
      <c r="AK421" s="101"/>
      <c r="AL421" s="103"/>
      <c r="AM421" s="103"/>
      <c r="AN421" s="103"/>
      <c r="AO421" s="103"/>
      <c r="AP421" s="103"/>
      <c r="AQ421" s="103"/>
      <c r="AR421" s="103"/>
      <c r="AS421" s="101"/>
      <c r="AT421" s="101"/>
      <c r="AU421" s="101"/>
      <c r="AV421" s="101"/>
      <c r="AW421" s="101"/>
      <c r="AX421" s="101"/>
      <c r="AY421" s="101"/>
      <c r="AZ421" s="103"/>
      <c r="BA421" s="103"/>
      <c r="BB421" s="103"/>
      <c r="BC421" s="101"/>
      <c r="BD421" s="101"/>
      <c r="BE421" s="101"/>
      <c r="BF421" s="101"/>
      <c r="BG421" s="101"/>
      <c r="BK421" s="101"/>
      <c r="BL421" s="101"/>
      <c r="BM421" s="101"/>
      <c r="BN421" s="101"/>
      <c r="BO421" s="101"/>
      <c r="BP421" s="101"/>
      <c r="BQ421" s="101"/>
      <c r="BR421" s="104"/>
      <c r="BS421" s="104"/>
      <c r="BT421" s="104"/>
      <c r="BU421" s="104"/>
      <c r="BV421" s="104"/>
      <c r="BW421" s="104"/>
      <c r="BX421" s="104"/>
      <c r="BY421" s="104"/>
      <c r="BZ421" s="104"/>
      <c r="CA421" s="104"/>
      <c r="CB421" s="104"/>
      <c r="CC421" s="104"/>
      <c r="CD421" s="104"/>
      <c r="CE421" s="104"/>
      <c r="CF421" s="104"/>
      <c r="CG421" s="104"/>
      <c r="CH421" s="104"/>
      <c r="CI421" s="104"/>
      <c r="CJ421" s="104"/>
      <c r="CK421" s="104"/>
      <c r="CL421" s="104"/>
      <c r="CM421" s="104"/>
      <c r="CN421" s="98"/>
      <c r="CP421" s="101"/>
      <c r="CQ421" s="101"/>
      <c r="CR421" s="101"/>
      <c r="CS421" s="101"/>
      <c r="CT421" s="101"/>
      <c r="FJ421" s="103"/>
      <c r="FL421" s="103"/>
      <c r="FN421" s="103"/>
      <c r="FP421" s="103"/>
    </row>
    <row r="422" spans="2:172" x14ac:dyDescent="0.35">
      <c r="B422" s="97"/>
      <c r="G422" s="100"/>
      <c r="K422" s="98"/>
      <c r="L422" s="101"/>
      <c r="M422" s="101"/>
      <c r="N422" s="101"/>
      <c r="O422" s="101"/>
      <c r="P422" s="102"/>
      <c r="Q422" s="101"/>
      <c r="R422" s="98"/>
      <c r="S422" s="98"/>
      <c r="T422" s="98"/>
      <c r="U422" s="98"/>
      <c r="V422" s="98"/>
      <c r="W422" s="98"/>
      <c r="X422" s="103"/>
      <c r="Y422" s="103"/>
      <c r="Z422" s="103"/>
      <c r="AA422" s="103"/>
      <c r="AB422" s="103"/>
      <c r="AC422" s="103"/>
      <c r="AD422" s="103"/>
      <c r="AE422" s="101"/>
      <c r="AF422" s="101"/>
      <c r="AG422" s="101"/>
      <c r="AH422" s="101"/>
      <c r="AI422" s="101"/>
      <c r="AJ422" s="101"/>
      <c r="AK422" s="101"/>
      <c r="AL422" s="103"/>
      <c r="AM422" s="103"/>
      <c r="AN422" s="103"/>
      <c r="AO422" s="103"/>
      <c r="AP422" s="103"/>
      <c r="AQ422" s="103"/>
      <c r="AR422" s="103"/>
      <c r="AS422" s="101"/>
      <c r="AT422" s="101"/>
      <c r="AU422" s="101"/>
      <c r="AV422" s="101"/>
      <c r="AW422" s="101"/>
      <c r="AX422" s="101"/>
      <c r="AY422" s="101"/>
      <c r="AZ422" s="103"/>
      <c r="BA422" s="103"/>
      <c r="BB422" s="103"/>
      <c r="BC422" s="101"/>
      <c r="BD422" s="101"/>
      <c r="BE422" s="101"/>
      <c r="BF422" s="101"/>
      <c r="BG422" s="101"/>
      <c r="BK422" s="101"/>
      <c r="BL422" s="101"/>
      <c r="BM422" s="101"/>
      <c r="BN422" s="101"/>
      <c r="BO422" s="101"/>
      <c r="BP422" s="101"/>
      <c r="BQ422" s="101"/>
      <c r="BR422" s="104"/>
      <c r="BS422" s="104"/>
      <c r="BT422" s="104"/>
      <c r="BU422" s="104"/>
      <c r="BV422" s="104"/>
      <c r="BW422" s="104"/>
      <c r="BX422" s="104"/>
      <c r="BY422" s="104"/>
      <c r="BZ422" s="104"/>
      <c r="CA422" s="104"/>
      <c r="CB422" s="104"/>
      <c r="CC422" s="104"/>
      <c r="CD422" s="104"/>
      <c r="CE422" s="104"/>
      <c r="CF422" s="104"/>
      <c r="CG422" s="104"/>
      <c r="CH422" s="104"/>
      <c r="CI422" s="104"/>
      <c r="CJ422" s="104"/>
      <c r="CK422" s="104"/>
      <c r="CL422" s="104"/>
      <c r="CM422" s="104"/>
      <c r="CN422" s="98"/>
      <c r="CP422" s="101"/>
      <c r="CQ422" s="101"/>
      <c r="CR422" s="101"/>
      <c r="CS422" s="101"/>
      <c r="CT422" s="101"/>
      <c r="FJ422" s="103"/>
      <c r="FL422" s="103"/>
      <c r="FN422" s="103"/>
      <c r="FP422" s="103"/>
    </row>
    <row r="423" spans="2:172" x14ac:dyDescent="0.35">
      <c r="B423" s="97"/>
      <c r="G423" s="100"/>
      <c r="K423" s="98"/>
      <c r="L423" s="101"/>
      <c r="M423" s="101"/>
      <c r="N423" s="101"/>
      <c r="O423" s="101"/>
      <c r="P423" s="102"/>
      <c r="Q423" s="101"/>
      <c r="R423" s="98"/>
      <c r="S423" s="98"/>
      <c r="T423" s="98"/>
      <c r="U423" s="98"/>
      <c r="V423" s="98"/>
      <c r="W423" s="98"/>
      <c r="X423" s="103"/>
      <c r="Y423" s="103"/>
      <c r="Z423" s="103"/>
      <c r="AA423" s="103"/>
      <c r="AB423" s="103"/>
      <c r="AC423" s="103"/>
      <c r="AD423" s="103"/>
      <c r="AE423" s="101"/>
      <c r="AF423" s="101"/>
      <c r="AG423" s="101"/>
      <c r="AH423" s="101"/>
      <c r="AI423" s="101"/>
      <c r="AJ423" s="101"/>
      <c r="AK423" s="101"/>
      <c r="AL423" s="103"/>
      <c r="AM423" s="103"/>
      <c r="AN423" s="103"/>
      <c r="AO423" s="103"/>
      <c r="AP423" s="103"/>
      <c r="AQ423" s="103"/>
      <c r="AR423" s="103"/>
      <c r="AS423" s="101"/>
      <c r="AT423" s="101"/>
      <c r="AU423" s="101"/>
      <c r="AV423" s="101"/>
      <c r="AW423" s="101"/>
      <c r="AX423" s="101"/>
      <c r="AY423" s="101"/>
      <c r="AZ423" s="103"/>
      <c r="BA423" s="103"/>
      <c r="BB423" s="103"/>
      <c r="BC423" s="101"/>
      <c r="BD423" s="101"/>
      <c r="BE423" s="101"/>
      <c r="BF423" s="101"/>
      <c r="BG423" s="101"/>
      <c r="BK423" s="101"/>
      <c r="BL423" s="101"/>
      <c r="BM423" s="101"/>
      <c r="BN423" s="101"/>
      <c r="BO423" s="101"/>
      <c r="BP423" s="101"/>
      <c r="BQ423" s="101"/>
      <c r="BR423" s="104"/>
      <c r="BS423" s="104"/>
      <c r="BT423" s="104"/>
      <c r="BU423" s="104"/>
      <c r="BV423" s="104"/>
      <c r="BW423" s="104"/>
      <c r="BX423" s="104"/>
      <c r="BY423" s="104"/>
      <c r="BZ423" s="104"/>
      <c r="CA423" s="104"/>
      <c r="CB423" s="104"/>
      <c r="CC423" s="104"/>
      <c r="CD423" s="104"/>
      <c r="CE423" s="104"/>
      <c r="CF423" s="104"/>
      <c r="CG423" s="104"/>
      <c r="CH423" s="104"/>
      <c r="CI423" s="104"/>
      <c r="CJ423" s="104"/>
      <c r="CK423" s="104"/>
      <c r="CL423" s="104"/>
      <c r="CM423" s="104"/>
      <c r="CN423" s="98"/>
      <c r="CP423" s="101"/>
      <c r="CQ423" s="101"/>
      <c r="CR423" s="101"/>
      <c r="CS423" s="101"/>
      <c r="CT423" s="101"/>
      <c r="FJ423" s="103"/>
      <c r="FL423" s="103"/>
      <c r="FN423" s="103"/>
      <c r="FP423" s="103"/>
    </row>
    <row r="424" spans="2:172" x14ac:dyDescent="0.35">
      <c r="B424" s="97"/>
      <c r="G424" s="100"/>
      <c r="K424" s="98"/>
      <c r="L424" s="101"/>
      <c r="M424" s="101"/>
      <c r="N424" s="101"/>
      <c r="O424" s="101"/>
      <c r="P424" s="102"/>
      <c r="Q424" s="101"/>
      <c r="R424" s="98"/>
      <c r="S424" s="98"/>
      <c r="T424" s="98"/>
      <c r="U424" s="98"/>
      <c r="V424" s="98"/>
      <c r="W424" s="98"/>
      <c r="X424" s="103"/>
      <c r="Y424" s="103"/>
      <c r="Z424" s="103"/>
      <c r="AA424" s="103"/>
      <c r="AB424" s="103"/>
      <c r="AC424" s="103"/>
      <c r="AD424" s="103"/>
      <c r="AE424" s="101"/>
      <c r="AF424" s="101"/>
      <c r="AG424" s="101"/>
      <c r="AH424" s="101"/>
      <c r="AI424" s="101"/>
      <c r="AJ424" s="101"/>
      <c r="AK424" s="101"/>
      <c r="AL424" s="103"/>
      <c r="AM424" s="103"/>
      <c r="AN424" s="103"/>
      <c r="AO424" s="103"/>
      <c r="AP424" s="103"/>
      <c r="AQ424" s="103"/>
      <c r="AR424" s="103"/>
      <c r="AS424" s="101"/>
      <c r="AT424" s="101"/>
      <c r="AU424" s="101"/>
      <c r="AV424" s="101"/>
      <c r="AW424" s="101"/>
      <c r="AX424" s="101"/>
      <c r="AY424" s="101"/>
      <c r="AZ424" s="103"/>
      <c r="BA424" s="103"/>
      <c r="BB424" s="103"/>
      <c r="BC424" s="101"/>
      <c r="BD424" s="101"/>
      <c r="BE424" s="101"/>
      <c r="BF424" s="101"/>
      <c r="BG424" s="101"/>
      <c r="BK424" s="101"/>
      <c r="BL424" s="101"/>
      <c r="BM424" s="101"/>
      <c r="BN424" s="101"/>
      <c r="BO424" s="101"/>
      <c r="BP424" s="101"/>
      <c r="BQ424" s="101"/>
      <c r="BR424" s="104"/>
      <c r="BS424" s="104"/>
      <c r="BT424" s="104"/>
      <c r="BU424" s="104"/>
      <c r="BV424" s="104"/>
      <c r="BW424" s="104"/>
      <c r="BX424" s="104"/>
      <c r="BY424" s="104"/>
      <c r="BZ424" s="104"/>
      <c r="CA424" s="104"/>
      <c r="CB424" s="104"/>
      <c r="CC424" s="104"/>
      <c r="CD424" s="104"/>
      <c r="CE424" s="104"/>
      <c r="CF424" s="104"/>
      <c r="CG424" s="104"/>
      <c r="CH424" s="104"/>
      <c r="CI424" s="104"/>
      <c r="CJ424" s="104"/>
      <c r="CK424" s="104"/>
      <c r="CL424" s="104"/>
      <c r="CM424" s="104"/>
      <c r="CN424" s="98"/>
      <c r="CP424" s="101"/>
      <c r="CQ424" s="101"/>
      <c r="CR424" s="101"/>
      <c r="CS424" s="101"/>
      <c r="CT424" s="101"/>
      <c r="FJ424" s="103"/>
      <c r="FL424" s="103"/>
      <c r="FN424" s="103"/>
      <c r="FP424" s="103"/>
    </row>
    <row r="425" spans="2:172" x14ac:dyDescent="0.35">
      <c r="B425" s="97"/>
      <c r="G425" s="100"/>
      <c r="K425" s="98"/>
      <c r="L425" s="101"/>
      <c r="M425" s="101"/>
      <c r="N425" s="101"/>
      <c r="O425" s="101"/>
      <c r="P425" s="102"/>
      <c r="Q425" s="101"/>
      <c r="R425" s="98"/>
      <c r="S425" s="98"/>
      <c r="T425" s="98"/>
      <c r="U425" s="98"/>
      <c r="V425" s="98"/>
      <c r="W425" s="98"/>
      <c r="X425" s="103"/>
      <c r="Y425" s="103"/>
      <c r="Z425" s="103"/>
      <c r="AA425" s="103"/>
      <c r="AB425" s="103"/>
      <c r="AC425" s="103"/>
      <c r="AD425" s="103"/>
      <c r="AE425" s="101"/>
      <c r="AF425" s="101"/>
      <c r="AG425" s="101"/>
      <c r="AH425" s="101"/>
      <c r="AI425" s="101"/>
      <c r="AJ425" s="101"/>
      <c r="AK425" s="101"/>
      <c r="AL425" s="103"/>
      <c r="AM425" s="103"/>
      <c r="AN425" s="103"/>
      <c r="AO425" s="103"/>
      <c r="AP425" s="103"/>
      <c r="AQ425" s="103"/>
      <c r="AR425" s="103"/>
      <c r="AS425" s="101"/>
      <c r="AT425" s="101"/>
      <c r="AU425" s="101"/>
      <c r="AV425" s="101"/>
      <c r="AW425" s="101"/>
      <c r="AX425" s="101"/>
      <c r="AY425" s="101"/>
      <c r="AZ425" s="103"/>
      <c r="BA425" s="103"/>
      <c r="BB425" s="103"/>
      <c r="BC425" s="101"/>
      <c r="BD425" s="101"/>
      <c r="BE425" s="101"/>
      <c r="BF425" s="101"/>
      <c r="BG425" s="101"/>
      <c r="BK425" s="101"/>
      <c r="BL425" s="101"/>
      <c r="BM425" s="101"/>
      <c r="BN425" s="101"/>
      <c r="BO425" s="101"/>
      <c r="BP425" s="101"/>
      <c r="BQ425" s="101"/>
      <c r="BR425" s="104"/>
      <c r="BS425" s="104"/>
      <c r="BT425" s="104"/>
      <c r="BU425" s="104"/>
      <c r="BV425" s="104"/>
      <c r="BW425" s="104"/>
      <c r="BX425" s="104"/>
      <c r="BY425" s="104"/>
      <c r="BZ425" s="104"/>
      <c r="CA425" s="104"/>
      <c r="CB425" s="104"/>
      <c r="CC425" s="104"/>
      <c r="CD425" s="104"/>
      <c r="CE425" s="104"/>
      <c r="CF425" s="104"/>
      <c r="CG425" s="104"/>
      <c r="CH425" s="104"/>
      <c r="CI425" s="104"/>
      <c r="CJ425" s="104"/>
      <c r="CK425" s="104"/>
      <c r="CL425" s="104"/>
      <c r="CM425" s="104"/>
      <c r="CN425" s="98"/>
      <c r="CP425" s="101"/>
      <c r="CQ425" s="101"/>
      <c r="CR425" s="101"/>
      <c r="CS425" s="101"/>
      <c r="CT425" s="101"/>
      <c r="FJ425" s="103"/>
      <c r="FL425" s="103"/>
      <c r="FN425" s="103"/>
      <c r="FP425" s="103"/>
    </row>
    <row r="426" spans="2:172" x14ac:dyDescent="0.35">
      <c r="B426" s="97"/>
      <c r="G426" s="100"/>
      <c r="K426" s="98"/>
      <c r="L426" s="101"/>
      <c r="M426" s="101"/>
      <c r="N426" s="101"/>
      <c r="O426" s="101"/>
      <c r="P426" s="102"/>
      <c r="Q426" s="101"/>
      <c r="R426" s="98"/>
      <c r="S426" s="98"/>
      <c r="T426" s="98"/>
      <c r="U426" s="98"/>
      <c r="V426" s="98"/>
      <c r="W426" s="98"/>
      <c r="X426" s="103"/>
      <c r="Y426" s="103"/>
      <c r="Z426" s="103"/>
      <c r="AA426" s="103"/>
      <c r="AB426" s="103"/>
      <c r="AC426" s="103"/>
      <c r="AD426" s="103"/>
      <c r="AE426" s="101"/>
      <c r="AF426" s="101"/>
      <c r="AG426" s="101"/>
      <c r="AH426" s="101"/>
      <c r="AI426" s="101"/>
      <c r="AJ426" s="101"/>
      <c r="AK426" s="101"/>
      <c r="AL426" s="103"/>
      <c r="AM426" s="103"/>
      <c r="AN426" s="103"/>
      <c r="AO426" s="103"/>
      <c r="AP426" s="103"/>
      <c r="AQ426" s="103"/>
      <c r="AR426" s="103"/>
      <c r="AS426" s="101"/>
      <c r="AT426" s="101"/>
      <c r="AU426" s="101"/>
      <c r="AV426" s="101"/>
      <c r="AW426" s="101"/>
      <c r="AX426" s="101"/>
      <c r="AY426" s="101"/>
      <c r="AZ426" s="103"/>
      <c r="BA426" s="103"/>
      <c r="BB426" s="103"/>
      <c r="BC426" s="101"/>
      <c r="BD426" s="101"/>
      <c r="BE426" s="101"/>
      <c r="BF426" s="101"/>
      <c r="BG426" s="101"/>
      <c r="BK426" s="101"/>
      <c r="BL426" s="101"/>
      <c r="BM426" s="101"/>
      <c r="BN426" s="101"/>
      <c r="BO426" s="101"/>
      <c r="BP426" s="101"/>
      <c r="BQ426" s="101"/>
      <c r="BR426" s="104"/>
      <c r="BS426" s="104"/>
      <c r="BT426" s="104"/>
      <c r="BU426" s="104"/>
      <c r="BV426" s="104"/>
      <c r="BW426" s="104"/>
      <c r="BX426" s="104"/>
      <c r="BY426" s="104"/>
      <c r="BZ426" s="104"/>
      <c r="CA426" s="104"/>
      <c r="CB426" s="104"/>
      <c r="CC426" s="104"/>
      <c r="CD426" s="104"/>
      <c r="CE426" s="104"/>
      <c r="CF426" s="104"/>
      <c r="CG426" s="104"/>
      <c r="CH426" s="104"/>
      <c r="CI426" s="104"/>
      <c r="CJ426" s="104"/>
      <c r="CK426" s="104"/>
      <c r="CL426" s="104"/>
      <c r="CM426" s="104"/>
      <c r="CN426" s="98"/>
      <c r="CP426" s="101"/>
      <c r="CQ426" s="101"/>
      <c r="CR426" s="101"/>
      <c r="CS426" s="101"/>
      <c r="CT426" s="101"/>
      <c r="FJ426" s="103"/>
      <c r="FL426" s="103"/>
      <c r="FN426" s="103"/>
      <c r="FP426" s="103"/>
    </row>
    <row r="427" spans="2:172" x14ac:dyDescent="0.35">
      <c r="B427" s="97"/>
      <c r="G427" s="100"/>
      <c r="K427" s="98"/>
      <c r="L427" s="101"/>
      <c r="M427" s="101"/>
      <c r="N427" s="101"/>
      <c r="O427" s="101"/>
      <c r="P427" s="102"/>
      <c r="Q427" s="101"/>
      <c r="R427" s="98"/>
      <c r="S427" s="98"/>
      <c r="T427" s="98"/>
      <c r="U427" s="98"/>
      <c r="V427" s="98"/>
      <c r="W427" s="98"/>
      <c r="X427" s="103"/>
      <c r="Y427" s="103"/>
      <c r="Z427" s="103"/>
      <c r="AA427" s="103"/>
      <c r="AB427" s="103"/>
      <c r="AC427" s="103"/>
      <c r="AD427" s="103"/>
      <c r="AE427" s="101"/>
      <c r="AF427" s="101"/>
      <c r="AG427" s="101"/>
      <c r="AH427" s="101"/>
      <c r="AI427" s="101"/>
      <c r="AJ427" s="101"/>
      <c r="AK427" s="101"/>
      <c r="AL427" s="103"/>
      <c r="AM427" s="103"/>
      <c r="AN427" s="103"/>
      <c r="AO427" s="103"/>
      <c r="AP427" s="103"/>
      <c r="AQ427" s="103"/>
      <c r="AR427" s="103"/>
      <c r="AS427" s="101"/>
      <c r="AT427" s="101"/>
      <c r="AU427" s="101"/>
      <c r="AV427" s="101"/>
      <c r="AW427" s="101"/>
      <c r="AX427" s="101"/>
      <c r="AY427" s="101"/>
      <c r="AZ427" s="103"/>
      <c r="BA427" s="103"/>
      <c r="BB427" s="103"/>
      <c r="BC427" s="101"/>
      <c r="BD427" s="101"/>
      <c r="BE427" s="101"/>
      <c r="BF427" s="101"/>
      <c r="BG427" s="101"/>
      <c r="BK427" s="101"/>
      <c r="BL427" s="101"/>
      <c r="BM427" s="101"/>
      <c r="BN427" s="101"/>
      <c r="BO427" s="101"/>
      <c r="BP427" s="101"/>
      <c r="BQ427" s="101"/>
      <c r="BR427" s="104"/>
      <c r="BS427" s="104"/>
      <c r="BT427" s="104"/>
      <c r="BU427" s="104"/>
      <c r="BV427" s="104"/>
      <c r="BW427" s="104"/>
      <c r="BX427" s="104"/>
      <c r="BY427" s="104"/>
      <c r="BZ427" s="104"/>
      <c r="CA427" s="104"/>
      <c r="CB427" s="104"/>
      <c r="CC427" s="104"/>
      <c r="CD427" s="104"/>
      <c r="CE427" s="104"/>
      <c r="CF427" s="104"/>
      <c r="CG427" s="104"/>
      <c r="CH427" s="104"/>
      <c r="CI427" s="104"/>
      <c r="CJ427" s="104"/>
      <c r="CK427" s="104"/>
      <c r="CL427" s="104"/>
      <c r="CM427" s="104"/>
      <c r="CN427" s="98"/>
      <c r="CP427" s="101"/>
      <c r="CQ427" s="101"/>
      <c r="CR427" s="101"/>
      <c r="CS427" s="101"/>
      <c r="CT427" s="101"/>
      <c r="FJ427" s="103"/>
      <c r="FL427" s="103"/>
      <c r="FN427" s="103"/>
      <c r="FP427" s="103"/>
    </row>
    <row r="428" spans="2:172" x14ac:dyDescent="0.35">
      <c r="B428" s="97"/>
      <c r="G428" s="100"/>
      <c r="K428" s="98"/>
      <c r="L428" s="101"/>
      <c r="M428" s="101"/>
      <c r="N428" s="101"/>
      <c r="O428" s="101"/>
      <c r="P428" s="102"/>
      <c r="Q428" s="101"/>
      <c r="R428" s="98"/>
      <c r="S428" s="98"/>
      <c r="T428" s="98"/>
      <c r="U428" s="98"/>
      <c r="V428" s="98"/>
      <c r="W428" s="98"/>
      <c r="X428" s="103"/>
      <c r="Y428" s="103"/>
      <c r="Z428" s="103"/>
      <c r="AA428" s="103"/>
      <c r="AB428" s="103"/>
      <c r="AC428" s="103"/>
      <c r="AD428" s="103"/>
      <c r="AE428" s="101"/>
      <c r="AF428" s="101"/>
      <c r="AG428" s="101"/>
      <c r="AH428" s="101"/>
      <c r="AI428" s="101"/>
      <c r="AJ428" s="101"/>
      <c r="AK428" s="101"/>
      <c r="AL428" s="103"/>
      <c r="AM428" s="103"/>
      <c r="AN428" s="103"/>
      <c r="AO428" s="103"/>
      <c r="AP428" s="103"/>
      <c r="AQ428" s="103"/>
      <c r="AR428" s="103"/>
      <c r="AS428" s="101"/>
      <c r="AT428" s="101"/>
      <c r="AU428" s="101"/>
      <c r="AV428" s="101"/>
      <c r="AW428" s="101"/>
      <c r="AX428" s="101"/>
      <c r="AY428" s="101"/>
      <c r="AZ428" s="103"/>
      <c r="BA428" s="103"/>
      <c r="BB428" s="103"/>
      <c r="BC428" s="101"/>
      <c r="BD428" s="101"/>
      <c r="BE428" s="101"/>
      <c r="BF428" s="101"/>
      <c r="BG428" s="101"/>
      <c r="BK428" s="101"/>
      <c r="BL428" s="101"/>
      <c r="BM428" s="101"/>
      <c r="BN428" s="101"/>
      <c r="BO428" s="101"/>
      <c r="BP428" s="101"/>
      <c r="BQ428" s="101"/>
      <c r="BR428" s="104"/>
      <c r="BS428" s="104"/>
      <c r="BT428" s="104"/>
      <c r="BU428" s="104"/>
      <c r="BV428" s="104"/>
      <c r="BW428" s="104"/>
      <c r="BX428" s="104"/>
      <c r="BY428" s="104"/>
      <c r="BZ428" s="104"/>
      <c r="CA428" s="104"/>
      <c r="CB428" s="104"/>
      <c r="CC428" s="104"/>
      <c r="CD428" s="104"/>
      <c r="CE428" s="104"/>
      <c r="CF428" s="104"/>
      <c r="CG428" s="104"/>
      <c r="CH428" s="104"/>
      <c r="CI428" s="104"/>
      <c r="CJ428" s="104"/>
      <c r="CK428" s="104"/>
      <c r="CL428" s="104"/>
      <c r="CM428" s="104"/>
      <c r="CN428" s="98"/>
      <c r="CP428" s="101"/>
      <c r="CQ428" s="101"/>
      <c r="CR428" s="101"/>
      <c r="CS428" s="101"/>
      <c r="CT428" s="101"/>
      <c r="FJ428" s="103"/>
      <c r="FL428" s="103"/>
      <c r="FN428" s="103"/>
      <c r="FP428" s="103"/>
    </row>
    <row r="429" spans="2:172" x14ac:dyDescent="0.35">
      <c r="B429" s="97"/>
      <c r="G429" s="100"/>
      <c r="K429" s="98"/>
      <c r="L429" s="101"/>
      <c r="M429" s="101"/>
      <c r="N429" s="101"/>
      <c r="O429" s="101"/>
      <c r="P429" s="102"/>
      <c r="Q429" s="101"/>
      <c r="R429" s="98"/>
      <c r="S429" s="98"/>
      <c r="T429" s="98"/>
      <c r="U429" s="98"/>
      <c r="V429" s="98"/>
      <c r="W429" s="98"/>
      <c r="X429" s="103"/>
      <c r="Y429" s="103"/>
      <c r="Z429" s="103"/>
      <c r="AA429" s="103"/>
      <c r="AB429" s="103"/>
      <c r="AC429" s="103"/>
      <c r="AD429" s="103"/>
      <c r="AE429" s="101"/>
      <c r="AF429" s="101"/>
      <c r="AG429" s="101"/>
      <c r="AH429" s="101"/>
      <c r="AI429" s="101"/>
      <c r="AJ429" s="101"/>
      <c r="AK429" s="101"/>
      <c r="AL429" s="103"/>
      <c r="AM429" s="103"/>
      <c r="AN429" s="103"/>
      <c r="AO429" s="103"/>
      <c r="AP429" s="103"/>
      <c r="AQ429" s="103"/>
      <c r="AR429" s="103"/>
      <c r="AS429" s="101"/>
      <c r="AT429" s="101"/>
      <c r="AU429" s="101"/>
      <c r="AV429" s="101"/>
      <c r="AW429" s="101"/>
      <c r="AX429" s="101"/>
      <c r="AY429" s="101"/>
      <c r="AZ429" s="103"/>
      <c r="BA429" s="103"/>
      <c r="BB429" s="103"/>
      <c r="BC429" s="101"/>
      <c r="BD429" s="101"/>
      <c r="BE429" s="101"/>
      <c r="BF429" s="101"/>
      <c r="BG429" s="101"/>
      <c r="BK429" s="101"/>
      <c r="BL429" s="101"/>
      <c r="BM429" s="101"/>
      <c r="BN429" s="101"/>
      <c r="BO429" s="101"/>
      <c r="BP429" s="101"/>
      <c r="BQ429" s="101"/>
      <c r="BR429" s="104"/>
      <c r="BS429" s="104"/>
      <c r="BT429" s="104"/>
      <c r="BU429" s="104"/>
      <c r="BV429" s="104"/>
      <c r="BW429" s="104"/>
      <c r="BX429" s="104"/>
      <c r="BY429" s="104"/>
      <c r="BZ429" s="104"/>
      <c r="CA429" s="104"/>
      <c r="CB429" s="104"/>
      <c r="CC429" s="104"/>
      <c r="CD429" s="104"/>
      <c r="CE429" s="104"/>
      <c r="CF429" s="104"/>
      <c r="CG429" s="104"/>
      <c r="CH429" s="104"/>
      <c r="CI429" s="104"/>
      <c r="CJ429" s="104"/>
      <c r="CK429" s="104"/>
      <c r="CL429" s="104"/>
      <c r="CM429" s="104"/>
      <c r="CN429" s="98"/>
      <c r="CP429" s="101"/>
      <c r="CQ429" s="101"/>
      <c r="CR429" s="101"/>
      <c r="CS429" s="101"/>
      <c r="CT429" s="101"/>
      <c r="FJ429" s="103"/>
      <c r="FL429" s="103"/>
      <c r="FN429" s="103"/>
      <c r="FP429" s="103"/>
    </row>
    <row r="430" spans="2:172" x14ac:dyDescent="0.35">
      <c r="B430" s="97"/>
      <c r="G430" s="100"/>
      <c r="K430" s="98"/>
      <c r="L430" s="101"/>
      <c r="M430" s="101"/>
      <c r="N430" s="101"/>
      <c r="O430" s="101"/>
      <c r="P430" s="102"/>
      <c r="Q430" s="101"/>
      <c r="R430" s="98"/>
      <c r="S430" s="98"/>
      <c r="T430" s="98"/>
      <c r="U430" s="98"/>
      <c r="V430" s="98"/>
      <c r="W430" s="98"/>
      <c r="X430" s="103"/>
      <c r="Y430" s="103"/>
      <c r="Z430" s="103"/>
      <c r="AA430" s="103"/>
      <c r="AB430" s="103"/>
      <c r="AC430" s="103"/>
      <c r="AD430" s="103"/>
      <c r="AE430" s="101"/>
      <c r="AF430" s="101"/>
      <c r="AG430" s="101"/>
      <c r="AH430" s="101"/>
      <c r="AI430" s="101"/>
      <c r="AJ430" s="101"/>
      <c r="AK430" s="101"/>
      <c r="AL430" s="103"/>
      <c r="AM430" s="103"/>
      <c r="AN430" s="103"/>
      <c r="AO430" s="103"/>
      <c r="AP430" s="103"/>
      <c r="AQ430" s="103"/>
      <c r="AR430" s="103"/>
      <c r="AS430" s="101"/>
      <c r="AT430" s="101"/>
      <c r="AU430" s="101"/>
      <c r="AV430" s="101"/>
      <c r="AW430" s="101"/>
      <c r="AX430" s="101"/>
      <c r="AY430" s="101"/>
      <c r="AZ430" s="103"/>
      <c r="BA430" s="103"/>
      <c r="BB430" s="103"/>
      <c r="BC430" s="101"/>
      <c r="BD430" s="101"/>
      <c r="BE430" s="101"/>
      <c r="BF430" s="101"/>
      <c r="BG430" s="101"/>
      <c r="BK430" s="101"/>
      <c r="BL430" s="101"/>
      <c r="BM430" s="101"/>
      <c r="BN430" s="101"/>
      <c r="BO430" s="101"/>
      <c r="BP430" s="101"/>
      <c r="BQ430" s="101"/>
      <c r="BR430" s="104"/>
      <c r="BS430" s="104"/>
      <c r="BT430" s="104"/>
      <c r="BU430" s="104"/>
      <c r="BV430" s="104"/>
      <c r="BW430" s="104"/>
      <c r="BX430" s="104"/>
      <c r="BY430" s="104"/>
      <c r="BZ430" s="104"/>
      <c r="CA430" s="104"/>
      <c r="CB430" s="104"/>
      <c r="CC430" s="104"/>
      <c r="CD430" s="104"/>
      <c r="CE430" s="104"/>
      <c r="CF430" s="104"/>
      <c r="CG430" s="104"/>
      <c r="CH430" s="104"/>
      <c r="CI430" s="104"/>
      <c r="CJ430" s="104"/>
      <c r="CK430" s="104"/>
      <c r="CL430" s="104"/>
      <c r="CM430" s="104"/>
      <c r="CN430" s="98"/>
      <c r="CP430" s="101"/>
      <c r="CQ430" s="101"/>
      <c r="CR430" s="101"/>
      <c r="CS430" s="101"/>
      <c r="CT430" s="101"/>
      <c r="FJ430" s="103"/>
      <c r="FL430" s="103"/>
      <c r="FN430" s="103"/>
      <c r="FP430" s="103"/>
    </row>
    <row r="431" spans="2:172" x14ac:dyDescent="0.35">
      <c r="B431" s="97"/>
      <c r="G431" s="100"/>
      <c r="K431" s="98"/>
      <c r="L431" s="101"/>
      <c r="M431" s="101"/>
      <c r="N431" s="101"/>
      <c r="O431" s="101"/>
      <c r="P431" s="102"/>
      <c r="Q431" s="101"/>
      <c r="R431" s="98"/>
      <c r="S431" s="98"/>
      <c r="T431" s="98"/>
      <c r="U431" s="98"/>
      <c r="V431" s="98"/>
      <c r="W431" s="98"/>
      <c r="X431" s="103"/>
      <c r="Y431" s="103"/>
      <c r="Z431" s="103"/>
      <c r="AA431" s="103"/>
      <c r="AB431" s="103"/>
      <c r="AC431" s="103"/>
      <c r="AD431" s="103"/>
      <c r="AE431" s="101"/>
      <c r="AF431" s="101"/>
      <c r="AG431" s="101"/>
      <c r="AH431" s="101"/>
      <c r="AI431" s="101"/>
      <c r="AJ431" s="101"/>
      <c r="AK431" s="101"/>
      <c r="AL431" s="103"/>
      <c r="AM431" s="103"/>
      <c r="AN431" s="103"/>
      <c r="AO431" s="103"/>
      <c r="AP431" s="103"/>
      <c r="AQ431" s="103"/>
      <c r="AR431" s="103"/>
      <c r="AS431" s="101"/>
      <c r="AT431" s="101"/>
      <c r="AU431" s="101"/>
      <c r="AV431" s="101"/>
      <c r="AW431" s="101"/>
      <c r="AX431" s="101"/>
      <c r="AY431" s="101"/>
      <c r="AZ431" s="103"/>
      <c r="BA431" s="103"/>
      <c r="BB431" s="103"/>
      <c r="BC431" s="101"/>
      <c r="BD431" s="101"/>
      <c r="BE431" s="101"/>
      <c r="BF431" s="101"/>
      <c r="BG431" s="101"/>
      <c r="BK431" s="101"/>
      <c r="BL431" s="101"/>
      <c r="BM431" s="101"/>
      <c r="BN431" s="101"/>
      <c r="BO431" s="101"/>
      <c r="BP431" s="101"/>
      <c r="BQ431" s="101"/>
      <c r="BR431" s="104"/>
      <c r="BS431" s="104"/>
      <c r="BT431" s="104"/>
      <c r="BU431" s="104"/>
      <c r="BV431" s="104"/>
      <c r="BW431" s="104"/>
      <c r="BX431" s="104"/>
      <c r="BY431" s="104"/>
      <c r="BZ431" s="104"/>
      <c r="CA431" s="104"/>
      <c r="CB431" s="104"/>
      <c r="CC431" s="104"/>
      <c r="CD431" s="104"/>
      <c r="CE431" s="104"/>
      <c r="CF431" s="104"/>
      <c r="CG431" s="104"/>
      <c r="CH431" s="104"/>
      <c r="CI431" s="104"/>
      <c r="CJ431" s="104"/>
      <c r="CK431" s="104"/>
      <c r="CL431" s="104"/>
      <c r="CM431" s="104"/>
      <c r="CN431" s="98"/>
      <c r="CP431" s="101"/>
      <c r="CQ431" s="101"/>
      <c r="CR431" s="101"/>
      <c r="CS431" s="101"/>
      <c r="CT431" s="101"/>
      <c r="FJ431" s="103"/>
      <c r="FL431" s="103"/>
      <c r="FN431" s="103"/>
      <c r="FP431" s="103"/>
    </row>
    <row r="432" spans="2:172" x14ac:dyDescent="0.35">
      <c r="B432" s="97"/>
      <c r="G432" s="100"/>
      <c r="K432" s="98"/>
      <c r="L432" s="101"/>
      <c r="M432" s="101"/>
      <c r="N432" s="101"/>
      <c r="O432" s="101"/>
      <c r="P432" s="102"/>
      <c r="Q432" s="101"/>
      <c r="R432" s="98"/>
      <c r="S432" s="98"/>
      <c r="T432" s="98"/>
      <c r="U432" s="98"/>
      <c r="V432" s="98"/>
      <c r="W432" s="98"/>
      <c r="X432" s="103"/>
      <c r="Y432" s="103"/>
      <c r="Z432" s="103"/>
      <c r="AA432" s="103"/>
      <c r="AB432" s="103"/>
      <c r="AC432" s="103"/>
      <c r="AD432" s="103"/>
      <c r="AE432" s="101"/>
      <c r="AF432" s="101"/>
      <c r="AG432" s="101"/>
      <c r="AH432" s="101"/>
      <c r="AI432" s="101"/>
      <c r="AJ432" s="101"/>
      <c r="AK432" s="101"/>
      <c r="AL432" s="103"/>
      <c r="AM432" s="103"/>
      <c r="AN432" s="103"/>
      <c r="AO432" s="103"/>
      <c r="AP432" s="103"/>
      <c r="AQ432" s="103"/>
      <c r="AR432" s="103"/>
      <c r="AS432" s="101"/>
      <c r="AT432" s="101"/>
      <c r="AU432" s="101"/>
      <c r="AV432" s="101"/>
      <c r="AW432" s="101"/>
      <c r="AX432" s="101"/>
      <c r="AY432" s="101"/>
      <c r="AZ432" s="103"/>
      <c r="BA432" s="103"/>
      <c r="BB432" s="103"/>
      <c r="BC432" s="101"/>
      <c r="BD432" s="101"/>
      <c r="BE432" s="101"/>
      <c r="BF432" s="101"/>
      <c r="BG432" s="101"/>
      <c r="BK432" s="101"/>
      <c r="BL432" s="101"/>
      <c r="BM432" s="101"/>
      <c r="BN432" s="101"/>
      <c r="BO432" s="101"/>
      <c r="BP432" s="101"/>
      <c r="BQ432" s="101"/>
      <c r="BR432" s="104"/>
      <c r="BS432" s="104"/>
      <c r="BT432" s="104"/>
      <c r="BU432" s="104"/>
      <c r="BV432" s="104"/>
      <c r="BW432" s="104"/>
      <c r="BX432" s="104"/>
      <c r="BY432" s="104"/>
      <c r="BZ432" s="104"/>
      <c r="CA432" s="104"/>
      <c r="CB432" s="104"/>
      <c r="CC432" s="104"/>
      <c r="CD432" s="104"/>
      <c r="CE432" s="104"/>
      <c r="CF432" s="104"/>
      <c r="CG432" s="104"/>
      <c r="CH432" s="104"/>
      <c r="CI432" s="104"/>
      <c r="CJ432" s="104"/>
      <c r="CK432" s="104"/>
      <c r="CL432" s="104"/>
      <c r="CM432" s="104"/>
      <c r="CN432" s="98"/>
      <c r="CP432" s="101"/>
      <c r="CQ432" s="101"/>
      <c r="CR432" s="101"/>
      <c r="CS432" s="101"/>
      <c r="CT432" s="101"/>
      <c r="FJ432" s="103"/>
      <c r="FL432" s="103"/>
      <c r="FN432" s="103"/>
      <c r="FP432" s="103"/>
    </row>
    <row r="433" spans="2:172" x14ac:dyDescent="0.35">
      <c r="B433" s="97"/>
      <c r="G433" s="100"/>
      <c r="K433" s="98"/>
      <c r="L433" s="101"/>
      <c r="M433" s="101"/>
      <c r="N433" s="101"/>
      <c r="O433" s="101"/>
      <c r="P433" s="102"/>
      <c r="Q433" s="101"/>
      <c r="R433" s="98"/>
      <c r="S433" s="98"/>
      <c r="T433" s="98"/>
      <c r="U433" s="98"/>
      <c r="V433" s="98"/>
      <c r="W433" s="98"/>
      <c r="X433" s="103"/>
      <c r="Y433" s="103"/>
      <c r="Z433" s="103"/>
      <c r="AA433" s="103"/>
      <c r="AB433" s="103"/>
      <c r="AC433" s="103"/>
      <c r="AD433" s="103"/>
      <c r="AE433" s="101"/>
      <c r="AF433" s="101"/>
      <c r="AG433" s="101"/>
      <c r="AH433" s="101"/>
      <c r="AI433" s="101"/>
      <c r="AJ433" s="101"/>
      <c r="AK433" s="101"/>
      <c r="AL433" s="103"/>
      <c r="AM433" s="103"/>
      <c r="AN433" s="103"/>
      <c r="AO433" s="103"/>
      <c r="AP433" s="103"/>
      <c r="AQ433" s="103"/>
      <c r="AR433" s="103"/>
      <c r="AS433" s="101"/>
      <c r="AT433" s="101"/>
      <c r="AU433" s="101"/>
      <c r="AV433" s="101"/>
      <c r="AW433" s="101"/>
      <c r="AX433" s="101"/>
      <c r="AY433" s="101"/>
      <c r="AZ433" s="103"/>
      <c r="BA433" s="103"/>
      <c r="BB433" s="103"/>
      <c r="BC433" s="101"/>
      <c r="BD433" s="101"/>
      <c r="BE433" s="101"/>
      <c r="BF433" s="101"/>
      <c r="BG433" s="101"/>
      <c r="BK433" s="101"/>
      <c r="BL433" s="101"/>
      <c r="BM433" s="101"/>
      <c r="BN433" s="101"/>
      <c r="BO433" s="101"/>
      <c r="BP433" s="101"/>
      <c r="BQ433" s="101"/>
      <c r="BR433" s="104"/>
      <c r="BS433" s="104"/>
      <c r="BT433" s="104"/>
      <c r="BU433" s="104"/>
      <c r="BV433" s="104"/>
      <c r="BW433" s="104"/>
      <c r="BX433" s="104"/>
      <c r="BY433" s="104"/>
      <c r="BZ433" s="104"/>
      <c r="CA433" s="104"/>
      <c r="CB433" s="104"/>
      <c r="CC433" s="104"/>
      <c r="CD433" s="104"/>
      <c r="CE433" s="104"/>
      <c r="CF433" s="104"/>
      <c r="CG433" s="104"/>
      <c r="CH433" s="104"/>
      <c r="CI433" s="104"/>
      <c r="CJ433" s="104"/>
      <c r="CK433" s="104"/>
      <c r="CL433" s="104"/>
      <c r="CM433" s="104"/>
      <c r="CN433" s="98"/>
      <c r="CP433" s="101"/>
      <c r="CQ433" s="101"/>
      <c r="CR433" s="101"/>
      <c r="CS433" s="101"/>
      <c r="CT433" s="101"/>
      <c r="FJ433" s="103"/>
      <c r="FL433" s="103"/>
      <c r="FN433" s="103"/>
      <c r="FP433" s="103"/>
    </row>
    <row r="434" spans="2:172" x14ac:dyDescent="0.35">
      <c r="B434" s="97"/>
      <c r="G434" s="100"/>
      <c r="K434" s="98"/>
      <c r="L434" s="101"/>
      <c r="M434" s="101"/>
      <c r="N434" s="101"/>
      <c r="O434" s="101"/>
      <c r="P434" s="102"/>
      <c r="Q434" s="101"/>
      <c r="R434" s="98"/>
      <c r="S434" s="98"/>
      <c r="T434" s="98"/>
      <c r="U434" s="98"/>
      <c r="V434" s="98"/>
      <c r="W434" s="98"/>
      <c r="X434" s="103"/>
      <c r="Y434" s="103"/>
      <c r="Z434" s="103"/>
      <c r="AA434" s="103"/>
      <c r="AB434" s="103"/>
      <c r="AC434" s="103"/>
      <c r="AD434" s="103"/>
      <c r="AE434" s="101"/>
      <c r="AF434" s="101"/>
      <c r="AG434" s="101"/>
      <c r="AH434" s="101"/>
      <c r="AI434" s="101"/>
      <c r="AJ434" s="101"/>
      <c r="AK434" s="101"/>
      <c r="AL434" s="103"/>
      <c r="AM434" s="103"/>
      <c r="AN434" s="103"/>
      <c r="AO434" s="103"/>
      <c r="AP434" s="103"/>
      <c r="AQ434" s="103"/>
      <c r="AR434" s="103"/>
      <c r="AS434" s="101"/>
      <c r="AT434" s="101"/>
      <c r="AU434" s="101"/>
      <c r="AV434" s="101"/>
      <c r="AW434" s="101"/>
      <c r="AX434" s="101"/>
      <c r="AY434" s="101"/>
      <c r="AZ434" s="103"/>
      <c r="BA434" s="103"/>
      <c r="BB434" s="103"/>
      <c r="BC434" s="101"/>
      <c r="BD434" s="101"/>
      <c r="BE434" s="101"/>
      <c r="BF434" s="101"/>
      <c r="BG434" s="101"/>
      <c r="BK434" s="101"/>
      <c r="BL434" s="101"/>
      <c r="BM434" s="101"/>
      <c r="BN434" s="101"/>
      <c r="BO434" s="101"/>
      <c r="BP434" s="101"/>
      <c r="BQ434" s="101"/>
      <c r="BR434" s="104"/>
      <c r="BS434" s="104"/>
      <c r="BT434" s="104"/>
      <c r="BU434" s="104"/>
      <c r="BV434" s="104"/>
      <c r="BW434" s="104"/>
      <c r="BX434" s="104"/>
      <c r="BY434" s="104"/>
      <c r="BZ434" s="104"/>
      <c r="CA434" s="104"/>
      <c r="CB434" s="104"/>
      <c r="CC434" s="104"/>
      <c r="CD434" s="104"/>
      <c r="CE434" s="104"/>
      <c r="CF434" s="104"/>
      <c r="CG434" s="104"/>
      <c r="CH434" s="104"/>
      <c r="CI434" s="104"/>
      <c r="CJ434" s="104"/>
      <c r="CK434" s="104"/>
      <c r="CL434" s="104"/>
      <c r="CM434" s="104"/>
      <c r="CN434" s="98"/>
      <c r="CP434" s="101"/>
      <c r="CQ434" s="101"/>
      <c r="CR434" s="101"/>
      <c r="CS434" s="101"/>
      <c r="CT434" s="101"/>
      <c r="FJ434" s="103"/>
      <c r="FL434" s="103"/>
      <c r="FN434" s="103"/>
      <c r="FP434" s="103"/>
    </row>
    <row r="435" spans="2:172" x14ac:dyDescent="0.35">
      <c r="B435" s="97"/>
      <c r="G435" s="100"/>
      <c r="K435" s="98"/>
      <c r="L435" s="101"/>
      <c r="M435" s="101"/>
      <c r="N435" s="101"/>
      <c r="O435" s="101"/>
      <c r="P435" s="102"/>
      <c r="Q435" s="101"/>
      <c r="R435" s="98"/>
      <c r="S435" s="98"/>
      <c r="T435" s="98"/>
      <c r="U435" s="98"/>
      <c r="V435" s="98"/>
      <c r="W435" s="98"/>
      <c r="X435" s="103"/>
      <c r="Y435" s="103"/>
      <c r="Z435" s="103"/>
      <c r="AA435" s="103"/>
      <c r="AB435" s="103"/>
      <c r="AC435" s="103"/>
      <c r="AD435" s="103"/>
      <c r="AE435" s="101"/>
      <c r="AF435" s="101"/>
      <c r="AG435" s="101"/>
      <c r="AH435" s="101"/>
      <c r="AI435" s="101"/>
      <c r="AJ435" s="101"/>
      <c r="AK435" s="101"/>
      <c r="AL435" s="103"/>
      <c r="AM435" s="103"/>
      <c r="AN435" s="103"/>
      <c r="AO435" s="103"/>
      <c r="AP435" s="103"/>
      <c r="AQ435" s="103"/>
      <c r="AR435" s="103"/>
      <c r="AS435" s="101"/>
      <c r="AT435" s="101"/>
      <c r="AU435" s="101"/>
      <c r="AV435" s="101"/>
      <c r="AW435" s="101"/>
      <c r="AX435" s="101"/>
      <c r="AY435" s="101"/>
      <c r="AZ435" s="103"/>
      <c r="BA435" s="103"/>
      <c r="BB435" s="103"/>
      <c r="BC435" s="101"/>
      <c r="BD435" s="101"/>
      <c r="BE435" s="101"/>
      <c r="BF435" s="101"/>
      <c r="BG435" s="101"/>
      <c r="BK435" s="101"/>
      <c r="BL435" s="101"/>
      <c r="BM435" s="101"/>
      <c r="BN435" s="101"/>
      <c r="BO435" s="101"/>
      <c r="BP435" s="101"/>
      <c r="BQ435" s="101"/>
      <c r="BR435" s="104"/>
      <c r="BS435" s="104"/>
      <c r="BT435" s="104"/>
      <c r="BU435" s="104"/>
      <c r="BV435" s="104"/>
      <c r="BW435" s="104"/>
      <c r="BX435" s="104"/>
      <c r="BY435" s="104"/>
      <c r="BZ435" s="104"/>
      <c r="CA435" s="104"/>
      <c r="CB435" s="104"/>
      <c r="CC435" s="104"/>
      <c r="CD435" s="104"/>
      <c r="CE435" s="104"/>
      <c r="CF435" s="104"/>
      <c r="CG435" s="104"/>
      <c r="CH435" s="104"/>
      <c r="CI435" s="104"/>
      <c r="CJ435" s="104"/>
      <c r="CK435" s="104"/>
      <c r="CL435" s="104"/>
      <c r="CM435" s="104"/>
      <c r="CN435" s="98"/>
      <c r="CP435" s="101"/>
      <c r="CQ435" s="101"/>
      <c r="CR435" s="101"/>
      <c r="CS435" s="101"/>
      <c r="CT435" s="101"/>
      <c r="FJ435" s="103"/>
      <c r="FL435" s="103"/>
      <c r="FN435" s="103"/>
      <c r="FP435" s="103"/>
    </row>
    <row r="436" spans="2:172" x14ac:dyDescent="0.35">
      <c r="B436" s="97"/>
      <c r="G436" s="100"/>
      <c r="K436" s="98"/>
      <c r="L436" s="101"/>
      <c r="M436" s="101"/>
      <c r="N436" s="101"/>
      <c r="O436" s="101"/>
      <c r="P436" s="102"/>
      <c r="Q436" s="101"/>
      <c r="R436" s="98"/>
      <c r="S436" s="98"/>
      <c r="T436" s="98"/>
      <c r="U436" s="98"/>
      <c r="V436" s="98"/>
      <c r="W436" s="98"/>
      <c r="X436" s="103"/>
      <c r="Y436" s="103"/>
      <c r="Z436" s="103"/>
      <c r="AA436" s="103"/>
      <c r="AB436" s="103"/>
      <c r="AC436" s="103"/>
      <c r="AD436" s="103"/>
      <c r="AE436" s="101"/>
      <c r="AF436" s="101"/>
      <c r="AG436" s="101"/>
      <c r="AH436" s="101"/>
      <c r="AI436" s="101"/>
      <c r="AJ436" s="101"/>
      <c r="AK436" s="101"/>
      <c r="AL436" s="103"/>
      <c r="AM436" s="103"/>
      <c r="AN436" s="103"/>
      <c r="AO436" s="103"/>
      <c r="AP436" s="103"/>
      <c r="AQ436" s="103"/>
      <c r="AR436" s="103"/>
      <c r="AS436" s="101"/>
      <c r="AT436" s="101"/>
      <c r="AU436" s="101"/>
      <c r="AV436" s="101"/>
      <c r="AW436" s="101"/>
      <c r="AX436" s="101"/>
      <c r="AY436" s="101"/>
      <c r="AZ436" s="103"/>
      <c r="BA436" s="103"/>
      <c r="BB436" s="103"/>
      <c r="BC436" s="101"/>
      <c r="BD436" s="101"/>
      <c r="BE436" s="101"/>
      <c r="BF436" s="101"/>
      <c r="BG436" s="101"/>
      <c r="BK436" s="101"/>
      <c r="BL436" s="101"/>
      <c r="BM436" s="101"/>
      <c r="BN436" s="101"/>
      <c r="BO436" s="101"/>
      <c r="BP436" s="101"/>
      <c r="BQ436" s="101"/>
      <c r="BR436" s="104"/>
      <c r="BS436" s="104"/>
      <c r="BT436" s="104"/>
      <c r="BU436" s="104"/>
      <c r="BV436" s="104"/>
      <c r="BW436" s="104"/>
      <c r="BX436" s="104"/>
      <c r="BY436" s="104"/>
      <c r="BZ436" s="104"/>
      <c r="CA436" s="104"/>
      <c r="CB436" s="104"/>
      <c r="CC436" s="104"/>
      <c r="CD436" s="104"/>
      <c r="CE436" s="104"/>
      <c r="CF436" s="104"/>
      <c r="CG436" s="104"/>
      <c r="CH436" s="104"/>
      <c r="CI436" s="104"/>
      <c r="CJ436" s="104"/>
      <c r="CK436" s="104"/>
      <c r="CL436" s="104"/>
      <c r="CM436" s="104"/>
      <c r="CN436" s="98"/>
      <c r="CP436" s="101"/>
      <c r="CQ436" s="101"/>
      <c r="CR436" s="101"/>
      <c r="CS436" s="101"/>
      <c r="CT436" s="101"/>
      <c r="FJ436" s="103"/>
      <c r="FL436" s="103"/>
      <c r="FN436" s="103"/>
      <c r="FP436" s="103"/>
    </row>
    <row r="437" spans="2:172" x14ac:dyDescent="0.35">
      <c r="B437" s="97"/>
      <c r="G437" s="100"/>
      <c r="K437" s="98"/>
      <c r="L437" s="101"/>
      <c r="M437" s="101"/>
      <c r="N437" s="101"/>
      <c r="O437" s="101"/>
      <c r="P437" s="102"/>
      <c r="Q437" s="101"/>
      <c r="R437" s="98"/>
      <c r="S437" s="98"/>
      <c r="T437" s="98"/>
      <c r="U437" s="98"/>
      <c r="V437" s="98"/>
      <c r="W437" s="98"/>
      <c r="X437" s="103"/>
      <c r="Y437" s="103"/>
      <c r="Z437" s="103"/>
      <c r="AA437" s="103"/>
      <c r="AB437" s="103"/>
      <c r="AC437" s="103"/>
      <c r="AD437" s="103"/>
      <c r="AE437" s="101"/>
      <c r="AF437" s="101"/>
      <c r="AG437" s="101"/>
      <c r="AH437" s="101"/>
      <c r="AI437" s="101"/>
      <c r="AJ437" s="101"/>
      <c r="AK437" s="101"/>
      <c r="AL437" s="103"/>
      <c r="AM437" s="103"/>
      <c r="AN437" s="103"/>
      <c r="AO437" s="103"/>
      <c r="AP437" s="103"/>
      <c r="AQ437" s="103"/>
      <c r="AR437" s="103"/>
      <c r="AS437" s="101"/>
      <c r="AT437" s="101"/>
      <c r="AU437" s="101"/>
      <c r="AV437" s="101"/>
      <c r="AW437" s="101"/>
      <c r="AX437" s="101"/>
      <c r="AY437" s="101"/>
      <c r="AZ437" s="103"/>
      <c r="BA437" s="103"/>
      <c r="BB437" s="103"/>
      <c r="BC437" s="101"/>
      <c r="BD437" s="101"/>
      <c r="BE437" s="101"/>
      <c r="BF437" s="101"/>
      <c r="BG437" s="101"/>
      <c r="BK437" s="101"/>
      <c r="BL437" s="101"/>
      <c r="BM437" s="101"/>
      <c r="BN437" s="101"/>
      <c r="BO437" s="101"/>
      <c r="BP437" s="101"/>
      <c r="BQ437" s="101"/>
      <c r="BR437" s="104"/>
      <c r="BS437" s="104"/>
      <c r="BT437" s="104"/>
      <c r="BU437" s="104"/>
      <c r="BV437" s="104"/>
      <c r="BW437" s="104"/>
      <c r="BX437" s="104"/>
      <c r="BY437" s="104"/>
      <c r="BZ437" s="104"/>
      <c r="CA437" s="104"/>
      <c r="CB437" s="104"/>
      <c r="CC437" s="104"/>
      <c r="CD437" s="104"/>
      <c r="CE437" s="104"/>
      <c r="CF437" s="104"/>
      <c r="CG437" s="104"/>
      <c r="CH437" s="104"/>
      <c r="CI437" s="104"/>
      <c r="CJ437" s="104"/>
      <c r="CK437" s="104"/>
      <c r="CL437" s="104"/>
      <c r="CM437" s="104"/>
      <c r="CN437" s="98"/>
      <c r="CP437" s="101"/>
      <c r="CQ437" s="101"/>
      <c r="CR437" s="101"/>
      <c r="CS437" s="101"/>
      <c r="CT437" s="101"/>
      <c r="FJ437" s="103"/>
      <c r="FL437" s="103"/>
      <c r="FN437" s="103"/>
      <c r="FP437" s="103"/>
    </row>
    <row r="438" spans="2:172" x14ac:dyDescent="0.35">
      <c r="B438" s="97"/>
      <c r="G438" s="100"/>
      <c r="K438" s="98"/>
      <c r="L438" s="101"/>
      <c r="M438" s="101"/>
      <c r="N438" s="101"/>
      <c r="O438" s="101"/>
      <c r="P438" s="102"/>
      <c r="Q438" s="101"/>
      <c r="R438" s="98"/>
      <c r="S438" s="98"/>
      <c r="T438" s="98"/>
      <c r="U438" s="98"/>
      <c r="V438" s="98"/>
      <c r="W438" s="98"/>
      <c r="X438" s="103"/>
      <c r="Y438" s="103"/>
      <c r="Z438" s="103"/>
      <c r="AA438" s="103"/>
      <c r="AB438" s="103"/>
      <c r="AC438" s="103"/>
      <c r="AD438" s="103"/>
      <c r="AE438" s="101"/>
      <c r="AF438" s="101"/>
      <c r="AG438" s="101"/>
      <c r="AH438" s="101"/>
      <c r="AI438" s="101"/>
      <c r="AJ438" s="101"/>
      <c r="AK438" s="101"/>
      <c r="AL438" s="103"/>
      <c r="AM438" s="103"/>
      <c r="AN438" s="103"/>
      <c r="AO438" s="103"/>
      <c r="AP438" s="103"/>
      <c r="AQ438" s="103"/>
      <c r="AR438" s="103"/>
      <c r="AS438" s="101"/>
      <c r="AT438" s="101"/>
      <c r="AU438" s="101"/>
      <c r="AV438" s="101"/>
      <c r="AW438" s="101"/>
      <c r="AX438" s="101"/>
      <c r="AY438" s="101"/>
      <c r="AZ438" s="103"/>
      <c r="BA438" s="103"/>
      <c r="BB438" s="103"/>
      <c r="BC438" s="101"/>
      <c r="BD438" s="101"/>
      <c r="BE438" s="101"/>
      <c r="BF438" s="101"/>
      <c r="BG438" s="101"/>
      <c r="BK438" s="101"/>
      <c r="BL438" s="101"/>
      <c r="BM438" s="101"/>
      <c r="BN438" s="101"/>
      <c r="BO438" s="101"/>
      <c r="BP438" s="101"/>
      <c r="BQ438" s="101"/>
      <c r="BR438" s="104"/>
      <c r="BS438" s="104"/>
      <c r="BT438" s="104"/>
      <c r="BU438" s="104"/>
      <c r="BV438" s="104"/>
      <c r="BW438" s="104"/>
      <c r="BX438" s="104"/>
      <c r="BY438" s="104"/>
      <c r="BZ438" s="104"/>
      <c r="CA438" s="104"/>
      <c r="CB438" s="104"/>
      <c r="CC438" s="104"/>
      <c r="CD438" s="104"/>
      <c r="CE438" s="104"/>
      <c r="CF438" s="104"/>
      <c r="CG438" s="104"/>
      <c r="CH438" s="104"/>
      <c r="CI438" s="104"/>
      <c r="CJ438" s="104"/>
      <c r="CK438" s="104"/>
      <c r="CL438" s="104"/>
      <c r="CM438" s="104"/>
      <c r="CN438" s="98"/>
      <c r="CP438" s="101"/>
      <c r="CQ438" s="101"/>
      <c r="CR438" s="101"/>
      <c r="CS438" s="101"/>
      <c r="CT438" s="101"/>
      <c r="FJ438" s="103"/>
      <c r="FL438" s="103"/>
      <c r="FN438" s="103"/>
      <c r="FP438" s="103"/>
    </row>
    <row r="439" spans="2:172" x14ac:dyDescent="0.35">
      <c r="B439" s="97"/>
      <c r="G439" s="100"/>
      <c r="K439" s="98"/>
      <c r="L439" s="101"/>
      <c r="M439" s="101"/>
      <c r="N439" s="101"/>
      <c r="O439" s="101"/>
      <c r="P439" s="102"/>
      <c r="Q439" s="101"/>
      <c r="R439" s="98"/>
      <c r="S439" s="98"/>
      <c r="T439" s="98"/>
      <c r="U439" s="98"/>
      <c r="V439" s="98"/>
      <c r="W439" s="98"/>
      <c r="X439" s="103"/>
      <c r="Y439" s="103"/>
      <c r="Z439" s="103"/>
      <c r="AA439" s="103"/>
      <c r="AB439" s="103"/>
      <c r="AC439" s="103"/>
      <c r="AD439" s="103"/>
      <c r="AE439" s="101"/>
      <c r="AF439" s="101"/>
      <c r="AG439" s="101"/>
      <c r="AH439" s="101"/>
      <c r="AI439" s="101"/>
      <c r="AJ439" s="101"/>
      <c r="AK439" s="101"/>
      <c r="AL439" s="103"/>
      <c r="AM439" s="103"/>
      <c r="AN439" s="103"/>
      <c r="AO439" s="103"/>
      <c r="AP439" s="103"/>
      <c r="AQ439" s="103"/>
      <c r="AR439" s="103"/>
      <c r="AS439" s="101"/>
      <c r="AT439" s="101"/>
      <c r="AU439" s="101"/>
      <c r="AV439" s="101"/>
      <c r="AW439" s="101"/>
      <c r="AX439" s="101"/>
      <c r="AY439" s="101"/>
      <c r="AZ439" s="103"/>
      <c r="BA439" s="103"/>
      <c r="BB439" s="103"/>
      <c r="BC439" s="101"/>
      <c r="BD439" s="101"/>
      <c r="BE439" s="101"/>
      <c r="BF439" s="101"/>
      <c r="BG439" s="101"/>
      <c r="BK439" s="101"/>
      <c r="BL439" s="101"/>
      <c r="BM439" s="101"/>
      <c r="BN439" s="101"/>
      <c r="BO439" s="101"/>
      <c r="BP439" s="101"/>
      <c r="BQ439" s="101"/>
      <c r="BR439" s="104"/>
      <c r="BS439" s="104"/>
      <c r="BT439" s="104"/>
      <c r="BU439" s="104"/>
      <c r="BV439" s="104"/>
      <c r="BW439" s="104"/>
      <c r="BX439" s="104"/>
      <c r="BY439" s="104"/>
      <c r="BZ439" s="104"/>
      <c r="CA439" s="104"/>
      <c r="CB439" s="104"/>
      <c r="CC439" s="104"/>
      <c r="CD439" s="104"/>
      <c r="CE439" s="104"/>
      <c r="CF439" s="104"/>
      <c r="CG439" s="104"/>
      <c r="CH439" s="104"/>
      <c r="CI439" s="104"/>
      <c r="CJ439" s="104"/>
      <c r="CK439" s="104"/>
      <c r="CL439" s="104"/>
      <c r="CM439" s="104"/>
      <c r="CN439" s="98"/>
      <c r="CP439" s="101"/>
      <c r="CQ439" s="101"/>
      <c r="CR439" s="101"/>
      <c r="CS439" s="101"/>
      <c r="CT439" s="101"/>
      <c r="FJ439" s="103"/>
      <c r="FL439" s="103"/>
      <c r="FN439" s="103"/>
      <c r="FP439" s="103"/>
    </row>
    <row r="440" spans="2:172" x14ac:dyDescent="0.35">
      <c r="B440" s="97"/>
      <c r="G440" s="100"/>
      <c r="K440" s="98"/>
      <c r="L440" s="101"/>
      <c r="M440" s="101"/>
      <c r="N440" s="101"/>
      <c r="O440" s="101"/>
      <c r="P440" s="102"/>
      <c r="Q440" s="101"/>
      <c r="R440" s="98"/>
      <c r="S440" s="98"/>
      <c r="T440" s="98"/>
      <c r="U440" s="98"/>
      <c r="V440" s="98"/>
      <c r="W440" s="98"/>
      <c r="X440" s="103"/>
      <c r="Y440" s="103"/>
      <c r="Z440" s="103"/>
      <c r="AA440" s="103"/>
      <c r="AB440" s="103"/>
      <c r="AC440" s="103"/>
      <c r="AD440" s="103"/>
      <c r="AE440" s="101"/>
      <c r="AF440" s="101"/>
      <c r="AG440" s="101"/>
      <c r="AH440" s="101"/>
      <c r="AI440" s="101"/>
      <c r="AJ440" s="101"/>
      <c r="AK440" s="101"/>
      <c r="AL440" s="103"/>
      <c r="AM440" s="103"/>
      <c r="AN440" s="103"/>
      <c r="AO440" s="103"/>
      <c r="AP440" s="103"/>
      <c r="AQ440" s="103"/>
      <c r="AR440" s="103"/>
      <c r="AS440" s="101"/>
      <c r="AT440" s="101"/>
      <c r="AU440" s="101"/>
      <c r="AV440" s="101"/>
      <c r="AW440" s="101"/>
      <c r="AX440" s="101"/>
      <c r="AY440" s="101"/>
      <c r="AZ440" s="103"/>
      <c r="BA440" s="103"/>
      <c r="BB440" s="103"/>
      <c r="BC440" s="101"/>
      <c r="BD440" s="101"/>
      <c r="BE440" s="101"/>
      <c r="BF440" s="101"/>
      <c r="BG440" s="101"/>
      <c r="BK440" s="101"/>
      <c r="BL440" s="101"/>
      <c r="BM440" s="101"/>
      <c r="BN440" s="101"/>
      <c r="BO440" s="101"/>
      <c r="BP440" s="101"/>
      <c r="BQ440" s="101"/>
      <c r="BR440" s="104"/>
      <c r="BS440" s="104"/>
      <c r="BT440" s="104"/>
      <c r="BU440" s="104"/>
      <c r="BV440" s="104"/>
      <c r="BW440" s="104"/>
      <c r="BX440" s="104"/>
      <c r="BY440" s="104"/>
      <c r="BZ440" s="104"/>
      <c r="CA440" s="104"/>
      <c r="CB440" s="104"/>
      <c r="CC440" s="104"/>
      <c r="CD440" s="104"/>
      <c r="CE440" s="104"/>
      <c r="CF440" s="104"/>
      <c r="CG440" s="104"/>
      <c r="CH440" s="104"/>
      <c r="CI440" s="104"/>
      <c r="CJ440" s="104"/>
      <c r="CK440" s="104"/>
      <c r="CL440" s="104"/>
      <c r="CM440" s="104"/>
      <c r="CN440" s="98"/>
      <c r="CP440" s="101"/>
      <c r="CQ440" s="101"/>
      <c r="CR440" s="101"/>
      <c r="CS440" s="101"/>
      <c r="CT440" s="101"/>
      <c r="FJ440" s="103"/>
      <c r="FL440" s="103"/>
      <c r="FN440" s="103"/>
      <c r="FP440" s="103"/>
    </row>
    <row r="441" spans="2:172" x14ac:dyDescent="0.35">
      <c r="B441" s="97"/>
      <c r="G441" s="100"/>
      <c r="K441" s="98"/>
      <c r="L441" s="101"/>
      <c r="M441" s="101"/>
      <c r="N441" s="101"/>
      <c r="O441" s="101"/>
      <c r="P441" s="102"/>
      <c r="Q441" s="101"/>
      <c r="R441" s="98"/>
      <c r="S441" s="98"/>
      <c r="T441" s="98"/>
      <c r="U441" s="98"/>
      <c r="V441" s="98"/>
      <c r="W441" s="98"/>
      <c r="X441" s="103"/>
      <c r="Y441" s="103"/>
      <c r="Z441" s="103"/>
      <c r="AA441" s="103"/>
      <c r="AB441" s="103"/>
      <c r="AC441" s="103"/>
      <c r="AD441" s="103"/>
      <c r="AE441" s="101"/>
      <c r="AF441" s="101"/>
      <c r="AG441" s="101"/>
      <c r="AH441" s="101"/>
      <c r="AI441" s="101"/>
      <c r="AJ441" s="101"/>
      <c r="AK441" s="101"/>
      <c r="AL441" s="103"/>
      <c r="AM441" s="103"/>
      <c r="AN441" s="103"/>
      <c r="AO441" s="103"/>
      <c r="AP441" s="103"/>
      <c r="AQ441" s="103"/>
      <c r="AR441" s="103"/>
      <c r="AS441" s="101"/>
      <c r="AT441" s="101"/>
      <c r="AU441" s="101"/>
      <c r="AV441" s="101"/>
      <c r="AW441" s="101"/>
      <c r="AX441" s="101"/>
      <c r="AY441" s="101"/>
      <c r="AZ441" s="103"/>
      <c r="BA441" s="103"/>
      <c r="BB441" s="103"/>
      <c r="BC441" s="101"/>
      <c r="BD441" s="101"/>
      <c r="BE441" s="101"/>
      <c r="BF441" s="101"/>
      <c r="BG441" s="101"/>
      <c r="BK441" s="101"/>
      <c r="BL441" s="101"/>
      <c r="BM441" s="101"/>
      <c r="BN441" s="101"/>
      <c r="BO441" s="101"/>
      <c r="BP441" s="101"/>
      <c r="BQ441" s="101"/>
      <c r="BR441" s="104"/>
      <c r="BS441" s="104"/>
      <c r="BT441" s="104"/>
      <c r="BU441" s="104"/>
      <c r="BV441" s="104"/>
      <c r="BW441" s="104"/>
      <c r="BX441" s="104"/>
      <c r="BY441" s="104"/>
      <c r="BZ441" s="104"/>
      <c r="CA441" s="104"/>
      <c r="CB441" s="104"/>
      <c r="CC441" s="104"/>
      <c r="CD441" s="104"/>
      <c r="CE441" s="104"/>
      <c r="CF441" s="104"/>
      <c r="CG441" s="104"/>
      <c r="CH441" s="104"/>
      <c r="CI441" s="104"/>
      <c r="CJ441" s="104"/>
      <c r="CK441" s="104"/>
      <c r="CL441" s="104"/>
      <c r="CM441" s="104"/>
      <c r="CN441" s="98"/>
      <c r="CP441" s="101"/>
      <c r="CQ441" s="101"/>
      <c r="CR441" s="101"/>
      <c r="CS441" s="101"/>
      <c r="CT441" s="101"/>
      <c r="FJ441" s="103"/>
      <c r="FL441" s="103"/>
      <c r="FN441" s="103"/>
      <c r="FP441" s="103"/>
    </row>
    <row r="442" spans="2:172" x14ac:dyDescent="0.35">
      <c r="B442" s="97"/>
      <c r="G442" s="100"/>
      <c r="K442" s="98"/>
      <c r="L442" s="101"/>
      <c r="M442" s="101"/>
      <c r="N442" s="101"/>
      <c r="O442" s="101"/>
      <c r="P442" s="102"/>
      <c r="Q442" s="101"/>
      <c r="R442" s="98"/>
      <c r="S442" s="98"/>
      <c r="T442" s="98"/>
      <c r="U442" s="98"/>
      <c r="V442" s="98"/>
      <c r="W442" s="98"/>
      <c r="X442" s="103"/>
      <c r="Y442" s="103"/>
      <c r="Z442" s="103"/>
      <c r="AA442" s="103"/>
      <c r="AB442" s="103"/>
      <c r="AC442" s="103"/>
      <c r="AD442" s="103"/>
      <c r="AE442" s="101"/>
      <c r="AF442" s="101"/>
      <c r="AG442" s="101"/>
      <c r="AH442" s="101"/>
      <c r="AI442" s="101"/>
      <c r="AJ442" s="101"/>
      <c r="AK442" s="101"/>
      <c r="AL442" s="103"/>
      <c r="AM442" s="103"/>
      <c r="AN442" s="103"/>
      <c r="AO442" s="103"/>
      <c r="AP442" s="103"/>
      <c r="AQ442" s="103"/>
      <c r="AR442" s="103"/>
      <c r="AS442" s="101"/>
      <c r="AT442" s="101"/>
      <c r="AU442" s="101"/>
      <c r="AV442" s="101"/>
      <c r="AW442" s="101"/>
      <c r="AX442" s="101"/>
      <c r="AY442" s="101"/>
      <c r="AZ442" s="103"/>
      <c r="BA442" s="103"/>
      <c r="BB442" s="103"/>
      <c r="BC442" s="101"/>
      <c r="BD442" s="101"/>
      <c r="BE442" s="101"/>
      <c r="BF442" s="101"/>
      <c r="BG442" s="101"/>
      <c r="BK442" s="101"/>
      <c r="BL442" s="101"/>
      <c r="BM442" s="101"/>
      <c r="BN442" s="101"/>
      <c r="BO442" s="101"/>
      <c r="BP442" s="101"/>
      <c r="BQ442" s="101"/>
      <c r="BR442" s="104"/>
      <c r="BS442" s="104"/>
      <c r="BT442" s="104"/>
      <c r="BU442" s="104"/>
      <c r="BV442" s="104"/>
      <c r="BW442" s="104"/>
      <c r="BX442" s="104"/>
      <c r="BY442" s="104"/>
      <c r="BZ442" s="104"/>
      <c r="CA442" s="104"/>
      <c r="CB442" s="104"/>
      <c r="CC442" s="104"/>
      <c r="CD442" s="104"/>
      <c r="CE442" s="104"/>
      <c r="CF442" s="104"/>
      <c r="CG442" s="104"/>
      <c r="CH442" s="104"/>
      <c r="CI442" s="104"/>
      <c r="CJ442" s="104"/>
      <c r="CK442" s="104"/>
      <c r="CL442" s="104"/>
      <c r="CM442" s="104"/>
      <c r="CN442" s="98"/>
      <c r="CP442" s="101"/>
      <c r="CQ442" s="101"/>
      <c r="CR442" s="101"/>
      <c r="CS442" s="101"/>
      <c r="CT442" s="101"/>
      <c r="FJ442" s="103"/>
      <c r="FL442" s="103"/>
      <c r="FN442" s="103"/>
      <c r="FP442" s="103"/>
    </row>
    <row r="443" spans="2:172" x14ac:dyDescent="0.35">
      <c r="B443" s="97"/>
      <c r="G443" s="100"/>
      <c r="K443" s="98"/>
      <c r="L443" s="101"/>
      <c r="M443" s="101"/>
      <c r="N443" s="101"/>
      <c r="O443" s="101"/>
      <c r="P443" s="102"/>
      <c r="Q443" s="101"/>
      <c r="R443" s="98"/>
      <c r="S443" s="98"/>
      <c r="T443" s="98"/>
      <c r="U443" s="98"/>
      <c r="V443" s="98"/>
      <c r="W443" s="98"/>
      <c r="X443" s="103"/>
      <c r="Y443" s="103"/>
      <c r="Z443" s="103"/>
      <c r="AA443" s="103"/>
      <c r="AB443" s="103"/>
      <c r="AC443" s="103"/>
      <c r="AD443" s="103"/>
      <c r="AE443" s="101"/>
      <c r="AF443" s="101"/>
      <c r="AG443" s="101"/>
      <c r="AH443" s="101"/>
      <c r="AI443" s="101"/>
      <c r="AJ443" s="101"/>
      <c r="AK443" s="101"/>
      <c r="AL443" s="103"/>
      <c r="AM443" s="103"/>
      <c r="AN443" s="103"/>
      <c r="AO443" s="103"/>
      <c r="AP443" s="103"/>
      <c r="AQ443" s="103"/>
      <c r="AR443" s="103"/>
      <c r="AS443" s="101"/>
      <c r="AT443" s="101"/>
      <c r="AU443" s="101"/>
      <c r="AV443" s="101"/>
      <c r="AW443" s="101"/>
      <c r="AX443" s="101"/>
      <c r="AY443" s="101"/>
      <c r="AZ443" s="103"/>
      <c r="BA443" s="103"/>
      <c r="BB443" s="103"/>
      <c r="BC443" s="101"/>
      <c r="BD443" s="101"/>
      <c r="BE443" s="101"/>
      <c r="BF443" s="101"/>
      <c r="BG443" s="101"/>
      <c r="BK443" s="101"/>
      <c r="BL443" s="101"/>
      <c r="BM443" s="101"/>
      <c r="BN443" s="101"/>
      <c r="BO443" s="101"/>
      <c r="BP443" s="101"/>
      <c r="BQ443" s="101"/>
      <c r="BR443" s="104"/>
      <c r="BS443" s="104"/>
      <c r="BT443" s="104"/>
      <c r="BU443" s="104"/>
      <c r="BV443" s="104"/>
      <c r="BW443" s="104"/>
      <c r="BX443" s="104"/>
      <c r="BY443" s="104"/>
      <c r="BZ443" s="104"/>
      <c r="CA443" s="104"/>
      <c r="CB443" s="104"/>
      <c r="CC443" s="104"/>
      <c r="CD443" s="104"/>
      <c r="CE443" s="104"/>
      <c r="CF443" s="104"/>
      <c r="CG443" s="104"/>
      <c r="CH443" s="104"/>
      <c r="CI443" s="104"/>
      <c r="CJ443" s="104"/>
      <c r="CK443" s="104"/>
      <c r="CL443" s="104"/>
      <c r="CM443" s="104"/>
      <c r="CN443" s="98"/>
      <c r="CP443" s="101"/>
      <c r="CQ443" s="101"/>
      <c r="CR443" s="101"/>
      <c r="CS443" s="101"/>
      <c r="CT443" s="101"/>
      <c r="FJ443" s="103"/>
      <c r="FL443" s="103"/>
      <c r="FN443" s="103"/>
      <c r="FP443" s="103"/>
    </row>
    <row r="444" spans="2:172" x14ac:dyDescent="0.35">
      <c r="B444" s="97"/>
      <c r="G444" s="100"/>
      <c r="K444" s="98"/>
      <c r="L444" s="101"/>
      <c r="M444" s="101"/>
      <c r="N444" s="101"/>
      <c r="O444" s="101"/>
      <c r="P444" s="102"/>
      <c r="Q444" s="101"/>
      <c r="R444" s="98"/>
      <c r="S444" s="98"/>
      <c r="T444" s="98"/>
      <c r="U444" s="98"/>
      <c r="V444" s="98"/>
      <c r="W444" s="98"/>
      <c r="X444" s="103"/>
      <c r="Y444" s="103"/>
      <c r="Z444" s="103"/>
      <c r="AA444" s="103"/>
      <c r="AB444" s="103"/>
      <c r="AC444" s="103"/>
      <c r="AD444" s="103"/>
      <c r="AE444" s="101"/>
      <c r="AF444" s="101"/>
      <c r="AG444" s="101"/>
      <c r="AH444" s="101"/>
      <c r="AI444" s="101"/>
      <c r="AJ444" s="101"/>
      <c r="AK444" s="101"/>
      <c r="AL444" s="103"/>
      <c r="AM444" s="103"/>
      <c r="AN444" s="103"/>
      <c r="AO444" s="103"/>
      <c r="AP444" s="103"/>
      <c r="AQ444" s="103"/>
      <c r="AR444" s="103"/>
      <c r="AS444" s="101"/>
      <c r="AT444" s="101"/>
      <c r="AU444" s="101"/>
      <c r="AV444" s="101"/>
      <c r="AW444" s="101"/>
      <c r="AX444" s="101"/>
      <c r="AY444" s="101"/>
      <c r="AZ444" s="103"/>
      <c r="BA444" s="103"/>
      <c r="BB444" s="103"/>
      <c r="BC444" s="101"/>
      <c r="BD444" s="101"/>
      <c r="BE444" s="101"/>
      <c r="BF444" s="101"/>
      <c r="BG444" s="101"/>
      <c r="BK444" s="101"/>
      <c r="BL444" s="101"/>
      <c r="BM444" s="101"/>
      <c r="BN444" s="101"/>
      <c r="BO444" s="101"/>
      <c r="BP444" s="101"/>
      <c r="BQ444" s="101"/>
      <c r="BR444" s="104"/>
      <c r="BS444" s="104"/>
      <c r="BT444" s="104"/>
      <c r="BU444" s="104"/>
      <c r="BV444" s="104"/>
      <c r="BW444" s="104"/>
      <c r="BX444" s="104"/>
      <c r="BY444" s="104"/>
      <c r="BZ444" s="104"/>
      <c r="CA444" s="104"/>
      <c r="CB444" s="104"/>
      <c r="CC444" s="104"/>
      <c r="CD444" s="104"/>
      <c r="CE444" s="104"/>
      <c r="CF444" s="104"/>
      <c r="CG444" s="104"/>
      <c r="CH444" s="104"/>
      <c r="CI444" s="104"/>
      <c r="CJ444" s="104"/>
      <c r="CK444" s="104"/>
      <c r="CL444" s="104"/>
      <c r="CM444" s="104"/>
      <c r="CN444" s="98"/>
      <c r="CP444" s="101"/>
      <c r="CQ444" s="101"/>
      <c r="CR444" s="101"/>
      <c r="CS444" s="101"/>
      <c r="CT444" s="101"/>
      <c r="FJ444" s="103"/>
      <c r="FL444" s="103"/>
      <c r="FN444" s="103"/>
      <c r="FP444" s="103"/>
    </row>
    <row r="445" spans="2:172" x14ac:dyDescent="0.35">
      <c r="B445" s="97"/>
      <c r="G445" s="100"/>
      <c r="K445" s="98"/>
      <c r="L445" s="101"/>
      <c r="M445" s="101"/>
      <c r="N445" s="101"/>
      <c r="O445" s="101"/>
      <c r="P445" s="102"/>
      <c r="Q445" s="101"/>
      <c r="R445" s="98"/>
      <c r="S445" s="98"/>
      <c r="T445" s="98"/>
      <c r="U445" s="98"/>
      <c r="V445" s="98"/>
      <c r="W445" s="98"/>
      <c r="X445" s="103"/>
      <c r="Y445" s="103"/>
      <c r="Z445" s="103"/>
      <c r="AA445" s="103"/>
      <c r="AB445" s="103"/>
      <c r="AC445" s="103"/>
      <c r="AD445" s="103"/>
      <c r="AE445" s="101"/>
      <c r="AF445" s="101"/>
      <c r="AG445" s="101"/>
      <c r="AH445" s="101"/>
      <c r="AI445" s="101"/>
      <c r="AJ445" s="101"/>
      <c r="AK445" s="101"/>
      <c r="AL445" s="103"/>
      <c r="AM445" s="103"/>
      <c r="AN445" s="103"/>
      <c r="AO445" s="103"/>
      <c r="AP445" s="103"/>
      <c r="AQ445" s="103"/>
      <c r="AR445" s="103"/>
      <c r="AS445" s="101"/>
      <c r="AT445" s="101"/>
      <c r="AU445" s="101"/>
      <c r="AV445" s="101"/>
      <c r="AW445" s="101"/>
      <c r="AX445" s="101"/>
      <c r="AY445" s="101"/>
      <c r="AZ445" s="103"/>
      <c r="BA445" s="103"/>
      <c r="BB445" s="103"/>
      <c r="BC445" s="101"/>
      <c r="BD445" s="101"/>
      <c r="BE445" s="101"/>
      <c r="BF445" s="101"/>
      <c r="BG445" s="101"/>
      <c r="BK445" s="101"/>
      <c r="BL445" s="101"/>
      <c r="BM445" s="101"/>
      <c r="BN445" s="101"/>
      <c r="BO445" s="101"/>
      <c r="BP445" s="101"/>
      <c r="BQ445" s="101"/>
      <c r="BR445" s="104"/>
      <c r="BS445" s="104"/>
      <c r="BT445" s="104"/>
      <c r="BU445" s="104"/>
      <c r="BV445" s="104"/>
      <c r="BW445" s="104"/>
      <c r="BX445" s="104"/>
      <c r="BY445" s="104"/>
      <c r="BZ445" s="104"/>
      <c r="CA445" s="104"/>
      <c r="CB445" s="104"/>
      <c r="CC445" s="104"/>
      <c r="CD445" s="104"/>
      <c r="CE445" s="104"/>
      <c r="CF445" s="104"/>
      <c r="CG445" s="104"/>
      <c r="CH445" s="104"/>
      <c r="CI445" s="104"/>
      <c r="CJ445" s="104"/>
      <c r="CK445" s="104"/>
      <c r="CL445" s="104"/>
      <c r="CM445" s="104"/>
      <c r="CN445" s="98"/>
      <c r="CP445" s="101"/>
      <c r="CQ445" s="101"/>
      <c r="CR445" s="101"/>
      <c r="CS445" s="101"/>
      <c r="CT445" s="101"/>
      <c r="FJ445" s="103"/>
      <c r="FL445" s="103"/>
      <c r="FN445" s="103"/>
      <c r="FP445" s="103"/>
    </row>
    <row r="446" spans="2:172" x14ac:dyDescent="0.35">
      <c r="B446" s="97"/>
      <c r="G446" s="100"/>
      <c r="K446" s="98"/>
      <c r="L446" s="101"/>
      <c r="M446" s="101"/>
      <c r="N446" s="101"/>
      <c r="O446" s="101"/>
      <c r="P446" s="102"/>
      <c r="Q446" s="101"/>
      <c r="R446" s="98"/>
      <c r="S446" s="98"/>
      <c r="T446" s="98"/>
      <c r="U446" s="98"/>
      <c r="V446" s="98"/>
      <c r="W446" s="98"/>
      <c r="X446" s="103"/>
      <c r="Y446" s="103"/>
      <c r="Z446" s="103"/>
      <c r="AA446" s="103"/>
      <c r="AB446" s="103"/>
      <c r="AC446" s="103"/>
      <c r="AD446" s="103"/>
      <c r="AE446" s="101"/>
      <c r="AF446" s="101"/>
      <c r="AG446" s="101"/>
      <c r="AH446" s="101"/>
      <c r="AI446" s="101"/>
      <c r="AJ446" s="101"/>
      <c r="AK446" s="101"/>
      <c r="AL446" s="103"/>
      <c r="AM446" s="103"/>
      <c r="AN446" s="103"/>
      <c r="AO446" s="103"/>
      <c r="AP446" s="103"/>
      <c r="AQ446" s="103"/>
      <c r="AR446" s="103"/>
      <c r="AS446" s="101"/>
      <c r="AT446" s="101"/>
      <c r="AU446" s="101"/>
      <c r="AV446" s="101"/>
      <c r="AW446" s="101"/>
      <c r="AX446" s="101"/>
      <c r="AY446" s="101"/>
      <c r="AZ446" s="103"/>
      <c r="BA446" s="103"/>
      <c r="BB446" s="103"/>
      <c r="BC446" s="101"/>
      <c r="BD446" s="101"/>
      <c r="BE446" s="101"/>
      <c r="BF446" s="101"/>
      <c r="BG446" s="101"/>
      <c r="BK446" s="101"/>
      <c r="BL446" s="101"/>
      <c r="BM446" s="101"/>
      <c r="BN446" s="101"/>
      <c r="BO446" s="101"/>
      <c r="BP446" s="101"/>
      <c r="BQ446" s="101"/>
      <c r="BR446" s="104"/>
      <c r="BS446" s="104"/>
      <c r="BT446" s="104"/>
      <c r="BU446" s="104"/>
      <c r="BV446" s="104"/>
      <c r="BW446" s="104"/>
      <c r="BX446" s="104"/>
      <c r="BY446" s="104"/>
      <c r="BZ446" s="104"/>
      <c r="CA446" s="104"/>
      <c r="CB446" s="104"/>
      <c r="CC446" s="104"/>
      <c r="CD446" s="104"/>
      <c r="CE446" s="104"/>
      <c r="CF446" s="104"/>
      <c r="CG446" s="104"/>
      <c r="CH446" s="104"/>
      <c r="CI446" s="104"/>
      <c r="CJ446" s="104"/>
      <c r="CK446" s="104"/>
      <c r="CL446" s="104"/>
      <c r="CM446" s="104"/>
      <c r="CN446" s="98"/>
      <c r="CP446" s="101"/>
      <c r="CQ446" s="101"/>
      <c r="CR446" s="101"/>
      <c r="CS446" s="101"/>
      <c r="CT446" s="101"/>
      <c r="FJ446" s="103"/>
      <c r="FL446" s="103"/>
      <c r="FN446" s="103"/>
      <c r="FP446" s="103"/>
    </row>
    <row r="447" spans="2:172" x14ac:dyDescent="0.35">
      <c r="B447" s="97"/>
      <c r="G447" s="100"/>
      <c r="K447" s="98"/>
      <c r="L447" s="101"/>
      <c r="M447" s="101"/>
      <c r="N447" s="101"/>
      <c r="O447" s="101"/>
      <c r="P447" s="102"/>
      <c r="Q447" s="101"/>
      <c r="R447" s="98"/>
      <c r="S447" s="98"/>
      <c r="T447" s="98"/>
      <c r="U447" s="98"/>
      <c r="V447" s="98"/>
      <c r="W447" s="98"/>
      <c r="X447" s="103"/>
      <c r="Y447" s="103"/>
      <c r="Z447" s="103"/>
      <c r="AA447" s="103"/>
      <c r="AB447" s="103"/>
      <c r="AC447" s="103"/>
      <c r="AD447" s="103"/>
      <c r="AE447" s="101"/>
      <c r="AF447" s="101"/>
      <c r="AG447" s="101"/>
      <c r="AH447" s="101"/>
      <c r="AI447" s="101"/>
      <c r="AJ447" s="101"/>
      <c r="AK447" s="101"/>
      <c r="AL447" s="103"/>
      <c r="AM447" s="103"/>
      <c r="AN447" s="103"/>
      <c r="AO447" s="103"/>
      <c r="AP447" s="103"/>
      <c r="AQ447" s="103"/>
      <c r="AR447" s="103"/>
      <c r="AS447" s="101"/>
      <c r="AT447" s="101"/>
      <c r="AU447" s="101"/>
      <c r="AV447" s="101"/>
      <c r="AW447" s="101"/>
      <c r="AX447" s="101"/>
      <c r="AY447" s="101"/>
      <c r="AZ447" s="103"/>
      <c r="BA447" s="103"/>
      <c r="BB447" s="103"/>
      <c r="BC447" s="101"/>
      <c r="BD447" s="101"/>
      <c r="BE447" s="101"/>
      <c r="BF447" s="101"/>
      <c r="BG447" s="101"/>
      <c r="BK447" s="101"/>
      <c r="BL447" s="101"/>
      <c r="BM447" s="101"/>
      <c r="BN447" s="101"/>
      <c r="BO447" s="101"/>
      <c r="BP447" s="101"/>
      <c r="BQ447" s="101"/>
      <c r="BR447" s="104"/>
      <c r="BS447" s="104"/>
      <c r="BT447" s="104"/>
      <c r="BU447" s="104"/>
      <c r="BV447" s="104"/>
      <c r="BW447" s="104"/>
      <c r="BX447" s="104"/>
      <c r="BY447" s="104"/>
      <c r="BZ447" s="104"/>
      <c r="CA447" s="104"/>
      <c r="CB447" s="104"/>
      <c r="CC447" s="104"/>
      <c r="CD447" s="104"/>
      <c r="CE447" s="104"/>
      <c r="CF447" s="104"/>
      <c r="CG447" s="104"/>
      <c r="CH447" s="104"/>
      <c r="CI447" s="104"/>
      <c r="CJ447" s="104"/>
      <c r="CK447" s="104"/>
      <c r="CL447" s="104"/>
      <c r="CM447" s="104"/>
      <c r="CN447" s="98"/>
      <c r="CP447" s="101"/>
      <c r="CQ447" s="101"/>
      <c r="CR447" s="101"/>
      <c r="CS447" s="101"/>
      <c r="CT447" s="101"/>
      <c r="FJ447" s="103"/>
      <c r="FL447" s="103"/>
      <c r="FN447" s="103"/>
      <c r="FP447" s="103"/>
    </row>
    <row r="448" spans="2:172" x14ac:dyDescent="0.35">
      <c r="B448" s="97"/>
      <c r="G448" s="100"/>
      <c r="K448" s="98"/>
      <c r="L448" s="101"/>
      <c r="M448" s="101"/>
      <c r="N448" s="101"/>
      <c r="O448" s="101"/>
      <c r="P448" s="102"/>
      <c r="Q448" s="101"/>
      <c r="R448" s="98"/>
      <c r="S448" s="98"/>
      <c r="T448" s="98"/>
      <c r="U448" s="98"/>
      <c r="V448" s="98"/>
      <c r="W448" s="98"/>
      <c r="X448" s="103"/>
      <c r="Y448" s="103"/>
      <c r="Z448" s="103"/>
      <c r="AA448" s="103"/>
      <c r="AB448" s="103"/>
      <c r="AC448" s="103"/>
      <c r="AD448" s="103"/>
      <c r="AE448" s="101"/>
      <c r="AF448" s="101"/>
      <c r="AG448" s="101"/>
      <c r="AH448" s="101"/>
      <c r="AI448" s="101"/>
      <c r="AJ448" s="101"/>
      <c r="AK448" s="101"/>
      <c r="AL448" s="103"/>
      <c r="AM448" s="103"/>
      <c r="AN448" s="103"/>
      <c r="AO448" s="103"/>
      <c r="AP448" s="103"/>
      <c r="AQ448" s="103"/>
      <c r="AR448" s="103"/>
      <c r="AS448" s="101"/>
      <c r="AT448" s="101"/>
      <c r="AU448" s="101"/>
      <c r="AV448" s="101"/>
      <c r="AW448" s="101"/>
      <c r="AX448" s="101"/>
      <c r="AY448" s="101"/>
      <c r="AZ448" s="103"/>
      <c r="BA448" s="103"/>
      <c r="BB448" s="103"/>
      <c r="BC448" s="101"/>
      <c r="BD448" s="101"/>
      <c r="BE448" s="101"/>
      <c r="BF448" s="101"/>
      <c r="BG448" s="101"/>
      <c r="BK448" s="101"/>
      <c r="BL448" s="101"/>
      <c r="BM448" s="101"/>
      <c r="BN448" s="101"/>
      <c r="BO448" s="101"/>
      <c r="BP448" s="101"/>
      <c r="BQ448" s="101"/>
      <c r="BR448" s="104"/>
      <c r="BS448" s="104"/>
      <c r="BT448" s="104"/>
      <c r="BU448" s="104"/>
      <c r="BV448" s="104"/>
      <c r="BW448" s="104"/>
      <c r="BX448" s="104"/>
      <c r="BY448" s="104"/>
      <c r="BZ448" s="104"/>
      <c r="CA448" s="104"/>
      <c r="CB448" s="104"/>
      <c r="CC448" s="104"/>
      <c r="CD448" s="104"/>
      <c r="CE448" s="104"/>
      <c r="CF448" s="104"/>
      <c r="CG448" s="104"/>
      <c r="CH448" s="104"/>
      <c r="CI448" s="104"/>
      <c r="CJ448" s="104"/>
      <c r="CK448" s="104"/>
      <c r="CL448" s="104"/>
      <c r="CM448" s="104"/>
      <c r="CN448" s="98"/>
      <c r="CP448" s="101"/>
      <c r="CQ448" s="101"/>
      <c r="CR448" s="101"/>
      <c r="CS448" s="101"/>
      <c r="CT448" s="101"/>
      <c r="FJ448" s="103"/>
      <c r="FL448" s="103"/>
      <c r="FN448" s="103"/>
      <c r="FP448" s="103"/>
    </row>
    <row r="449" spans="2:172" x14ac:dyDescent="0.35">
      <c r="B449" s="97"/>
      <c r="G449" s="100"/>
      <c r="K449" s="98"/>
      <c r="L449" s="101"/>
      <c r="M449" s="101"/>
      <c r="N449" s="101"/>
      <c r="O449" s="101"/>
      <c r="P449" s="102"/>
      <c r="Q449" s="101"/>
      <c r="R449" s="98"/>
      <c r="S449" s="98"/>
      <c r="T449" s="98"/>
      <c r="U449" s="98"/>
      <c r="V449" s="98"/>
      <c r="W449" s="98"/>
      <c r="X449" s="103"/>
      <c r="Y449" s="103"/>
      <c r="Z449" s="103"/>
      <c r="AA449" s="103"/>
      <c r="AB449" s="103"/>
      <c r="AC449" s="103"/>
      <c r="AD449" s="103"/>
      <c r="AE449" s="101"/>
      <c r="AF449" s="101"/>
      <c r="AG449" s="101"/>
      <c r="AH449" s="101"/>
      <c r="AI449" s="101"/>
      <c r="AJ449" s="101"/>
      <c r="AK449" s="101"/>
      <c r="AL449" s="103"/>
      <c r="AM449" s="103"/>
      <c r="AN449" s="103"/>
      <c r="AO449" s="103"/>
      <c r="AP449" s="103"/>
      <c r="AQ449" s="103"/>
      <c r="AR449" s="103"/>
      <c r="AS449" s="101"/>
      <c r="AT449" s="101"/>
      <c r="AU449" s="101"/>
      <c r="AV449" s="101"/>
      <c r="AW449" s="101"/>
      <c r="AX449" s="101"/>
      <c r="AY449" s="101"/>
      <c r="AZ449" s="103"/>
      <c r="BA449" s="103"/>
      <c r="BB449" s="103"/>
      <c r="BC449" s="101"/>
      <c r="BD449" s="101"/>
      <c r="BE449" s="101"/>
      <c r="BF449" s="101"/>
      <c r="BG449" s="101"/>
      <c r="BK449" s="101"/>
      <c r="BL449" s="101"/>
      <c r="BM449" s="101"/>
      <c r="BN449" s="101"/>
      <c r="BO449" s="101"/>
      <c r="BP449" s="101"/>
      <c r="BQ449" s="101"/>
      <c r="BR449" s="104"/>
      <c r="BS449" s="104"/>
      <c r="BT449" s="104"/>
      <c r="BU449" s="104"/>
      <c r="BV449" s="104"/>
      <c r="BW449" s="104"/>
      <c r="BX449" s="104"/>
      <c r="BY449" s="104"/>
      <c r="BZ449" s="104"/>
      <c r="CA449" s="104"/>
      <c r="CB449" s="104"/>
      <c r="CC449" s="104"/>
      <c r="CD449" s="104"/>
      <c r="CE449" s="104"/>
      <c r="CF449" s="104"/>
      <c r="CG449" s="104"/>
      <c r="CH449" s="104"/>
      <c r="CI449" s="104"/>
      <c r="CJ449" s="104"/>
      <c r="CK449" s="104"/>
      <c r="CL449" s="104"/>
      <c r="CM449" s="104"/>
      <c r="CN449" s="98"/>
      <c r="CP449" s="101"/>
      <c r="CQ449" s="101"/>
      <c r="CR449" s="101"/>
      <c r="CS449" s="101"/>
      <c r="CT449" s="101"/>
      <c r="FJ449" s="103"/>
      <c r="FL449" s="103"/>
      <c r="FN449" s="103"/>
      <c r="FP449" s="103"/>
    </row>
    <row r="450" spans="2:172" x14ac:dyDescent="0.35">
      <c r="B450" s="97"/>
      <c r="G450" s="100"/>
      <c r="K450" s="98"/>
      <c r="L450" s="101"/>
      <c r="M450" s="101"/>
      <c r="N450" s="101"/>
      <c r="O450" s="101"/>
      <c r="P450" s="102"/>
      <c r="Q450" s="101"/>
      <c r="R450" s="98"/>
      <c r="S450" s="98"/>
      <c r="T450" s="98"/>
      <c r="U450" s="98"/>
      <c r="V450" s="98"/>
      <c r="W450" s="98"/>
      <c r="X450" s="103"/>
      <c r="Y450" s="103"/>
      <c r="Z450" s="103"/>
      <c r="AA450" s="103"/>
      <c r="AB450" s="103"/>
      <c r="AC450" s="103"/>
      <c r="AD450" s="103"/>
      <c r="AE450" s="101"/>
      <c r="AF450" s="101"/>
      <c r="AG450" s="101"/>
      <c r="AH450" s="101"/>
      <c r="AI450" s="101"/>
      <c r="AJ450" s="101"/>
      <c r="AK450" s="101"/>
      <c r="AL450" s="103"/>
      <c r="AM450" s="103"/>
      <c r="AN450" s="103"/>
      <c r="AO450" s="103"/>
      <c r="AP450" s="103"/>
      <c r="AQ450" s="103"/>
      <c r="AR450" s="103"/>
      <c r="AS450" s="101"/>
      <c r="AT450" s="101"/>
      <c r="AU450" s="101"/>
      <c r="AV450" s="101"/>
      <c r="AW450" s="101"/>
      <c r="AX450" s="101"/>
      <c r="AY450" s="101"/>
      <c r="AZ450" s="103"/>
      <c r="BA450" s="103"/>
      <c r="BB450" s="103"/>
      <c r="BC450" s="101"/>
      <c r="BD450" s="101"/>
      <c r="BE450" s="101"/>
      <c r="BF450" s="101"/>
      <c r="BG450" s="101"/>
      <c r="BK450" s="101"/>
      <c r="BL450" s="101"/>
      <c r="BM450" s="101"/>
      <c r="BN450" s="101"/>
      <c r="BO450" s="101"/>
      <c r="BP450" s="101"/>
      <c r="BQ450" s="101"/>
      <c r="BR450" s="104"/>
      <c r="BS450" s="104"/>
      <c r="BT450" s="104"/>
      <c r="BU450" s="104"/>
      <c r="BV450" s="104"/>
      <c r="BW450" s="104"/>
      <c r="BX450" s="104"/>
      <c r="BY450" s="104"/>
      <c r="BZ450" s="104"/>
      <c r="CA450" s="104"/>
      <c r="CB450" s="104"/>
      <c r="CC450" s="104"/>
      <c r="CD450" s="104"/>
      <c r="CE450" s="104"/>
      <c r="CF450" s="104"/>
      <c r="CG450" s="104"/>
      <c r="CH450" s="104"/>
      <c r="CI450" s="104"/>
      <c r="CJ450" s="104"/>
      <c r="CK450" s="104"/>
      <c r="CL450" s="104"/>
      <c r="CM450" s="104"/>
      <c r="CN450" s="98"/>
      <c r="CP450" s="101"/>
      <c r="CQ450" s="101"/>
      <c r="CR450" s="101"/>
      <c r="CS450" s="101"/>
      <c r="CT450" s="101"/>
      <c r="FJ450" s="103"/>
      <c r="FL450" s="103"/>
      <c r="FN450" s="103"/>
      <c r="FP450" s="103"/>
    </row>
    <row r="451" spans="2:172" x14ac:dyDescent="0.35">
      <c r="B451" s="97"/>
      <c r="G451" s="100"/>
      <c r="K451" s="98"/>
      <c r="L451" s="101"/>
      <c r="M451" s="101"/>
      <c r="N451" s="101"/>
      <c r="O451" s="101"/>
      <c r="P451" s="102"/>
      <c r="Q451" s="101"/>
      <c r="R451" s="98"/>
      <c r="S451" s="98"/>
      <c r="T451" s="98"/>
      <c r="U451" s="98"/>
      <c r="V451" s="98"/>
      <c r="W451" s="98"/>
      <c r="X451" s="103"/>
      <c r="Y451" s="103"/>
      <c r="Z451" s="103"/>
      <c r="AA451" s="103"/>
      <c r="AB451" s="103"/>
      <c r="AC451" s="103"/>
      <c r="AD451" s="103"/>
      <c r="AE451" s="101"/>
      <c r="AF451" s="101"/>
      <c r="AG451" s="101"/>
      <c r="AH451" s="101"/>
      <c r="AI451" s="101"/>
      <c r="AJ451" s="101"/>
      <c r="AK451" s="101"/>
      <c r="AL451" s="103"/>
      <c r="AM451" s="103"/>
      <c r="AN451" s="103"/>
      <c r="AO451" s="103"/>
      <c r="AP451" s="103"/>
      <c r="AQ451" s="103"/>
      <c r="AR451" s="103"/>
      <c r="AS451" s="101"/>
      <c r="AT451" s="101"/>
      <c r="AU451" s="101"/>
      <c r="AV451" s="101"/>
      <c r="AW451" s="101"/>
      <c r="AX451" s="101"/>
      <c r="AY451" s="101"/>
      <c r="AZ451" s="103"/>
      <c r="BA451" s="103"/>
      <c r="BB451" s="103"/>
      <c r="BC451" s="101"/>
      <c r="BD451" s="101"/>
      <c r="BE451" s="101"/>
      <c r="BF451" s="101"/>
      <c r="BG451" s="101"/>
      <c r="BK451" s="101"/>
      <c r="BL451" s="101"/>
      <c r="BM451" s="101"/>
      <c r="BN451" s="101"/>
      <c r="BO451" s="101"/>
      <c r="BP451" s="101"/>
      <c r="BQ451" s="101"/>
      <c r="BR451" s="104"/>
      <c r="BS451" s="104"/>
      <c r="BT451" s="104"/>
      <c r="BU451" s="104"/>
      <c r="BV451" s="104"/>
      <c r="BW451" s="104"/>
      <c r="BX451" s="104"/>
      <c r="BY451" s="104"/>
      <c r="BZ451" s="104"/>
      <c r="CA451" s="104"/>
      <c r="CB451" s="104"/>
      <c r="CC451" s="104"/>
      <c r="CD451" s="104"/>
      <c r="CE451" s="104"/>
      <c r="CF451" s="104"/>
      <c r="CG451" s="104"/>
      <c r="CH451" s="104"/>
      <c r="CI451" s="104"/>
      <c r="CJ451" s="104"/>
      <c r="CK451" s="104"/>
      <c r="CL451" s="104"/>
      <c r="CM451" s="104"/>
      <c r="CN451" s="98"/>
      <c r="CP451" s="101"/>
      <c r="CQ451" s="101"/>
      <c r="CR451" s="101"/>
      <c r="CS451" s="101"/>
      <c r="CT451" s="101"/>
      <c r="FJ451" s="103"/>
      <c r="FL451" s="103"/>
      <c r="FN451" s="103"/>
      <c r="FP451" s="103"/>
    </row>
    <row r="452" spans="2:172" x14ac:dyDescent="0.35">
      <c r="B452" s="97"/>
      <c r="G452" s="100"/>
      <c r="K452" s="98"/>
      <c r="L452" s="101"/>
      <c r="M452" s="101"/>
      <c r="N452" s="101"/>
      <c r="O452" s="101"/>
      <c r="P452" s="102"/>
      <c r="Q452" s="101"/>
      <c r="R452" s="98"/>
      <c r="S452" s="98"/>
      <c r="T452" s="98"/>
      <c r="U452" s="98"/>
      <c r="V452" s="98"/>
      <c r="W452" s="98"/>
      <c r="X452" s="103"/>
      <c r="Y452" s="103"/>
      <c r="Z452" s="103"/>
      <c r="AA452" s="103"/>
      <c r="AB452" s="103"/>
      <c r="AC452" s="103"/>
      <c r="AD452" s="103"/>
      <c r="AE452" s="101"/>
      <c r="AF452" s="101"/>
      <c r="AG452" s="101"/>
      <c r="AH452" s="101"/>
      <c r="AI452" s="101"/>
      <c r="AJ452" s="101"/>
      <c r="AK452" s="101"/>
      <c r="AL452" s="103"/>
      <c r="AM452" s="103"/>
      <c r="AN452" s="103"/>
      <c r="AO452" s="103"/>
      <c r="AP452" s="103"/>
      <c r="AQ452" s="103"/>
      <c r="AR452" s="103"/>
      <c r="AS452" s="101"/>
      <c r="AT452" s="101"/>
      <c r="AU452" s="101"/>
      <c r="AV452" s="101"/>
      <c r="AW452" s="101"/>
      <c r="AX452" s="101"/>
      <c r="AY452" s="101"/>
      <c r="AZ452" s="103"/>
      <c r="BA452" s="103"/>
      <c r="BB452" s="103"/>
      <c r="BC452" s="101"/>
      <c r="BD452" s="101"/>
      <c r="BE452" s="101"/>
      <c r="BF452" s="101"/>
      <c r="BG452" s="101"/>
      <c r="BK452" s="101"/>
      <c r="BL452" s="101"/>
      <c r="BM452" s="101"/>
      <c r="BN452" s="101"/>
      <c r="BO452" s="101"/>
      <c r="BP452" s="101"/>
      <c r="BQ452" s="101"/>
      <c r="BR452" s="104"/>
      <c r="BS452" s="104"/>
      <c r="BT452" s="104"/>
      <c r="BU452" s="104"/>
      <c r="BV452" s="104"/>
      <c r="BW452" s="104"/>
      <c r="BX452" s="104"/>
      <c r="BY452" s="104"/>
      <c r="BZ452" s="104"/>
      <c r="CA452" s="104"/>
      <c r="CB452" s="104"/>
      <c r="CC452" s="104"/>
      <c r="CD452" s="104"/>
      <c r="CE452" s="104"/>
      <c r="CF452" s="104"/>
      <c r="CG452" s="104"/>
      <c r="CH452" s="104"/>
      <c r="CI452" s="104"/>
      <c r="CJ452" s="104"/>
      <c r="CK452" s="104"/>
      <c r="CL452" s="104"/>
      <c r="CM452" s="104"/>
      <c r="CN452" s="98"/>
      <c r="CP452" s="101"/>
      <c r="CQ452" s="101"/>
      <c r="CR452" s="101"/>
      <c r="CS452" s="101"/>
      <c r="CT452" s="101"/>
      <c r="FJ452" s="103"/>
      <c r="FL452" s="103"/>
      <c r="FN452" s="103"/>
      <c r="FP452" s="103"/>
    </row>
    <row r="453" spans="2:172" x14ac:dyDescent="0.35">
      <c r="B453" s="97"/>
      <c r="G453" s="100"/>
      <c r="K453" s="98"/>
      <c r="L453" s="101"/>
      <c r="M453" s="101"/>
      <c r="N453" s="101"/>
      <c r="O453" s="101"/>
      <c r="P453" s="102"/>
      <c r="Q453" s="101"/>
      <c r="R453" s="98"/>
      <c r="S453" s="98"/>
      <c r="T453" s="98"/>
      <c r="U453" s="98"/>
      <c r="V453" s="98"/>
      <c r="W453" s="98"/>
      <c r="X453" s="103"/>
      <c r="Y453" s="103"/>
      <c r="Z453" s="103"/>
      <c r="AA453" s="103"/>
      <c r="AB453" s="103"/>
      <c r="AC453" s="103"/>
      <c r="AD453" s="103"/>
      <c r="AE453" s="101"/>
      <c r="AF453" s="101"/>
      <c r="AG453" s="101"/>
      <c r="AH453" s="101"/>
      <c r="AI453" s="101"/>
      <c r="AJ453" s="101"/>
      <c r="AK453" s="101"/>
      <c r="AL453" s="103"/>
      <c r="AM453" s="103"/>
      <c r="AN453" s="103"/>
      <c r="AO453" s="103"/>
      <c r="AP453" s="103"/>
      <c r="AQ453" s="103"/>
      <c r="AR453" s="103"/>
      <c r="AS453" s="101"/>
      <c r="AT453" s="101"/>
      <c r="AU453" s="101"/>
      <c r="AV453" s="101"/>
      <c r="AW453" s="101"/>
      <c r="AX453" s="101"/>
      <c r="AY453" s="101"/>
      <c r="AZ453" s="103"/>
      <c r="BA453" s="103"/>
      <c r="BB453" s="103"/>
      <c r="BC453" s="101"/>
      <c r="BD453" s="101"/>
      <c r="BE453" s="101"/>
      <c r="BF453" s="101"/>
      <c r="BG453" s="101"/>
      <c r="BK453" s="101"/>
      <c r="BL453" s="101"/>
      <c r="BM453" s="101"/>
      <c r="BN453" s="101"/>
      <c r="BO453" s="101"/>
      <c r="BP453" s="101"/>
      <c r="BQ453" s="101"/>
      <c r="BR453" s="104"/>
      <c r="BS453" s="104"/>
      <c r="BT453" s="104"/>
      <c r="BU453" s="104"/>
      <c r="BV453" s="104"/>
      <c r="BW453" s="104"/>
      <c r="BX453" s="104"/>
      <c r="BY453" s="104"/>
      <c r="BZ453" s="104"/>
      <c r="CA453" s="104"/>
      <c r="CB453" s="104"/>
      <c r="CC453" s="104"/>
      <c r="CD453" s="104"/>
      <c r="CE453" s="104"/>
      <c r="CF453" s="104"/>
      <c r="CG453" s="104"/>
      <c r="CH453" s="104"/>
      <c r="CI453" s="104"/>
      <c r="CJ453" s="104"/>
      <c r="CK453" s="104"/>
      <c r="CL453" s="104"/>
      <c r="CM453" s="104"/>
      <c r="CN453" s="98"/>
      <c r="CP453" s="101"/>
      <c r="CQ453" s="101"/>
      <c r="CR453" s="101"/>
      <c r="CS453" s="101"/>
      <c r="CT453" s="101"/>
      <c r="FJ453" s="103"/>
      <c r="FL453" s="103"/>
      <c r="FN453" s="103"/>
      <c r="FP453" s="103"/>
    </row>
    <row r="454" spans="2:172" x14ac:dyDescent="0.35">
      <c r="B454" s="97"/>
      <c r="G454" s="100"/>
      <c r="K454" s="98"/>
      <c r="L454" s="101"/>
      <c r="M454" s="101"/>
      <c r="N454" s="101"/>
      <c r="O454" s="101"/>
      <c r="P454" s="102"/>
      <c r="Q454" s="101"/>
      <c r="R454" s="98"/>
      <c r="S454" s="98"/>
      <c r="T454" s="98"/>
      <c r="U454" s="98"/>
      <c r="V454" s="98"/>
      <c r="W454" s="98"/>
      <c r="X454" s="103"/>
      <c r="Y454" s="103"/>
      <c r="Z454" s="103"/>
      <c r="AA454" s="103"/>
      <c r="AB454" s="103"/>
      <c r="AC454" s="103"/>
      <c r="AD454" s="103"/>
      <c r="AE454" s="101"/>
      <c r="AF454" s="101"/>
      <c r="AG454" s="101"/>
      <c r="AH454" s="101"/>
      <c r="AI454" s="101"/>
      <c r="AJ454" s="101"/>
      <c r="AK454" s="101"/>
      <c r="AL454" s="103"/>
      <c r="AM454" s="103"/>
      <c r="AN454" s="103"/>
      <c r="AO454" s="103"/>
      <c r="AP454" s="103"/>
      <c r="AQ454" s="103"/>
      <c r="AR454" s="103"/>
      <c r="AS454" s="101"/>
      <c r="AT454" s="101"/>
      <c r="AU454" s="101"/>
      <c r="AV454" s="101"/>
      <c r="AW454" s="101"/>
      <c r="AX454" s="101"/>
      <c r="AY454" s="101"/>
      <c r="AZ454" s="103"/>
      <c r="BA454" s="103"/>
      <c r="BB454" s="103"/>
      <c r="BC454" s="101"/>
      <c r="BD454" s="101"/>
      <c r="BE454" s="101"/>
      <c r="BF454" s="101"/>
      <c r="BG454" s="101"/>
      <c r="BK454" s="101"/>
      <c r="BL454" s="101"/>
      <c r="BM454" s="101"/>
      <c r="BN454" s="101"/>
      <c r="BO454" s="101"/>
      <c r="BP454" s="101"/>
      <c r="BQ454" s="101"/>
      <c r="BR454" s="104"/>
      <c r="BS454" s="104"/>
      <c r="BT454" s="104"/>
      <c r="BU454" s="104"/>
      <c r="BV454" s="104"/>
      <c r="BW454" s="104"/>
      <c r="BX454" s="104"/>
      <c r="BY454" s="104"/>
      <c r="BZ454" s="104"/>
      <c r="CA454" s="104"/>
      <c r="CB454" s="104"/>
      <c r="CC454" s="104"/>
      <c r="CD454" s="104"/>
      <c r="CE454" s="104"/>
      <c r="CF454" s="104"/>
      <c r="CG454" s="104"/>
      <c r="CH454" s="104"/>
      <c r="CI454" s="104"/>
      <c r="CJ454" s="104"/>
      <c r="CK454" s="104"/>
      <c r="CL454" s="104"/>
      <c r="CM454" s="104"/>
      <c r="CN454" s="98"/>
      <c r="CP454" s="101"/>
      <c r="CQ454" s="101"/>
      <c r="CR454" s="101"/>
      <c r="CS454" s="101"/>
      <c r="CT454" s="101"/>
      <c r="FJ454" s="103"/>
      <c r="FL454" s="103"/>
      <c r="FN454" s="103"/>
      <c r="FP454" s="103"/>
    </row>
    <row r="455" spans="2:172" x14ac:dyDescent="0.35">
      <c r="B455" s="97"/>
      <c r="G455" s="100"/>
      <c r="K455" s="98"/>
      <c r="L455" s="101"/>
      <c r="M455" s="101"/>
      <c r="N455" s="101"/>
      <c r="O455" s="101"/>
      <c r="P455" s="102"/>
      <c r="Q455" s="101"/>
      <c r="R455" s="98"/>
      <c r="S455" s="98"/>
      <c r="T455" s="98"/>
      <c r="U455" s="98"/>
      <c r="V455" s="98"/>
      <c r="W455" s="98"/>
      <c r="X455" s="103"/>
      <c r="Y455" s="103"/>
      <c r="Z455" s="103"/>
      <c r="AA455" s="103"/>
      <c r="AB455" s="103"/>
      <c r="AC455" s="103"/>
      <c r="AD455" s="103"/>
      <c r="AE455" s="101"/>
      <c r="AF455" s="101"/>
      <c r="AG455" s="101"/>
      <c r="AH455" s="101"/>
      <c r="AI455" s="101"/>
      <c r="AJ455" s="101"/>
      <c r="AK455" s="101"/>
      <c r="AL455" s="103"/>
      <c r="AM455" s="103"/>
      <c r="AN455" s="103"/>
      <c r="AO455" s="103"/>
      <c r="AP455" s="103"/>
      <c r="AQ455" s="103"/>
      <c r="AR455" s="103"/>
      <c r="AS455" s="101"/>
      <c r="AT455" s="101"/>
      <c r="AU455" s="101"/>
      <c r="AV455" s="101"/>
      <c r="AW455" s="101"/>
      <c r="AX455" s="101"/>
      <c r="AY455" s="101"/>
      <c r="AZ455" s="103"/>
      <c r="BA455" s="103"/>
      <c r="BB455" s="103"/>
      <c r="BC455" s="101"/>
      <c r="BD455" s="101"/>
      <c r="BE455" s="101"/>
      <c r="BF455" s="101"/>
      <c r="BG455" s="101"/>
      <c r="BK455" s="101"/>
      <c r="BL455" s="101"/>
      <c r="BM455" s="101"/>
      <c r="BN455" s="101"/>
      <c r="BO455" s="101"/>
      <c r="BP455" s="101"/>
      <c r="BQ455" s="101"/>
      <c r="BR455" s="104"/>
      <c r="BS455" s="104"/>
      <c r="BT455" s="104"/>
      <c r="BU455" s="104"/>
      <c r="BV455" s="104"/>
      <c r="BW455" s="104"/>
      <c r="BX455" s="104"/>
      <c r="BY455" s="104"/>
      <c r="BZ455" s="104"/>
      <c r="CA455" s="104"/>
      <c r="CB455" s="104"/>
      <c r="CC455" s="104"/>
      <c r="CD455" s="104"/>
      <c r="CE455" s="104"/>
      <c r="CF455" s="104"/>
      <c r="CG455" s="104"/>
      <c r="CH455" s="104"/>
      <c r="CI455" s="104"/>
      <c r="CJ455" s="104"/>
      <c r="CK455" s="104"/>
      <c r="CL455" s="104"/>
      <c r="CM455" s="104"/>
      <c r="CN455" s="98"/>
      <c r="CP455" s="101"/>
      <c r="CQ455" s="101"/>
      <c r="CR455" s="101"/>
      <c r="CS455" s="101"/>
      <c r="CT455" s="101"/>
      <c r="FJ455" s="103"/>
      <c r="FL455" s="103"/>
      <c r="FN455" s="103"/>
      <c r="FP455" s="103"/>
    </row>
    <row r="456" spans="2:172" x14ac:dyDescent="0.35">
      <c r="B456" s="97"/>
      <c r="G456" s="100"/>
      <c r="K456" s="98"/>
      <c r="L456" s="101"/>
      <c r="M456" s="101"/>
      <c r="N456" s="101"/>
      <c r="O456" s="101"/>
      <c r="P456" s="102"/>
      <c r="Q456" s="101"/>
      <c r="R456" s="98"/>
      <c r="S456" s="98"/>
      <c r="T456" s="98"/>
      <c r="U456" s="98"/>
      <c r="V456" s="98"/>
      <c r="W456" s="98"/>
      <c r="X456" s="103"/>
      <c r="Y456" s="103"/>
      <c r="Z456" s="103"/>
      <c r="AA456" s="103"/>
      <c r="AB456" s="103"/>
      <c r="AC456" s="103"/>
      <c r="AD456" s="103"/>
      <c r="AE456" s="101"/>
      <c r="AF456" s="101"/>
      <c r="AG456" s="101"/>
      <c r="AH456" s="101"/>
      <c r="AI456" s="101"/>
      <c r="AJ456" s="101"/>
      <c r="AK456" s="101"/>
      <c r="AL456" s="103"/>
      <c r="AM456" s="103"/>
      <c r="AN456" s="103"/>
      <c r="AO456" s="103"/>
      <c r="AP456" s="103"/>
      <c r="AQ456" s="103"/>
      <c r="AR456" s="103"/>
      <c r="AS456" s="101"/>
      <c r="AT456" s="101"/>
      <c r="AU456" s="101"/>
      <c r="AV456" s="101"/>
      <c r="AW456" s="101"/>
      <c r="AX456" s="101"/>
      <c r="AY456" s="101"/>
      <c r="AZ456" s="103"/>
      <c r="BA456" s="103"/>
      <c r="BB456" s="103"/>
      <c r="BC456" s="101"/>
      <c r="BD456" s="101"/>
      <c r="BE456" s="101"/>
      <c r="BF456" s="101"/>
      <c r="BG456" s="101"/>
      <c r="BK456" s="101"/>
      <c r="BL456" s="101"/>
      <c r="BM456" s="101"/>
      <c r="BN456" s="101"/>
      <c r="BO456" s="101"/>
      <c r="BP456" s="101"/>
      <c r="BQ456" s="101"/>
      <c r="BR456" s="104"/>
      <c r="BS456" s="104"/>
      <c r="BT456" s="104"/>
      <c r="BU456" s="104"/>
      <c r="BV456" s="104"/>
      <c r="BW456" s="104"/>
      <c r="BX456" s="104"/>
      <c r="BY456" s="104"/>
      <c r="BZ456" s="104"/>
      <c r="CA456" s="104"/>
      <c r="CB456" s="104"/>
      <c r="CC456" s="104"/>
      <c r="CD456" s="104"/>
      <c r="CE456" s="104"/>
      <c r="CF456" s="104"/>
      <c r="CG456" s="104"/>
      <c r="CH456" s="104"/>
      <c r="CI456" s="104"/>
      <c r="CJ456" s="104"/>
      <c r="CK456" s="104"/>
      <c r="CL456" s="104"/>
      <c r="CM456" s="104"/>
      <c r="CN456" s="98"/>
      <c r="CP456" s="101"/>
      <c r="CQ456" s="101"/>
      <c r="CR456" s="101"/>
      <c r="CS456" s="101"/>
      <c r="CT456" s="101"/>
      <c r="FJ456" s="103"/>
      <c r="FL456" s="103"/>
      <c r="FN456" s="103"/>
      <c r="FP456" s="103"/>
    </row>
    <row r="457" spans="2:172" x14ac:dyDescent="0.35">
      <c r="B457" s="97"/>
      <c r="G457" s="100"/>
      <c r="K457" s="98"/>
      <c r="L457" s="101"/>
      <c r="M457" s="101"/>
      <c r="N457" s="101"/>
      <c r="O457" s="101"/>
      <c r="P457" s="102"/>
      <c r="Q457" s="101"/>
      <c r="R457" s="98"/>
      <c r="S457" s="98"/>
      <c r="T457" s="98"/>
      <c r="U457" s="98"/>
      <c r="V457" s="98"/>
      <c r="W457" s="98"/>
      <c r="X457" s="103"/>
      <c r="Y457" s="103"/>
      <c r="Z457" s="103"/>
      <c r="AA457" s="103"/>
      <c r="AB457" s="103"/>
      <c r="AC457" s="103"/>
      <c r="AD457" s="103"/>
      <c r="AE457" s="101"/>
      <c r="AF457" s="101"/>
      <c r="AG457" s="101"/>
      <c r="AH457" s="101"/>
      <c r="AI457" s="101"/>
      <c r="AJ457" s="101"/>
      <c r="AK457" s="101"/>
      <c r="AL457" s="103"/>
      <c r="AM457" s="103"/>
      <c r="AN457" s="103"/>
      <c r="AO457" s="103"/>
      <c r="AP457" s="103"/>
      <c r="AQ457" s="103"/>
      <c r="AR457" s="103"/>
      <c r="AS457" s="101"/>
      <c r="AT457" s="101"/>
      <c r="AU457" s="101"/>
      <c r="AV457" s="101"/>
      <c r="AW457" s="101"/>
      <c r="AX457" s="101"/>
      <c r="AY457" s="101"/>
      <c r="AZ457" s="103"/>
      <c r="BA457" s="103"/>
      <c r="BB457" s="103"/>
      <c r="BC457" s="101"/>
      <c r="BD457" s="101"/>
      <c r="BE457" s="101"/>
      <c r="BF457" s="101"/>
      <c r="BG457" s="101"/>
      <c r="BK457" s="101"/>
      <c r="BL457" s="101"/>
      <c r="BM457" s="101"/>
      <c r="BN457" s="101"/>
      <c r="BO457" s="101"/>
      <c r="BP457" s="101"/>
      <c r="BQ457" s="101"/>
      <c r="BR457" s="104"/>
      <c r="BS457" s="104"/>
      <c r="BT457" s="104"/>
      <c r="BU457" s="104"/>
      <c r="BV457" s="104"/>
      <c r="BW457" s="104"/>
      <c r="BX457" s="104"/>
      <c r="BY457" s="104"/>
      <c r="BZ457" s="104"/>
      <c r="CA457" s="104"/>
      <c r="CB457" s="104"/>
      <c r="CC457" s="104"/>
      <c r="CD457" s="104"/>
      <c r="CE457" s="104"/>
      <c r="CF457" s="104"/>
      <c r="CG457" s="104"/>
      <c r="CH457" s="104"/>
      <c r="CI457" s="104"/>
      <c r="CJ457" s="104"/>
      <c r="CK457" s="104"/>
      <c r="CL457" s="104"/>
      <c r="CM457" s="104"/>
      <c r="CN457" s="98"/>
      <c r="CP457" s="101"/>
      <c r="CQ457" s="101"/>
      <c r="CR457" s="101"/>
      <c r="CS457" s="101"/>
      <c r="CT457" s="101"/>
      <c r="FJ457" s="103"/>
      <c r="FL457" s="103"/>
      <c r="FN457" s="103"/>
      <c r="FP457" s="103"/>
    </row>
    <row r="458" spans="2:172" x14ac:dyDescent="0.35">
      <c r="B458" s="97"/>
      <c r="G458" s="100"/>
      <c r="K458" s="98"/>
      <c r="L458" s="101"/>
      <c r="M458" s="101"/>
      <c r="N458" s="101"/>
      <c r="O458" s="101"/>
      <c r="P458" s="102"/>
      <c r="Q458" s="101"/>
      <c r="R458" s="98"/>
      <c r="S458" s="98"/>
      <c r="T458" s="98"/>
      <c r="U458" s="98"/>
      <c r="V458" s="98"/>
      <c r="W458" s="98"/>
      <c r="X458" s="103"/>
      <c r="Y458" s="103"/>
      <c r="Z458" s="103"/>
      <c r="AA458" s="103"/>
      <c r="AB458" s="103"/>
      <c r="AC458" s="103"/>
      <c r="AD458" s="103"/>
      <c r="AE458" s="101"/>
      <c r="AF458" s="101"/>
      <c r="AG458" s="101"/>
      <c r="AH458" s="101"/>
      <c r="AI458" s="101"/>
      <c r="AJ458" s="101"/>
      <c r="AK458" s="101"/>
      <c r="AL458" s="103"/>
      <c r="AM458" s="103"/>
      <c r="AN458" s="103"/>
      <c r="AO458" s="103"/>
      <c r="AP458" s="103"/>
      <c r="AQ458" s="103"/>
      <c r="AR458" s="103"/>
      <c r="AS458" s="101"/>
      <c r="AT458" s="101"/>
      <c r="AU458" s="101"/>
      <c r="AV458" s="101"/>
      <c r="AW458" s="101"/>
      <c r="AX458" s="101"/>
      <c r="AY458" s="101"/>
      <c r="AZ458" s="103"/>
      <c r="BA458" s="103"/>
      <c r="BB458" s="103"/>
      <c r="BC458" s="101"/>
      <c r="BD458" s="101"/>
      <c r="BE458" s="101"/>
      <c r="BF458" s="101"/>
      <c r="BG458" s="101"/>
      <c r="BK458" s="101"/>
      <c r="BL458" s="101"/>
      <c r="BM458" s="101"/>
      <c r="BN458" s="101"/>
      <c r="BO458" s="101"/>
      <c r="BP458" s="101"/>
      <c r="BQ458" s="101"/>
      <c r="BR458" s="104"/>
      <c r="BS458" s="104"/>
      <c r="BT458" s="104"/>
      <c r="BU458" s="104"/>
      <c r="BV458" s="104"/>
      <c r="BW458" s="104"/>
      <c r="BX458" s="104"/>
      <c r="BY458" s="104"/>
      <c r="BZ458" s="104"/>
      <c r="CA458" s="104"/>
      <c r="CB458" s="104"/>
      <c r="CC458" s="104"/>
      <c r="CD458" s="104"/>
      <c r="CE458" s="104"/>
      <c r="CF458" s="104"/>
      <c r="CG458" s="104"/>
      <c r="CH458" s="104"/>
      <c r="CI458" s="104"/>
      <c r="CJ458" s="104"/>
      <c r="CK458" s="104"/>
      <c r="CL458" s="104"/>
      <c r="CM458" s="104"/>
      <c r="CN458" s="98"/>
      <c r="CP458" s="101"/>
      <c r="CQ458" s="101"/>
      <c r="CR458" s="101"/>
      <c r="CS458" s="101"/>
      <c r="CT458" s="101"/>
      <c r="FJ458" s="103"/>
      <c r="FL458" s="103"/>
      <c r="FN458" s="103"/>
      <c r="FP458" s="103"/>
    </row>
    <row r="459" spans="2:172" x14ac:dyDescent="0.35">
      <c r="B459" s="97"/>
      <c r="G459" s="100"/>
      <c r="K459" s="98"/>
      <c r="L459" s="101"/>
      <c r="M459" s="101"/>
      <c r="N459" s="101"/>
      <c r="O459" s="101"/>
      <c r="P459" s="102"/>
      <c r="Q459" s="101"/>
      <c r="R459" s="98"/>
      <c r="S459" s="98"/>
      <c r="T459" s="98"/>
      <c r="U459" s="98"/>
      <c r="V459" s="98"/>
      <c r="W459" s="98"/>
      <c r="X459" s="103"/>
      <c r="Y459" s="103"/>
      <c r="Z459" s="103"/>
      <c r="AA459" s="103"/>
      <c r="AB459" s="103"/>
      <c r="AC459" s="103"/>
      <c r="AD459" s="103"/>
      <c r="AE459" s="101"/>
      <c r="AF459" s="101"/>
      <c r="AG459" s="101"/>
      <c r="AH459" s="101"/>
      <c r="AI459" s="101"/>
      <c r="AJ459" s="101"/>
      <c r="AK459" s="101"/>
      <c r="AL459" s="103"/>
      <c r="AM459" s="103"/>
      <c r="AN459" s="103"/>
      <c r="AO459" s="103"/>
      <c r="AP459" s="103"/>
      <c r="AQ459" s="103"/>
      <c r="AR459" s="103"/>
      <c r="AS459" s="101"/>
      <c r="AT459" s="101"/>
      <c r="AU459" s="101"/>
      <c r="AV459" s="101"/>
      <c r="AW459" s="101"/>
      <c r="AX459" s="101"/>
      <c r="AY459" s="101"/>
      <c r="AZ459" s="103"/>
      <c r="BA459" s="103"/>
      <c r="BB459" s="103"/>
      <c r="BC459" s="101"/>
      <c r="BD459" s="101"/>
      <c r="BE459" s="101"/>
      <c r="BF459" s="101"/>
      <c r="BG459" s="101"/>
      <c r="BK459" s="101"/>
      <c r="BL459" s="101"/>
      <c r="BM459" s="101"/>
      <c r="BN459" s="101"/>
      <c r="BO459" s="101"/>
      <c r="BP459" s="101"/>
      <c r="BQ459" s="101"/>
      <c r="BR459" s="104"/>
      <c r="BS459" s="104"/>
      <c r="BT459" s="104"/>
      <c r="BU459" s="104"/>
      <c r="BV459" s="104"/>
      <c r="BW459" s="104"/>
      <c r="BX459" s="104"/>
      <c r="BY459" s="104"/>
      <c r="BZ459" s="104"/>
      <c r="CA459" s="104"/>
      <c r="CB459" s="104"/>
      <c r="CC459" s="104"/>
      <c r="CD459" s="104"/>
      <c r="CE459" s="104"/>
      <c r="CF459" s="104"/>
      <c r="CG459" s="104"/>
      <c r="CH459" s="104"/>
      <c r="CI459" s="104"/>
      <c r="CJ459" s="104"/>
      <c r="CK459" s="104"/>
      <c r="CL459" s="104"/>
      <c r="CM459" s="104"/>
      <c r="CN459" s="98"/>
      <c r="CP459" s="101"/>
      <c r="CQ459" s="101"/>
      <c r="CR459" s="101"/>
      <c r="CS459" s="101"/>
      <c r="CT459" s="101"/>
      <c r="FJ459" s="103"/>
      <c r="FL459" s="103"/>
      <c r="FN459" s="103"/>
      <c r="FP459" s="103"/>
    </row>
    <row r="460" spans="2:172" x14ac:dyDescent="0.35">
      <c r="B460" s="97"/>
      <c r="G460" s="100"/>
      <c r="K460" s="98"/>
      <c r="L460" s="101"/>
      <c r="M460" s="101"/>
      <c r="N460" s="101"/>
      <c r="O460" s="101"/>
      <c r="P460" s="102"/>
      <c r="Q460" s="101"/>
      <c r="R460" s="98"/>
      <c r="S460" s="98"/>
      <c r="T460" s="98"/>
      <c r="U460" s="98"/>
      <c r="V460" s="98"/>
      <c r="W460" s="98"/>
      <c r="X460" s="103"/>
      <c r="Y460" s="103"/>
      <c r="Z460" s="103"/>
      <c r="AA460" s="103"/>
      <c r="AB460" s="103"/>
      <c r="AC460" s="103"/>
      <c r="AD460" s="103"/>
      <c r="AE460" s="101"/>
      <c r="AF460" s="101"/>
      <c r="AG460" s="101"/>
      <c r="AH460" s="101"/>
      <c r="AI460" s="101"/>
      <c r="AJ460" s="101"/>
      <c r="AK460" s="101"/>
      <c r="AL460" s="103"/>
      <c r="AM460" s="103"/>
      <c r="AN460" s="103"/>
      <c r="AO460" s="103"/>
      <c r="AP460" s="103"/>
      <c r="AQ460" s="103"/>
      <c r="AR460" s="103"/>
      <c r="AS460" s="101"/>
      <c r="AT460" s="101"/>
      <c r="AU460" s="101"/>
      <c r="AV460" s="101"/>
      <c r="AW460" s="101"/>
      <c r="AX460" s="101"/>
      <c r="AY460" s="101"/>
      <c r="AZ460" s="103"/>
      <c r="BA460" s="103"/>
      <c r="BB460" s="103"/>
      <c r="BC460" s="101"/>
      <c r="BD460" s="101"/>
      <c r="BE460" s="101"/>
      <c r="BF460" s="101"/>
      <c r="BG460" s="101"/>
      <c r="BK460" s="101"/>
      <c r="BL460" s="101"/>
      <c r="BM460" s="101"/>
      <c r="BN460" s="101"/>
      <c r="BO460" s="101"/>
      <c r="BP460" s="101"/>
      <c r="BQ460" s="101"/>
      <c r="BR460" s="104"/>
      <c r="BS460" s="104"/>
      <c r="BT460" s="104"/>
      <c r="BU460" s="104"/>
      <c r="BV460" s="104"/>
      <c r="BW460" s="104"/>
      <c r="BX460" s="104"/>
      <c r="BY460" s="104"/>
      <c r="BZ460" s="104"/>
      <c r="CA460" s="104"/>
      <c r="CB460" s="104"/>
      <c r="CC460" s="104"/>
      <c r="CD460" s="104"/>
      <c r="CE460" s="104"/>
      <c r="CF460" s="104"/>
      <c r="CG460" s="104"/>
      <c r="CH460" s="104"/>
      <c r="CI460" s="104"/>
      <c r="CJ460" s="104"/>
      <c r="CK460" s="104"/>
      <c r="CL460" s="104"/>
      <c r="CM460" s="104"/>
      <c r="CN460" s="98"/>
      <c r="CP460" s="101"/>
      <c r="CQ460" s="101"/>
      <c r="CR460" s="101"/>
      <c r="CS460" s="101"/>
      <c r="CT460" s="101"/>
      <c r="FJ460" s="103"/>
      <c r="FL460" s="103"/>
      <c r="FN460" s="103"/>
      <c r="FP460" s="103"/>
    </row>
    <row r="461" spans="2:172" x14ac:dyDescent="0.35">
      <c r="B461" s="97"/>
      <c r="G461" s="100"/>
      <c r="K461" s="98"/>
      <c r="L461" s="101"/>
      <c r="M461" s="101"/>
      <c r="N461" s="101"/>
      <c r="O461" s="101"/>
      <c r="P461" s="102"/>
      <c r="Q461" s="101"/>
      <c r="R461" s="98"/>
      <c r="S461" s="98"/>
      <c r="T461" s="98"/>
      <c r="U461" s="98"/>
      <c r="V461" s="98"/>
      <c r="W461" s="98"/>
      <c r="X461" s="103"/>
      <c r="Y461" s="103"/>
      <c r="Z461" s="103"/>
      <c r="AA461" s="103"/>
      <c r="AB461" s="103"/>
      <c r="AC461" s="103"/>
      <c r="AD461" s="103"/>
      <c r="AE461" s="101"/>
      <c r="AF461" s="101"/>
      <c r="AG461" s="101"/>
      <c r="AH461" s="101"/>
      <c r="AI461" s="101"/>
      <c r="AJ461" s="101"/>
      <c r="AK461" s="101"/>
      <c r="AL461" s="103"/>
      <c r="AM461" s="103"/>
      <c r="AN461" s="103"/>
      <c r="AO461" s="103"/>
      <c r="AP461" s="103"/>
      <c r="AQ461" s="103"/>
      <c r="AR461" s="103"/>
      <c r="AS461" s="101"/>
      <c r="AT461" s="101"/>
      <c r="AU461" s="101"/>
      <c r="AV461" s="101"/>
      <c r="AW461" s="101"/>
      <c r="AX461" s="101"/>
      <c r="AY461" s="101"/>
      <c r="AZ461" s="103"/>
      <c r="BA461" s="103"/>
      <c r="BB461" s="103"/>
      <c r="BC461" s="101"/>
      <c r="BD461" s="101"/>
      <c r="BE461" s="101"/>
      <c r="BF461" s="101"/>
      <c r="BG461" s="101"/>
      <c r="BK461" s="101"/>
      <c r="BL461" s="101"/>
      <c r="BM461" s="101"/>
      <c r="BN461" s="101"/>
      <c r="BO461" s="101"/>
      <c r="BP461" s="101"/>
      <c r="BQ461" s="101"/>
      <c r="BR461" s="104"/>
      <c r="BS461" s="104"/>
      <c r="BT461" s="104"/>
      <c r="BU461" s="104"/>
      <c r="BV461" s="104"/>
      <c r="BW461" s="104"/>
      <c r="BX461" s="104"/>
      <c r="BY461" s="104"/>
      <c r="BZ461" s="104"/>
      <c r="CA461" s="104"/>
      <c r="CB461" s="104"/>
      <c r="CC461" s="104"/>
      <c r="CD461" s="104"/>
      <c r="CE461" s="104"/>
      <c r="CF461" s="104"/>
      <c r="CG461" s="104"/>
      <c r="CH461" s="104"/>
      <c r="CI461" s="104"/>
      <c r="CJ461" s="104"/>
      <c r="CK461" s="104"/>
      <c r="CL461" s="104"/>
      <c r="CM461" s="104"/>
      <c r="CN461" s="98"/>
      <c r="CP461" s="101"/>
      <c r="CQ461" s="101"/>
      <c r="CR461" s="101"/>
      <c r="CS461" s="101"/>
      <c r="CT461" s="101"/>
      <c r="FJ461" s="103"/>
      <c r="FL461" s="103"/>
      <c r="FN461" s="103"/>
      <c r="FP461" s="103"/>
    </row>
    <row r="462" spans="2:172" x14ac:dyDescent="0.35">
      <c r="B462" s="97"/>
      <c r="G462" s="100"/>
      <c r="K462" s="98"/>
      <c r="L462" s="101"/>
      <c r="M462" s="101"/>
      <c r="N462" s="101"/>
      <c r="O462" s="101"/>
      <c r="P462" s="102"/>
      <c r="Q462" s="101"/>
      <c r="R462" s="98"/>
      <c r="S462" s="98"/>
      <c r="T462" s="98"/>
      <c r="U462" s="98"/>
      <c r="V462" s="98"/>
      <c r="W462" s="98"/>
      <c r="X462" s="103"/>
      <c r="Y462" s="103"/>
      <c r="Z462" s="103"/>
      <c r="AA462" s="103"/>
      <c r="AB462" s="103"/>
      <c r="AC462" s="103"/>
      <c r="AD462" s="103"/>
      <c r="AE462" s="101"/>
      <c r="AF462" s="101"/>
      <c r="AG462" s="101"/>
      <c r="AH462" s="101"/>
      <c r="AI462" s="101"/>
      <c r="AJ462" s="101"/>
      <c r="AK462" s="101"/>
      <c r="AL462" s="103"/>
      <c r="AM462" s="103"/>
      <c r="AN462" s="103"/>
      <c r="AO462" s="103"/>
      <c r="AP462" s="103"/>
      <c r="AQ462" s="103"/>
      <c r="AR462" s="103"/>
      <c r="AS462" s="101"/>
      <c r="AT462" s="101"/>
      <c r="AU462" s="101"/>
      <c r="AV462" s="101"/>
      <c r="AW462" s="101"/>
      <c r="AX462" s="101"/>
      <c r="AY462" s="101"/>
      <c r="AZ462" s="103"/>
      <c r="BA462" s="103"/>
      <c r="BB462" s="103"/>
      <c r="BC462" s="101"/>
      <c r="BD462" s="101"/>
      <c r="BE462" s="101"/>
      <c r="BF462" s="101"/>
      <c r="BG462" s="101"/>
      <c r="BK462" s="101"/>
      <c r="BL462" s="101"/>
      <c r="BM462" s="101"/>
      <c r="BN462" s="101"/>
      <c r="BO462" s="101"/>
      <c r="BP462" s="101"/>
      <c r="BQ462" s="101"/>
      <c r="BR462" s="104"/>
      <c r="BS462" s="104"/>
      <c r="BT462" s="104"/>
      <c r="BU462" s="104"/>
      <c r="BV462" s="104"/>
      <c r="BW462" s="104"/>
      <c r="BX462" s="104"/>
      <c r="BY462" s="104"/>
      <c r="BZ462" s="104"/>
      <c r="CA462" s="104"/>
      <c r="CB462" s="104"/>
      <c r="CC462" s="104"/>
      <c r="CD462" s="104"/>
      <c r="CE462" s="104"/>
      <c r="CF462" s="104"/>
      <c r="CG462" s="104"/>
      <c r="CH462" s="104"/>
      <c r="CI462" s="104"/>
      <c r="CJ462" s="104"/>
      <c r="CK462" s="104"/>
      <c r="CL462" s="104"/>
      <c r="CM462" s="104"/>
      <c r="CN462" s="98"/>
      <c r="CP462" s="101"/>
      <c r="CQ462" s="101"/>
      <c r="CR462" s="101"/>
      <c r="CS462" s="101"/>
      <c r="CT462" s="101"/>
      <c r="FJ462" s="103"/>
      <c r="FL462" s="103"/>
      <c r="FN462" s="103"/>
      <c r="FP462" s="103"/>
    </row>
    <row r="463" spans="2:172" x14ac:dyDescent="0.35">
      <c r="B463" s="97"/>
      <c r="G463" s="100"/>
      <c r="K463" s="98"/>
      <c r="L463" s="101"/>
      <c r="M463" s="101"/>
      <c r="N463" s="101"/>
      <c r="O463" s="101"/>
      <c r="P463" s="102"/>
      <c r="Q463" s="101"/>
      <c r="R463" s="98"/>
      <c r="S463" s="98"/>
      <c r="T463" s="98"/>
      <c r="U463" s="98"/>
      <c r="V463" s="98"/>
      <c r="W463" s="98"/>
      <c r="X463" s="103"/>
      <c r="Y463" s="103"/>
      <c r="Z463" s="103"/>
      <c r="AA463" s="103"/>
      <c r="AB463" s="103"/>
      <c r="AC463" s="103"/>
      <c r="AD463" s="103"/>
      <c r="AE463" s="101"/>
      <c r="AF463" s="101"/>
      <c r="AG463" s="101"/>
      <c r="AH463" s="101"/>
      <c r="AI463" s="101"/>
      <c r="AJ463" s="101"/>
      <c r="AK463" s="101"/>
      <c r="AL463" s="103"/>
      <c r="AM463" s="103"/>
      <c r="AN463" s="103"/>
      <c r="AO463" s="103"/>
      <c r="AP463" s="103"/>
      <c r="AQ463" s="103"/>
      <c r="AR463" s="103"/>
      <c r="AS463" s="101"/>
      <c r="AT463" s="101"/>
      <c r="AU463" s="101"/>
      <c r="AV463" s="101"/>
      <c r="AW463" s="101"/>
      <c r="AX463" s="101"/>
      <c r="AY463" s="101"/>
      <c r="AZ463" s="103"/>
      <c r="BA463" s="103"/>
      <c r="BB463" s="103"/>
      <c r="BC463" s="101"/>
      <c r="BD463" s="101"/>
      <c r="BE463" s="101"/>
      <c r="BF463" s="101"/>
      <c r="BG463" s="101"/>
      <c r="BK463" s="101"/>
      <c r="BL463" s="101"/>
      <c r="BM463" s="101"/>
      <c r="BN463" s="101"/>
      <c r="BO463" s="101"/>
      <c r="BP463" s="101"/>
      <c r="BQ463" s="101"/>
      <c r="BR463" s="104"/>
      <c r="BS463" s="104"/>
      <c r="BT463" s="104"/>
      <c r="BU463" s="104"/>
      <c r="BV463" s="104"/>
      <c r="BW463" s="104"/>
      <c r="BX463" s="104"/>
      <c r="BY463" s="104"/>
      <c r="BZ463" s="104"/>
      <c r="CA463" s="104"/>
      <c r="CB463" s="104"/>
      <c r="CC463" s="104"/>
      <c r="CD463" s="104"/>
      <c r="CE463" s="104"/>
      <c r="CF463" s="104"/>
      <c r="CG463" s="104"/>
      <c r="CH463" s="104"/>
      <c r="CI463" s="104"/>
      <c r="CJ463" s="104"/>
      <c r="CK463" s="104"/>
      <c r="CL463" s="104"/>
      <c r="CM463" s="104"/>
      <c r="CN463" s="98"/>
      <c r="CP463" s="101"/>
      <c r="CQ463" s="101"/>
      <c r="CR463" s="101"/>
      <c r="CS463" s="101"/>
      <c r="CT463" s="101"/>
      <c r="FJ463" s="103"/>
      <c r="FL463" s="103"/>
      <c r="FN463" s="103"/>
      <c r="FP463" s="103"/>
    </row>
    <row r="464" spans="2:172" x14ac:dyDescent="0.35">
      <c r="B464" s="97"/>
      <c r="G464" s="100"/>
      <c r="K464" s="98"/>
      <c r="L464" s="101"/>
      <c r="M464" s="101"/>
      <c r="N464" s="101"/>
      <c r="O464" s="101"/>
      <c r="P464" s="102"/>
      <c r="Q464" s="101"/>
      <c r="R464" s="98"/>
      <c r="S464" s="98"/>
      <c r="T464" s="98"/>
      <c r="U464" s="98"/>
      <c r="V464" s="98"/>
      <c r="W464" s="98"/>
      <c r="X464" s="103"/>
      <c r="Y464" s="103"/>
      <c r="Z464" s="103"/>
      <c r="AA464" s="103"/>
      <c r="AB464" s="103"/>
      <c r="AC464" s="103"/>
      <c r="AD464" s="103"/>
      <c r="AE464" s="101"/>
      <c r="AF464" s="101"/>
      <c r="AG464" s="101"/>
      <c r="AH464" s="101"/>
      <c r="AI464" s="101"/>
      <c r="AJ464" s="101"/>
      <c r="AK464" s="101"/>
      <c r="AL464" s="103"/>
      <c r="AM464" s="103"/>
      <c r="AN464" s="103"/>
      <c r="AO464" s="103"/>
      <c r="AP464" s="103"/>
      <c r="AQ464" s="103"/>
      <c r="AR464" s="103"/>
      <c r="AS464" s="101"/>
      <c r="AT464" s="101"/>
      <c r="AU464" s="101"/>
      <c r="AV464" s="101"/>
      <c r="AW464" s="101"/>
      <c r="AX464" s="101"/>
      <c r="AY464" s="101"/>
      <c r="AZ464" s="103"/>
      <c r="BA464" s="103"/>
      <c r="BB464" s="103"/>
      <c r="BC464" s="101"/>
      <c r="BD464" s="101"/>
      <c r="BE464" s="101"/>
      <c r="BF464" s="101"/>
      <c r="BG464" s="101"/>
      <c r="BK464" s="101"/>
      <c r="BL464" s="101"/>
      <c r="BM464" s="101"/>
      <c r="BN464" s="101"/>
      <c r="BO464" s="101"/>
      <c r="BP464" s="101"/>
      <c r="BQ464" s="101"/>
      <c r="BR464" s="104"/>
      <c r="BS464" s="104"/>
      <c r="BT464" s="104"/>
      <c r="BU464" s="104"/>
      <c r="BV464" s="104"/>
      <c r="BW464" s="104"/>
      <c r="BX464" s="104"/>
      <c r="BY464" s="104"/>
      <c r="BZ464" s="104"/>
      <c r="CA464" s="104"/>
      <c r="CB464" s="104"/>
      <c r="CC464" s="104"/>
      <c r="CD464" s="104"/>
      <c r="CE464" s="104"/>
      <c r="CF464" s="104"/>
      <c r="CG464" s="104"/>
      <c r="CH464" s="104"/>
      <c r="CI464" s="104"/>
      <c r="CJ464" s="104"/>
      <c r="CK464" s="104"/>
      <c r="CL464" s="104"/>
      <c r="CM464" s="104"/>
      <c r="CN464" s="98"/>
      <c r="CP464" s="101"/>
      <c r="CQ464" s="101"/>
      <c r="CR464" s="101"/>
      <c r="CS464" s="101"/>
      <c r="CT464" s="101"/>
      <c r="FJ464" s="103"/>
      <c r="FL464" s="103"/>
      <c r="FN464" s="103"/>
      <c r="FP464" s="103"/>
    </row>
    <row r="465" spans="2:172" x14ac:dyDescent="0.35">
      <c r="B465" s="97"/>
      <c r="G465" s="100"/>
      <c r="K465" s="98"/>
      <c r="L465" s="101"/>
      <c r="M465" s="101"/>
      <c r="N465" s="101"/>
      <c r="O465" s="101"/>
      <c r="P465" s="102"/>
      <c r="Q465" s="101"/>
      <c r="R465" s="98"/>
      <c r="S465" s="98"/>
      <c r="T465" s="98"/>
      <c r="U465" s="98"/>
      <c r="V465" s="98"/>
      <c r="W465" s="98"/>
      <c r="X465" s="103"/>
      <c r="Y465" s="103"/>
      <c r="Z465" s="103"/>
      <c r="AA465" s="103"/>
      <c r="AB465" s="103"/>
      <c r="AC465" s="103"/>
      <c r="AD465" s="103"/>
      <c r="AE465" s="101"/>
      <c r="AF465" s="101"/>
      <c r="AG465" s="101"/>
      <c r="AH465" s="101"/>
      <c r="AI465" s="101"/>
      <c r="AJ465" s="101"/>
      <c r="AK465" s="101"/>
      <c r="AL465" s="103"/>
      <c r="AM465" s="103"/>
      <c r="AN465" s="103"/>
      <c r="AO465" s="103"/>
      <c r="AP465" s="103"/>
      <c r="AQ465" s="103"/>
      <c r="AR465" s="103"/>
      <c r="AS465" s="101"/>
      <c r="AT465" s="101"/>
      <c r="AU465" s="101"/>
      <c r="AV465" s="101"/>
      <c r="AW465" s="101"/>
      <c r="AX465" s="101"/>
      <c r="AY465" s="101"/>
      <c r="AZ465" s="103"/>
      <c r="BA465" s="103"/>
      <c r="BB465" s="103"/>
      <c r="BC465" s="101"/>
      <c r="BD465" s="101"/>
      <c r="BE465" s="101"/>
      <c r="BF465" s="101"/>
      <c r="BG465" s="101"/>
      <c r="BK465" s="101"/>
      <c r="BL465" s="101"/>
      <c r="BM465" s="101"/>
      <c r="BN465" s="101"/>
      <c r="BO465" s="101"/>
      <c r="BP465" s="101"/>
      <c r="BQ465" s="101"/>
      <c r="BR465" s="104"/>
      <c r="BS465" s="104"/>
      <c r="BT465" s="104"/>
      <c r="BU465" s="104"/>
      <c r="BV465" s="104"/>
      <c r="BW465" s="104"/>
      <c r="BX465" s="104"/>
      <c r="BY465" s="104"/>
      <c r="BZ465" s="104"/>
      <c r="CA465" s="104"/>
      <c r="CB465" s="104"/>
      <c r="CC465" s="104"/>
      <c r="CD465" s="104"/>
      <c r="CE465" s="104"/>
      <c r="CF465" s="104"/>
      <c r="CG465" s="104"/>
      <c r="CH465" s="104"/>
      <c r="CI465" s="104"/>
      <c r="CJ465" s="104"/>
      <c r="CK465" s="104"/>
      <c r="CL465" s="104"/>
      <c r="CM465" s="104"/>
      <c r="CN465" s="98"/>
      <c r="CP465" s="101"/>
      <c r="CQ465" s="101"/>
      <c r="CR465" s="101"/>
      <c r="CS465" s="101"/>
      <c r="CT465" s="101"/>
      <c r="FJ465" s="103"/>
      <c r="FL465" s="103"/>
      <c r="FN465" s="103"/>
      <c r="FP465" s="103"/>
    </row>
    <row r="466" spans="2:172" x14ac:dyDescent="0.35">
      <c r="B466" s="97"/>
      <c r="G466" s="100"/>
      <c r="K466" s="98"/>
      <c r="L466" s="101"/>
      <c r="M466" s="101"/>
      <c r="N466" s="101"/>
      <c r="O466" s="101"/>
      <c r="P466" s="102"/>
      <c r="Q466" s="101"/>
      <c r="R466" s="98"/>
      <c r="S466" s="98"/>
      <c r="T466" s="98"/>
      <c r="U466" s="98"/>
      <c r="V466" s="98"/>
      <c r="W466" s="98"/>
      <c r="X466" s="103"/>
      <c r="Y466" s="103"/>
      <c r="Z466" s="103"/>
      <c r="AA466" s="103"/>
      <c r="AB466" s="103"/>
      <c r="AC466" s="103"/>
      <c r="AD466" s="103"/>
      <c r="AE466" s="101"/>
      <c r="AF466" s="101"/>
      <c r="AG466" s="101"/>
      <c r="AH466" s="101"/>
      <c r="AI466" s="101"/>
      <c r="AJ466" s="101"/>
      <c r="AK466" s="101"/>
      <c r="AL466" s="103"/>
      <c r="AM466" s="103"/>
      <c r="AN466" s="103"/>
      <c r="AO466" s="103"/>
      <c r="AP466" s="103"/>
      <c r="AQ466" s="103"/>
      <c r="AR466" s="103"/>
      <c r="AS466" s="101"/>
      <c r="AT466" s="101"/>
      <c r="AU466" s="101"/>
      <c r="AV466" s="101"/>
      <c r="AW466" s="101"/>
      <c r="AX466" s="101"/>
      <c r="AY466" s="101"/>
      <c r="AZ466" s="103"/>
      <c r="BA466" s="103"/>
      <c r="BB466" s="103"/>
      <c r="BC466" s="101"/>
      <c r="BD466" s="101"/>
      <c r="BE466" s="101"/>
      <c r="BF466" s="101"/>
      <c r="BG466" s="101"/>
      <c r="BK466" s="101"/>
      <c r="BL466" s="101"/>
      <c r="BM466" s="101"/>
      <c r="BN466" s="101"/>
      <c r="BO466" s="101"/>
      <c r="BP466" s="101"/>
      <c r="BQ466" s="101"/>
      <c r="BR466" s="104"/>
      <c r="BS466" s="104"/>
      <c r="BT466" s="104"/>
      <c r="BU466" s="104"/>
      <c r="BV466" s="104"/>
      <c r="BW466" s="104"/>
      <c r="BX466" s="104"/>
      <c r="BY466" s="104"/>
      <c r="BZ466" s="104"/>
      <c r="CA466" s="104"/>
      <c r="CB466" s="104"/>
      <c r="CC466" s="104"/>
      <c r="CD466" s="104"/>
      <c r="CE466" s="104"/>
      <c r="CF466" s="104"/>
      <c r="CG466" s="104"/>
      <c r="CH466" s="104"/>
      <c r="CI466" s="104"/>
      <c r="CJ466" s="104"/>
      <c r="CK466" s="104"/>
      <c r="CL466" s="104"/>
      <c r="CM466" s="104"/>
      <c r="CN466" s="98"/>
      <c r="CP466" s="101"/>
      <c r="CQ466" s="101"/>
      <c r="CR466" s="101"/>
      <c r="CS466" s="101"/>
      <c r="CT466" s="101"/>
      <c r="FJ466" s="103"/>
      <c r="FL466" s="103"/>
      <c r="FN466" s="103"/>
      <c r="FP466" s="103"/>
    </row>
    <row r="467" spans="2:172" x14ac:dyDescent="0.35">
      <c r="B467" s="97"/>
      <c r="G467" s="100"/>
      <c r="K467" s="98"/>
      <c r="L467" s="101"/>
      <c r="M467" s="101"/>
      <c r="N467" s="101"/>
      <c r="O467" s="101"/>
      <c r="P467" s="102"/>
      <c r="Q467" s="101"/>
      <c r="R467" s="98"/>
      <c r="S467" s="98"/>
      <c r="T467" s="98"/>
      <c r="U467" s="98"/>
      <c r="V467" s="98"/>
      <c r="W467" s="98"/>
      <c r="X467" s="103"/>
      <c r="Y467" s="103"/>
      <c r="Z467" s="103"/>
      <c r="AA467" s="103"/>
      <c r="AB467" s="103"/>
      <c r="AC467" s="103"/>
      <c r="AD467" s="103"/>
      <c r="AE467" s="101"/>
      <c r="AF467" s="101"/>
      <c r="AG467" s="101"/>
      <c r="AH467" s="101"/>
      <c r="AI467" s="101"/>
      <c r="AJ467" s="101"/>
      <c r="AK467" s="101"/>
      <c r="AL467" s="103"/>
      <c r="AM467" s="103"/>
      <c r="AN467" s="103"/>
      <c r="AO467" s="103"/>
      <c r="AP467" s="103"/>
      <c r="AQ467" s="103"/>
      <c r="AR467" s="103"/>
      <c r="AS467" s="101"/>
      <c r="AT467" s="101"/>
      <c r="AU467" s="101"/>
      <c r="AV467" s="101"/>
      <c r="AW467" s="101"/>
      <c r="AX467" s="101"/>
      <c r="AY467" s="101"/>
      <c r="AZ467" s="103"/>
      <c r="BA467" s="103"/>
      <c r="BB467" s="103"/>
      <c r="BC467" s="101"/>
      <c r="BD467" s="101"/>
      <c r="BE467" s="101"/>
      <c r="BF467" s="101"/>
      <c r="BG467" s="101"/>
      <c r="BK467" s="101"/>
      <c r="BL467" s="101"/>
      <c r="BM467" s="101"/>
      <c r="BN467" s="101"/>
      <c r="BO467" s="101"/>
      <c r="BP467" s="101"/>
      <c r="BQ467" s="101"/>
      <c r="BR467" s="104"/>
      <c r="BS467" s="104"/>
      <c r="BT467" s="104"/>
      <c r="BU467" s="104"/>
      <c r="BV467" s="104"/>
      <c r="BW467" s="104"/>
      <c r="BX467" s="104"/>
      <c r="BY467" s="104"/>
      <c r="BZ467" s="104"/>
      <c r="CA467" s="104"/>
      <c r="CB467" s="104"/>
      <c r="CC467" s="104"/>
      <c r="CD467" s="104"/>
      <c r="CE467" s="104"/>
      <c r="CF467" s="104"/>
      <c r="CG467" s="104"/>
      <c r="CH467" s="104"/>
      <c r="CI467" s="104"/>
      <c r="CJ467" s="104"/>
      <c r="CK467" s="104"/>
      <c r="CL467" s="104"/>
      <c r="CM467" s="104"/>
      <c r="CN467" s="98"/>
      <c r="CP467" s="101"/>
      <c r="CQ467" s="101"/>
      <c r="CR467" s="101"/>
      <c r="CS467" s="101"/>
      <c r="CT467" s="101"/>
      <c r="FJ467" s="103"/>
      <c r="FL467" s="103"/>
      <c r="FN467" s="103"/>
      <c r="FP467" s="103"/>
    </row>
    <row r="468" spans="2:172" x14ac:dyDescent="0.35">
      <c r="B468" s="97"/>
      <c r="G468" s="100"/>
      <c r="K468" s="98"/>
      <c r="L468" s="101"/>
      <c r="M468" s="101"/>
      <c r="N468" s="101"/>
      <c r="O468" s="101"/>
      <c r="P468" s="102"/>
      <c r="Q468" s="101"/>
      <c r="R468" s="98"/>
      <c r="S468" s="98"/>
      <c r="T468" s="98"/>
      <c r="U468" s="98"/>
      <c r="V468" s="98"/>
      <c r="W468" s="98"/>
      <c r="X468" s="103"/>
      <c r="Y468" s="103"/>
      <c r="Z468" s="103"/>
      <c r="AA468" s="103"/>
      <c r="AB468" s="103"/>
      <c r="AC468" s="103"/>
      <c r="AD468" s="103"/>
      <c r="AE468" s="101"/>
      <c r="AF468" s="101"/>
      <c r="AG468" s="101"/>
      <c r="AH468" s="101"/>
      <c r="AI468" s="101"/>
      <c r="AJ468" s="101"/>
      <c r="AK468" s="101"/>
      <c r="AL468" s="103"/>
      <c r="AM468" s="103"/>
      <c r="AN468" s="103"/>
      <c r="AO468" s="103"/>
      <c r="AP468" s="103"/>
      <c r="AQ468" s="103"/>
      <c r="AR468" s="103"/>
      <c r="AS468" s="101"/>
      <c r="AT468" s="101"/>
      <c r="AU468" s="101"/>
      <c r="AV468" s="101"/>
      <c r="AW468" s="101"/>
      <c r="AX468" s="101"/>
      <c r="AY468" s="101"/>
      <c r="AZ468" s="103"/>
      <c r="BA468" s="103"/>
      <c r="BB468" s="103"/>
      <c r="BC468" s="101"/>
      <c r="BD468" s="101"/>
      <c r="BE468" s="101"/>
      <c r="BF468" s="101"/>
      <c r="BG468" s="101"/>
      <c r="BK468" s="101"/>
      <c r="BL468" s="101"/>
      <c r="BM468" s="101"/>
      <c r="BN468" s="101"/>
      <c r="BO468" s="101"/>
      <c r="BP468" s="101"/>
      <c r="BQ468" s="101"/>
      <c r="BR468" s="104"/>
      <c r="BS468" s="104"/>
      <c r="BT468" s="104"/>
      <c r="BU468" s="104"/>
      <c r="BV468" s="104"/>
      <c r="BW468" s="104"/>
      <c r="BX468" s="104"/>
      <c r="BY468" s="104"/>
      <c r="BZ468" s="104"/>
      <c r="CA468" s="104"/>
      <c r="CB468" s="104"/>
      <c r="CC468" s="104"/>
      <c r="CD468" s="104"/>
      <c r="CE468" s="104"/>
      <c r="CF468" s="104"/>
      <c r="CG468" s="104"/>
      <c r="CH468" s="104"/>
      <c r="CI468" s="104"/>
      <c r="CJ468" s="104"/>
      <c r="CK468" s="104"/>
      <c r="CL468" s="104"/>
      <c r="CM468" s="104"/>
      <c r="CN468" s="98"/>
      <c r="CP468" s="101"/>
      <c r="CQ468" s="101"/>
      <c r="CR468" s="101"/>
      <c r="CS468" s="101"/>
      <c r="CT468" s="101"/>
      <c r="FJ468" s="103"/>
      <c r="FL468" s="103"/>
      <c r="FN468" s="103"/>
      <c r="FP468" s="103"/>
    </row>
    <row r="469" spans="2:172" x14ac:dyDescent="0.35">
      <c r="B469" s="97"/>
      <c r="G469" s="100"/>
      <c r="K469" s="98"/>
      <c r="L469" s="101"/>
      <c r="M469" s="101"/>
      <c r="N469" s="101"/>
      <c r="O469" s="101"/>
      <c r="P469" s="102"/>
      <c r="Q469" s="101"/>
      <c r="R469" s="98"/>
      <c r="S469" s="98"/>
      <c r="T469" s="98"/>
      <c r="U469" s="98"/>
      <c r="V469" s="98"/>
      <c r="W469" s="98"/>
      <c r="X469" s="103"/>
      <c r="Y469" s="103"/>
      <c r="Z469" s="103"/>
      <c r="AA469" s="103"/>
      <c r="AB469" s="103"/>
      <c r="AC469" s="103"/>
      <c r="AD469" s="103"/>
      <c r="AE469" s="101"/>
      <c r="AF469" s="101"/>
      <c r="AG469" s="101"/>
      <c r="AH469" s="101"/>
      <c r="AI469" s="101"/>
      <c r="AJ469" s="101"/>
      <c r="AK469" s="101"/>
      <c r="AL469" s="103"/>
      <c r="AM469" s="103"/>
      <c r="AN469" s="103"/>
      <c r="AO469" s="103"/>
      <c r="AP469" s="103"/>
      <c r="AQ469" s="103"/>
      <c r="AR469" s="103"/>
      <c r="AS469" s="101"/>
      <c r="AT469" s="101"/>
      <c r="AU469" s="101"/>
      <c r="AV469" s="101"/>
      <c r="AW469" s="101"/>
      <c r="AX469" s="101"/>
      <c r="AY469" s="101"/>
      <c r="AZ469" s="103"/>
      <c r="BA469" s="103"/>
      <c r="BB469" s="103"/>
      <c r="BC469" s="101"/>
      <c r="BD469" s="101"/>
      <c r="BE469" s="101"/>
      <c r="BF469" s="101"/>
      <c r="BG469" s="101"/>
      <c r="BK469" s="101"/>
      <c r="BL469" s="101"/>
      <c r="BM469" s="101"/>
      <c r="BN469" s="101"/>
      <c r="BO469" s="101"/>
      <c r="BP469" s="101"/>
      <c r="BQ469" s="101"/>
      <c r="BR469" s="104"/>
      <c r="BS469" s="104"/>
      <c r="BT469" s="104"/>
      <c r="BU469" s="104"/>
      <c r="BV469" s="104"/>
      <c r="BW469" s="104"/>
      <c r="BX469" s="104"/>
      <c r="BY469" s="104"/>
      <c r="BZ469" s="104"/>
      <c r="CA469" s="104"/>
      <c r="CB469" s="104"/>
      <c r="CC469" s="104"/>
      <c r="CD469" s="104"/>
      <c r="CE469" s="104"/>
      <c r="CF469" s="104"/>
      <c r="CG469" s="104"/>
      <c r="CH469" s="104"/>
      <c r="CI469" s="104"/>
      <c r="CJ469" s="104"/>
      <c r="CK469" s="104"/>
      <c r="CL469" s="104"/>
      <c r="CM469" s="104"/>
      <c r="CN469" s="98"/>
      <c r="CP469" s="101"/>
      <c r="CQ469" s="101"/>
      <c r="CR469" s="101"/>
      <c r="CS469" s="101"/>
      <c r="CT469" s="101"/>
      <c r="FJ469" s="103"/>
      <c r="FL469" s="103"/>
      <c r="FN469" s="103"/>
      <c r="FP469" s="103"/>
    </row>
    <row r="470" spans="2:172" x14ac:dyDescent="0.35">
      <c r="B470" s="97"/>
      <c r="G470" s="100"/>
      <c r="K470" s="98"/>
      <c r="L470" s="101"/>
      <c r="M470" s="101"/>
      <c r="N470" s="101"/>
      <c r="O470" s="101"/>
      <c r="P470" s="102"/>
      <c r="Q470" s="101"/>
      <c r="R470" s="98"/>
      <c r="S470" s="98"/>
      <c r="T470" s="98"/>
      <c r="U470" s="98"/>
      <c r="V470" s="98"/>
      <c r="W470" s="98"/>
      <c r="X470" s="103"/>
      <c r="Y470" s="103"/>
      <c r="Z470" s="103"/>
      <c r="AA470" s="103"/>
      <c r="AB470" s="103"/>
      <c r="AC470" s="103"/>
      <c r="AD470" s="103"/>
      <c r="AE470" s="101"/>
      <c r="AF470" s="101"/>
      <c r="AG470" s="101"/>
      <c r="AH470" s="101"/>
      <c r="AI470" s="101"/>
      <c r="AJ470" s="101"/>
      <c r="AK470" s="101"/>
      <c r="AL470" s="103"/>
      <c r="AM470" s="103"/>
      <c r="AN470" s="103"/>
      <c r="AO470" s="103"/>
      <c r="AP470" s="103"/>
      <c r="AQ470" s="103"/>
      <c r="AR470" s="103"/>
      <c r="AS470" s="101"/>
      <c r="AT470" s="101"/>
      <c r="AU470" s="101"/>
      <c r="AV470" s="101"/>
      <c r="AW470" s="101"/>
      <c r="AX470" s="101"/>
      <c r="AY470" s="101"/>
      <c r="AZ470" s="103"/>
      <c r="BA470" s="103"/>
      <c r="BB470" s="103"/>
      <c r="BC470" s="101"/>
      <c r="BD470" s="101"/>
      <c r="BE470" s="101"/>
      <c r="BF470" s="101"/>
      <c r="BG470" s="101"/>
      <c r="BK470" s="101"/>
      <c r="BL470" s="101"/>
      <c r="BM470" s="101"/>
      <c r="BN470" s="101"/>
      <c r="BO470" s="101"/>
      <c r="BP470" s="101"/>
      <c r="BQ470" s="101"/>
      <c r="BR470" s="104"/>
      <c r="BS470" s="104"/>
      <c r="BT470" s="104"/>
      <c r="BU470" s="104"/>
      <c r="BV470" s="104"/>
      <c r="BW470" s="104"/>
      <c r="BX470" s="104"/>
      <c r="BY470" s="104"/>
      <c r="BZ470" s="104"/>
      <c r="CA470" s="104"/>
      <c r="CB470" s="104"/>
      <c r="CC470" s="104"/>
      <c r="CD470" s="104"/>
      <c r="CE470" s="104"/>
      <c r="CF470" s="104"/>
      <c r="CG470" s="104"/>
      <c r="CH470" s="104"/>
      <c r="CI470" s="104"/>
      <c r="CJ470" s="104"/>
      <c r="CK470" s="104"/>
      <c r="CL470" s="104"/>
      <c r="CM470" s="104"/>
      <c r="CN470" s="98"/>
      <c r="CP470" s="101"/>
      <c r="CQ470" s="101"/>
      <c r="CR470" s="101"/>
      <c r="CS470" s="101"/>
      <c r="CT470" s="101"/>
      <c r="FJ470" s="103"/>
      <c r="FL470" s="103"/>
      <c r="FN470" s="103"/>
      <c r="FP470" s="103"/>
    </row>
    <row r="471" spans="2:172" x14ac:dyDescent="0.35">
      <c r="B471" s="97"/>
      <c r="G471" s="100"/>
      <c r="K471" s="98"/>
      <c r="L471" s="101"/>
      <c r="M471" s="101"/>
      <c r="N471" s="101"/>
      <c r="O471" s="101"/>
      <c r="P471" s="102"/>
      <c r="Q471" s="101"/>
      <c r="R471" s="98"/>
      <c r="S471" s="98"/>
      <c r="T471" s="98"/>
      <c r="U471" s="98"/>
      <c r="V471" s="98"/>
      <c r="W471" s="98"/>
      <c r="X471" s="103"/>
      <c r="Y471" s="103"/>
      <c r="Z471" s="103"/>
      <c r="AA471" s="103"/>
      <c r="AB471" s="103"/>
      <c r="AC471" s="103"/>
      <c r="AD471" s="103"/>
      <c r="AE471" s="101"/>
      <c r="AF471" s="101"/>
      <c r="AG471" s="101"/>
      <c r="AH471" s="101"/>
      <c r="AI471" s="101"/>
      <c r="AJ471" s="101"/>
      <c r="AK471" s="101"/>
      <c r="AL471" s="103"/>
      <c r="AM471" s="103"/>
      <c r="AN471" s="103"/>
      <c r="AO471" s="103"/>
      <c r="AP471" s="103"/>
      <c r="AQ471" s="103"/>
      <c r="AR471" s="103"/>
      <c r="AS471" s="101"/>
      <c r="AT471" s="101"/>
      <c r="AU471" s="101"/>
      <c r="AV471" s="101"/>
      <c r="AW471" s="101"/>
      <c r="AX471" s="101"/>
      <c r="AY471" s="101"/>
      <c r="AZ471" s="103"/>
      <c r="BA471" s="103"/>
      <c r="BB471" s="103"/>
      <c r="BC471" s="101"/>
      <c r="BD471" s="101"/>
      <c r="BE471" s="101"/>
      <c r="BF471" s="101"/>
      <c r="BG471" s="101"/>
      <c r="BK471" s="101"/>
      <c r="BL471" s="101"/>
      <c r="BM471" s="101"/>
      <c r="BN471" s="101"/>
      <c r="BO471" s="101"/>
      <c r="BP471" s="101"/>
      <c r="BQ471" s="101"/>
      <c r="BR471" s="104"/>
      <c r="BS471" s="104"/>
      <c r="BT471" s="104"/>
      <c r="BU471" s="104"/>
      <c r="BV471" s="104"/>
      <c r="BW471" s="104"/>
      <c r="BX471" s="104"/>
      <c r="BY471" s="104"/>
      <c r="BZ471" s="104"/>
      <c r="CA471" s="104"/>
      <c r="CB471" s="104"/>
      <c r="CC471" s="104"/>
      <c r="CD471" s="104"/>
      <c r="CE471" s="104"/>
      <c r="CF471" s="104"/>
      <c r="CG471" s="104"/>
      <c r="CH471" s="104"/>
      <c r="CI471" s="104"/>
      <c r="CJ471" s="104"/>
      <c r="CK471" s="104"/>
      <c r="CL471" s="104"/>
      <c r="CM471" s="104"/>
      <c r="CN471" s="98"/>
      <c r="CP471" s="101"/>
      <c r="CQ471" s="101"/>
      <c r="CR471" s="101"/>
      <c r="CS471" s="101"/>
      <c r="CT471" s="101"/>
      <c r="FJ471" s="103"/>
      <c r="FL471" s="103"/>
      <c r="FN471" s="103"/>
      <c r="FP471" s="103"/>
    </row>
    <row r="472" spans="2:172" x14ac:dyDescent="0.35">
      <c r="B472" s="97"/>
      <c r="G472" s="100"/>
      <c r="K472" s="98"/>
      <c r="L472" s="101"/>
      <c r="M472" s="101"/>
      <c r="N472" s="101"/>
      <c r="O472" s="101"/>
      <c r="P472" s="102"/>
      <c r="Q472" s="101"/>
      <c r="R472" s="98"/>
      <c r="S472" s="98"/>
      <c r="T472" s="98"/>
      <c r="U472" s="98"/>
      <c r="V472" s="98"/>
      <c r="W472" s="98"/>
      <c r="X472" s="103"/>
      <c r="Y472" s="103"/>
      <c r="Z472" s="103"/>
      <c r="AA472" s="103"/>
      <c r="AB472" s="103"/>
      <c r="AC472" s="103"/>
      <c r="AD472" s="103"/>
      <c r="AE472" s="101"/>
      <c r="AF472" s="101"/>
      <c r="AG472" s="101"/>
      <c r="AH472" s="101"/>
      <c r="AI472" s="101"/>
      <c r="AJ472" s="101"/>
      <c r="AK472" s="101"/>
      <c r="AL472" s="103"/>
      <c r="AM472" s="103"/>
      <c r="AN472" s="103"/>
      <c r="AO472" s="103"/>
      <c r="AP472" s="103"/>
      <c r="AQ472" s="103"/>
      <c r="AR472" s="103"/>
      <c r="AS472" s="101"/>
      <c r="AT472" s="101"/>
      <c r="AU472" s="101"/>
      <c r="AV472" s="101"/>
      <c r="AW472" s="101"/>
      <c r="AX472" s="101"/>
      <c r="AY472" s="101"/>
      <c r="AZ472" s="103"/>
      <c r="BA472" s="103"/>
      <c r="BB472" s="103"/>
      <c r="BC472" s="101"/>
      <c r="BD472" s="101"/>
      <c r="BE472" s="101"/>
      <c r="BF472" s="101"/>
      <c r="BG472" s="101"/>
      <c r="BK472" s="101"/>
      <c r="BL472" s="101"/>
      <c r="BM472" s="101"/>
      <c r="BN472" s="101"/>
      <c r="BO472" s="101"/>
      <c r="BP472" s="101"/>
      <c r="BQ472" s="101"/>
      <c r="BR472" s="104"/>
      <c r="BS472" s="104"/>
      <c r="BT472" s="104"/>
      <c r="BU472" s="104"/>
      <c r="BV472" s="104"/>
      <c r="BW472" s="104"/>
      <c r="BX472" s="104"/>
      <c r="BY472" s="104"/>
      <c r="BZ472" s="104"/>
      <c r="CA472" s="104"/>
      <c r="CB472" s="104"/>
      <c r="CC472" s="104"/>
      <c r="CD472" s="104"/>
      <c r="CE472" s="104"/>
      <c r="CF472" s="104"/>
      <c r="CG472" s="104"/>
      <c r="CH472" s="104"/>
      <c r="CI472" s="104"/>
      <c r="CJ472" s="104"/>
      <c r="CK472" s="104"/>
      <c r="CL472" s="104"/>
      <c r="CM472" s="104"/>
      <c r="CN472" s="98"/>
      <c r="CP472" s="101"/>
      <c r="CQ472" s="101"/>
      <c r="CR472" s="101"/>
      <c r="CS472" s="101"/>
      <c r="CT472" s="101"/>
      <c r="FJ472" s="103"/>
      <c r="FL472" s="103"/>
      <c r="FN472" s="103"/>
      <c r="FP472" s="103"/>
    </row>
    <row r="473" spans="2:172" x14ac:dyDescent="0.35">
      <c r="B473" s="97"/>
      <c r="G473" s="100"/>
      <c r="K473" s="98"/>
      <c r="L473" s="101"/>
      <c r="M473" s="101"/>
      <c r="N473" s="101"/>
      <c r="O473" s="101"/>
      <c r="P473" s="102"/>
      <c r="Q473" s="101"/>
      <c r="R473" s="98"/>
      <c r="S473" s="98"/>
      <c r="T473" s="98"/>
      <c r="U473" s="98"/>
      <c r="V473" s="98"/>
      <c r="W473" s="98"/>
      <c r="X473" s="103"/>
      <c r="Y473" s="103"/>
      <c r="Z473" s="103"/>
      <c r="AA473" s="103"/>
      <c r="AB473" s="103"/>
      <c r="AC473" s="103"/>
      <c r="AD473" s="103"/>
      <c r="AE473" s="101"/>
      <c r="AF473" s="101"/>
      <c r="AG473" s="101"/>
      <c r="AH473" s="101"/>
      <c r="AI473" s="101"/>
      <c r="AJ473" s="101"/>
      <c r="AK473" s="101"/>
      <c r="AL473" s="103"/>
      <c r="AM473" s="103"/>
      <c r="AN473" s="103"/>
      <c r="AO473" s="103"/>
      <c r="AP473" s="103"/>
      <c r="AQ473" s="103"/>
      <c r="AR473" s="103"/>
      <c r="AS473" s="101"/>
      <c r="AT473" s="101"/>
      <c r="AU473" s="101"/>
      <c r="AV473" s="101"/>
      <c r="AW473" s="101"/>
      <c r="AX473" s="101"/>
      <c r="AY473" s="101"/>
      <c r="AZ473" s="103"/>
      <c r="BA473" s="103"/>
      <c r="BB473" s="103"/>
      <c r="BC473" s="101"/>
      <c r="BD473" s="101"/>
      <c r="BE473" s="101"/>
      <c r="BF473" s="101"/>
      <c r="BG473" s="101"/>
      <c r="BK473" s="101"/>
      <c r="BL473" s="101"/>
      <c r="BM473" s="101"/>
      <c r="BN473" s="101"/>
      <c r="BO473" s="101"/>
      <c r="BP473" s="101"/>
      <c r="BQ473" s="101"/>
      <c r="BR473" s="104"/>
      <c r="BS473" s="104"/>
      <c r="BT473" s="104"/>
      <c r="BU473" s="104"/>
      <c r="BV473" s="104"/>
      <c r="BW473" s="104"/>
      <c r="BX473" s="104"/>
      <c r="BY473" s="104"/>
      <c r="BZ473" s="104"/>
      <c r="CA473" s="104"/>
      <c r="CB473" s="104"/>
      <c r="CC473" s="104"/>
      <c r="CD473" s="104"/>
      <c r="CE473" s="104"/>
      <c r="CF473" s="104"/>
      <c r="CG473" s="104"/>
      <c r="CH473" s="104"/>
      <c r="CI473" s="104"/>
      <c r="CJ473" s="104"/>
      <c r="CK473" s="104"/>
      <c r="CL473" s="104"/>
      <c r="CM473" s="104"/>
      <c r="CN473" s="98"/>
      <c r="CP473" s="101"/>
      <c r="CQ473" s="101"/>
      <c r="CR473" s="101"/>
      <c r="CS473" s="101"/>
      <c r="CT473" s="101"/>
      <c r="FJ473" s="103"/>
      <c r="FL473" s="103"/>
      <c r="FN473" s="103"/>
      <c r="FP473" s="103"/>
    </row>
    <row r="474" spans="2:172" x14ac:dyDescent="0.35">
      <c r="B474" s="97"/>
      <c r="G474" s="100"/>
      <c r="K474" s="98"/>
      <c r="L474" s="101"/>
      <c r="M474" s="101"/>
      <c r="N474" s="101"/>
      <c r="O474" s="101"/>
      <c r="P474" s="102"/>
      <c r="Q474" s="101"/>
      <c r="R474" s="98"/>
      <c r="S474" s="98"/>
      <c r="T474" s="98"/>
      <c r="U474" s="98"/>
      <c r="V474" s="98"/>
      <c r="W474" s="98"/>
      <c r="X474" s="103"/>
      <c r="Y474" s="103"/>
      <c r="Z474" s="103"/>
      <c r="AA474" s="103"/>
      <c r="AB474" s="103"/>
      <c r="AC474" s="103"/>
      <c r="AD474" s="103"/>
      <c r="AE474" s="101"/>
      <c r="AF474" s="101"/>
      <c r="AG474" s="101"/>
      <c r="AH474" s="101"/>
      <c r="AI474" s="101"/>
      <c r="AJ474" s="101"/>
      <c r="AK474" s="101"/>
      <c r="AL474" s="103"/>
      <c r="AM474" s="103"/>
      <c r="AN474" s="103"/>
      <c r="AO474" s="103"/>
      <c r="AP474" s="103"/>
      <c r="AQ474" s="103"/>
      <c r="AR474" s="103"/>
      <c r="AS474" s="101"/>
      <c r="AT474" s="101"/>
      <c r="AU474" s="101"/>
      <c r="AV474" s="101"/>
      <c r="AW474" s="101"/>
      <c r="AX474" s="101"/>
      <c r="AY474" s="101"/>
      <c r="AZ474" s="103"/>
      <c r="BA474" s="103"/>
      <c r="BB474" s="103"/>
      <c r="BC474" s="101"/>
      <c r="BD474" s="101"/>
      <c r="BE474" s="101"/>
      <c r="BF474" s="101"/>
      <c r="BG474" s="101"/>
      <c r="BK474" s="101"/>
      <c r="BL474" s="101"/>
      <c r="BM474" s="101"/>
      <c r="BN474" s="101"/>
      <c r="BO474" s="101"/>
      <c r="BP474" s="101"/>
      <c r="BQ474" s="101"/>
      <c r="BR474" s="104"/>
      <c r="BS474" s="104"/>
      <c r="BT474" s="104"/>
      <c r="BU474" s="104"/>
      <c r="BV474" s="104"/>
      <c r="BW474" s="104"/>
      <c r="BX474" s="104"/>
      <c r="BY474" s="104"/>
      <c r="BZ474" s="104"/>
      <c r="CA474" s="104"/>
      <c r="CB474" s="104"/>
      <c r="CC474" s="104"/>
      <c r="CD474" s="104"/>
      <c r="CE474" s="104"/>
      <c r="CF474" s="104"/>
      <c r="CG474" s="104"/>
      <c r="CH474" s="104"/>
      <c r="CI474" s="104"/>
      <c r="CJ474" s="104"/>
      <c r="CK474" s="104"/>
      <c r="CL474" s="104"/>
      <c r="CM474" s="104"/>
      <c r="CN474" s="98"/>
      <c r="CP474" s="101"/>
      <c r="CQ474" s="101"/>
      <c r="CR474" s="101"/>
      <c r="CS474" s="101"/>
      <c r="CT474" s="101"/>
      <c r="FJ474" s="103"/>
      <c r="FL474" s="103"/>
      <c r="FN474" s="103"/>
      <c r="FP474" s="103"/>
    </row>
    <row r="475" spans="2:172" x14ac:dyDescent="0.35">
      <c r="B475" s="97"/>
      <c r="G475" s="100"/>
      <c r="K475" s="98"/>
      <c r="L475" s="101"/>
      <c r="M475" s="101"/>
      <c r="N475" s="101"/>
      <c r="O475" s="101"/>
      <c r="P475" s="102"/>
      <c r="Q475" s="101"/>
      <c r="R475" s="98"/>
      <c r="S475" s="98"/>
      <c r="T475" s="98"/>
      <c r="U475" s="98"/>
      <c r="V475" s="98"/>
      <c r="W475" s="98"/>
      <c r="X475" s="103"/>
      <c r="Y475" s="103"/>
      <c r="Z475" s="103"/>
      <c r="AA475" s="103"/>
      <c r="AB475" s="103"/>
      <c r="AC475" s="103"/>
      <c r="AD475" s="103"/>
      <c r="AE475" s="101"/>
      <c r="AF475" s="101"/>
      <c r="AG475" s="101"/>
      <c r="AH475" s="101"/>
      <c r="AI475" s="101"/>
      <c r="AJ475" s="101"/>
      <c r="AK475" s="101"/>
      <c r="AL475" s="103"/>
      <c r="AM475" s="103"/>
      <c r="AN475" s="103"/>
      <c r="AO475" s="103"/>
      <c r="AP475" s="103"/>
      <c r="AQ475" s="103"/>
      <c r="AR475" s="103"/>
      <c r="AS475" s="101"/>
      <c r="AT475" s="101"/>
      <c r="AU475" s="101"/>
      <c r="AV475" s="101"/>
      <c r="AW475" s="101"/>
      <c r="AX475" s="101"/>
      <c r="AY475" s="101"/>
      <c r="AZ475" s="103"/>
      <c r="BA475" s="103"/>
      <c r="BB475" s="103"/>
      <c r="BC475" s="101"/>
      <c r="BD475" s="101"/>
      <c r="BE475" s="101"/>
      <c r="BF475" s="101"/>
      <c r="BG475" s="101"/>
      <c r="BK475" s="101"/>
      <c r="BL475" s="101"/>
      <c r="BM475" s="101"/>
      <c r="BN475" s="101"/>
      <c r="BO475" s="101"/>
      <c r="BP475" s="101"/>
      <c r="BQ475" s="101"/>
      <c r="BR475" s="104"/>
      <c r="BS475" s="104"/>
      <c r="BT475" s="104"/>
      <c r="BU475" s="104"/>
      <c r="BV475" s="104"/>
      <c r="BW475" s="104"/>
      <c r="BX475" s="104"/>
      <c r="BY475" s="104"/>
      <c r="BZ475" s="104"/>
      <c r="CA475" s="104"/>
      <c r="CB475" s="104"/>
      <c r="CC475" s="104"/>
      <c r="CD475" s="104"/>
      <c r="CE475" s="104"/>
      <c r="CF475" s="104"/>
      <c r="CG475" s="104"/>
      <c r="CH475" s="104"/>
      <c r="CI475" s="104"/>
      <c r="CJ475" s="104"/>
      <c r="CK475" s="104"/>
      <c r="CL475" s="104"/>
      <c r="CM475" s="104"/>
      <c r="CN475" s="98"/>
      <c r="CP475" s="101"/>
      <c r="CQ475" s="101"/>
      <c r="CR475" s="101"/>
      <c r="CS475" s="101"/>
      <c r="CT475" s="101"/>
      <c r="FJ475" s="103"/>
      <c r="FL475" s="103"/>
      <c r="FN475" s="103"/>
      <c r="FP475" s="103"/>
    </row>
    <row r="476" spans="2:172" x14ac:dyDescent="0.35">
      <c r="B476" s="97"/>
      <c r="G476" s="100"/>
      <c r="K476" s="98"/>
      <c r="L476" s="101"/>
      <c r="M476" s="101"/>
      <c r="N476" s="101"/>
      <c r="O476" s="101"/>
      <c r="P476" s="102"/>
      <c r="Q476" s="101"/>
      <c r="R476" s="98"/>
      <c r="S476" s="98"/>
      <c r="T476" s="98"/>
      <c r="U476" s="98"/>
      <c r="V476" s="98"/>
      <c r="W476" s="98"/>
      <c r="X476" s="103"/>
      <c r="Y476" s="103"/>
      <c r="Z476" s="103"/>
      <c r="AA476" s="103"/>
      <c r="AB476" s="103"/>
      <c r="AC476" s="103"/>
      <c r="AD476" s="103"/>
      <c r="AE476" s="101"/>
      <c r="AF476" s="101"/>
      <c r="AG476" s="101"/>
      <c r="AH476" s="101"/>
      <c r="AI476" s="101"/>
      <c r="AJ476" s="101"/>
      <c r="AK476" s="101"/>
      <c r="AL476" s="103"/>
      <c r="AM476" s="103"/>
      <c r="AN476" s="103"/>
      <c r="AO476" s="103"/>
      <c r="AP476" s="103"/>
      <c r="AQ476" s="103"/>
      <c r="AR476" s="103"/>
      <c r="AS476" s="101"/>
      <c r="AT476" s="101"/>
      <c r="AU476" s="101"/>
      <c r="AV476" s="101"/>
      <c r="AW476" s="101"/>
      <c r="AX476" s="101"/>
      <c r="AY476" s="101"/>
      <c r="AZ476" s="103"/>
      <c r="BA476" s="103"/>
      <c r="BB476" s="103"/>
      <c r="BC476" s="101"/>
      <c r="BD476" s="101"/>
      <c r="BE476" s="101"/>
      <c r="BF476" s="101"/>
      <c r="BG476" s="101"/>
      <c r="BK476" s="101"/>
      <c r="BL476" s="101"/>
      <c r="BM476" s="101"/>
      <c r="BN476" s="101"/>
      <c r="BO476" s="101"/>
      <c r="BP476" s="101"/>
      <c r="BQ476" s="101"/>
      <c r="BR476" s="104"/>
      <c r="BS476" s="104"/>
      <c r="BT476" s="104"/>
      <c r="BU476" s="104"/>
      <c r="BV476" s="104"/>
      <c r="BW476" s="104"/>
      <c r="BX476" s="104"/>
      <c r="BY476" s="104"/>
      <c r="BZ476" s="104"/>
      <c r="CA476" s="104"/>
      <c r="CB476" s="104"/>
      <c r="CC476" s="104"/>
      <c r="CD476" s="104"/>
      <c r="CE476" s="104"/>
      <c r="CF476" s="104"/>
      <c r="CG476" s="104"/>
      <c r="CH476" s="104"/>
      <c r="CI476" s="104"/>
      <c r="CJ476" s="104"/>
      <c r="CK476" s="104"/>
      <c r="CL476" s="104"/>
      <c r="CM476" s="104"/>
      <c r="CN476" s="98"/>
      <c r="CP476" s="101"/>
      <c r="CQ476" s="101"/>
      <c r="CR476" s="101"/>
      <c r="CS476" s="101"/>
      <c r="CT476" s="101"/>
      <c r="FJ476" s="103"/>
      <c r="FL476" s="103"/>
      <c r="FN476" s="103"/>
      <c r="FP476" s="103"/>
    </row>
    <row r="477" spans="2:172" x14ac:dyDescent="0.35">
      <c r="B477" s="97"/>
      <c r="G477" s="100"/>
      <c r="K477" s="98"/>
      <c r="L477" s="101"/>
      <c r="M477" s="101"/>
      <c r="N477" s="101"/>
      <c r="O477" s="101"/>
      <c r="P477" s="102"/>
      <c r="Q477" s="101"/>
      <c r="R477" s="98"/>
      <c r="S477" s="98"/>
      <c r="T477" s="98"/>
      <c r="U477" s="98"/>
      <c r="V477" s="98"/>
      <c r="W477" s="98"/>
      <c r="X477" s="103"/>
      <c r="Y477" s="103"/>
      <c r="Z477" s="103"/>
      <c r="AA477" s="103"/>
      <c r="AB477" s="103"/>
      <c r="AC477" s="103"/>
      <c r="AD477" s="103"/>
      <c r="AE477" s="101"/>
      <c r="AF477" s="101"/>
      <c r="AG477" s="101"/>
      <c r="AH477" s="101"/>
      <c r="AI477" s="101"/>
      <c r="AJ477" s="101"/>
      <c r="AK477" s="101"/>
      <c r="AL477" s="103"/>
      <c r="AM477" s="103"/>
      <c r="AN477" s="103"/>
      <c r="AO477" s="103"/>
      <c r="AP477" s="103"/>
      <c r="AQ477" s="103"/>
      <c r="AR477" s="103"/>
      <c r="AS477" s="101"/>
      <c r="AT477" s="101"/>
      <c r="AU477" s="101"/>
      <c r="AV477" s="101"/>
      <c r="AW477" s="101"/>
      <c r="AX477" s="101"/>
      <c r="AY477" s="101"/>
      <c r="AZ477" s="103"/>
      <c r="BA477" s="103"/>
      <c r="BB477" s="103"/>
      <c r="BC477" s="101"/>
      <c r="BD477" s="101"/>
      <c r="BE477" s="101"/>
      <c r="BF477" s="101"/>
      <c r="BG477" s="101"/>
      <c r="BK477" s="101"/>
      <c r="BL477" s="101"/>
      <c r="BM477" s="101"/>
      <c r="BN477" s="101"/>
      <c r="BO477" s="101"/>
      <c r="BP477" s="101"/>
      <c r="BQ477" s="101"/>
      <c r="BR477" s="104"/>
      <c r="BS477" s="104"/>
      <c r="BT477" s="104"/>
      <c r="BU477" s="104"/>
      <c r="BV477" s="104"/>
      <c r="BW477" s="104"/>
      <c r="BX477" s="104"/>
      <c r="BY477" s="104"/>
      <c r="BZ477" s="104"/>
      <c r="CA477" s="104"/>
      <c r="CB477" s="104"/>
      <c r="CC477" s="104"/>
      <c r="CD477" s="104"/>
      <c r="CE477" s="104"/>
      <c r="CF477" s="104"/>
      <c r="CG477" s="104"/>
      <c r="CH477" s="104"/>
      <c r="CI477" s="104"/>
      <c r="CJ477" s="104"/>
      <c r="CK477" s="104"/>
      <c r="CL477" s="104"/>
      <c r="CM477" s="104"/>
      <c r="CN477" s="98"/>
      <c r="CP477" s="101"/>
      <c r="CQ477" s="101"/>
      <c r="CR477" s="101"/>
      <c r="CS477" s="101"/>
      <c r="CT477" s="101"/>
      <c r="FJ477" s="103"/>
      <c r="FL477" s="103"/>
      <c r="FN477" s="103"/>
      <c r="FP477" s="103"/>
    </row>
    <row r="478" spans="2:172" x14ac:dyDescent="0.35">
      <c r="B478" s="97"/>
      <c r="G478" s="100"/>
      <c r="K478" s="98"/>
      <c r="L478" s="101"/>
      <c r="M478" s="101"/>
      <c r="N478" s="101"/>
      <c r="O478" s="101"/>
      <c r="P478" s="102"/>
      <c r="Q478" s="101"/>
      <c r="R478" s="98"/>
      <c r="S478" s="98"/>
      <c r="T478" s="98"/>
      <c r="U478" s="98"/>
      <c r="V478" s="98"/>
      <c r="W478" s="98"/>
      <c r="X478" s="103"/>
      <c r="Y478" s="103"/>
      <c r="Z478" s="103"/>
      <c r="AA478" s="103"/>
      <c r="AB478" s="103"/>
      <c r="AC478" s="103"/>
      <c r="AD478" s="103"/>
      <c r="AE478" s="101"/>
      <c r="AF478" s="101"/>
      <c r="AG478" s="101"/>
      <c r="AH478" s="101"/>
      <c r="AI478" s="101"/>
      <c r="AJ478" s="101"/>
      <c r="AK478" s="101"/>
      <c r="AL478" s="103"/>
      <c r="AM478" s="103"/>
      <c r="AN478" s="103"/>
      <c r="AO478" s="103"/>
      <c r="AP478" s="103"/>
      <c r="AQ478" s="103"/>
      <c r="AR478" s="103"/>
      <c r="AS478" s="101"/>
      <c r="AT478" s="101"/>
      <c r="AU478" s="101"/>
      <c r="AV478" s="101"/>
      <c r="AW478" s="101"/>
      <c r="AX478" s="101"/>
      <c r="AY478" s="101"/>
      <c r="AZ478" s="103"/>
      <c r="BA478" s="103"/>
      <c r="BB478" s="103"/>
      <c r="BC478" s="101"/>
      <c r="BD478" s="101"/>
      <c r="BE478" s="101"/>
      <c r="BF478" s="101"/>
      <c r="BG478" s="101"/>
      <c r="BK478" s="101"/>
      <c r="BL478" s="101"/>
      <c r="BM478" s="101"/>
      <c r="BN478" s="101"/>
      <c r="BO478" s="101"/>
      <c r="BP478" s="101"/>
      <c r="BQ478" s="101"/>
      <c r="BR478" s="104"/>
      <c r="BS478" s="104"/>
      <c r="BT478" s="104"/>
      <c r="BU478" s="104"/>
      <c r="BV478" s="104"/>
      <c r="BW478" s="104"/>
      <c r="BX478" s="104"/>
      <c r="BY478" s="104"/>
      <c r="BZ478" s="104"/>
      <c r="CA478" s="104"/>
      <c r="CB478" s="104"/>
      <c r="CC478" s="104"/>
      <c r="CD478" s="104"/>
      <c r="CE478" s="104"/>
      <c r="CF478" s="104"/>
      <c r="CG478" s="104"/>
      <c r="CH478" s="104"/>
      <c r="CI478" s="104"/>
      <c r="CJ478" s="104"/>
      <c r="CK478" s="104"/>
      <c r="CL478" s="104"/>
      <c r="CM478" s="104"/>
      <c r="CN478" s="98"/>
      <c r="CP478" s="101"/>
      <c r="CQ478" s="101"/>
      <c r="CR478" s="101"/>
      <c r="CS478" s="101"/>
      <c r="CT478" s="101"/>
      <c r="FJ478" s="103"/>
      <c r="FL478" s="103"/>
      <c r="FN478" s="103"/>
      <c r="FP478" s="103"/>
    </row>
    <row r="479" spans="2:172" x14ac:dyDescent="0.35">
      <c r="B479" s="97"/>
      <c r="G479" s="100"/>
      <c r="K479" s="98"/>
      <c r="L479" s="101"/>
      <c r="M479" s="101"/>
      <c r="N479" s="101"/>
      <c r="O479" s="101"/>
      <c r="P479" s="102"/>
      <c r="Q479" s="101"/>
      <c r="R479" s="98"/>
      <c r="S479" s="98"/>
      <c r="T479" s="98"/>
      <c r="U479" s="98"/>
      <c r="V479" s="98"/>
      <c r="W479" s="98"/>
      <c r="X479" s="103"/>
      <c r="Y479" s="103"/>
      <c r="Z479" s="103"/>
      <c r="AA479" s="103"/>
      <c r="AB479" s="103"/>
      <c r="AC479" s="103"/>
      <c r="AD479" s="103"/>
      <c r="AE479" s="101"/>
      <c r="AF479" s="101"/>
      <c r="AG479" s="101"/>
      <c r="AH479" s="101"/>
      <c r="AI479" s="101"/>
      <c r="AJ479" s="101"/>
      <c r="AK479" s="101"/>
      <c r="AL479" s="103"/>
      <c r="AM479" s="103"/>
      <c r="AN479" s="103"/>
      <c r="AO479" s="103"/>
      <c r="AP479" s="103"/>
      <c r="AQ479" s="103"/>
      <c r="AR479" s="103"/>
      <c r="AS479" s="101"/>
      <c r="AT479" s="101"/>
      <c r="AU479" s="101"/>
      <c r="AV479" s="101"/>
      <c r="AW479" s="101"/>
      <c r="AX479" s="101"/>
      <c r="AY479" s="101"/>
      <c r="AZ479" s="103"/>
      <c r="BA479" s="103"/>
      <c r="BB479" s="103"/>
      <c r="BC479" s="101"/>
      <c r="BD479" s="101"/>
      <c r="BE479" s="101"/>
      <c r="BF479" s="101"/>
      <c r="BG479" s="101"/>
      <c r="BK479" s="101"/>
      <c r="BL479" s="101"/>
      <c r="BM479" s="101"/>
      <c r="BN479" s="101"/>
      <c r="BO479" s="101"/>
      <c r="BP479" s="101"/>
      <c r="BQ479" s="101"/>
      <c r="BR479" s="104"/>
      <c r="BS479" s="104"/>
      <c r="BT479" s="104"/>
      <c r="BU479" s="104"/>
      <c r="BV479" s="104"/>
      <c r="BW479" s="104"/>
      <c r="BX479" s="104"/>
      <c r="BY479" s="104"/>
      <c r="BZ479" s="104"/>
      <c r="CA479" s="104"/>
      <c r="CB479" s="104"/>
      <c r="CC479" s="104"/>
      <c r="CD479" s="104"/>
      <c r="CE479" s="104"/>
      <c r="CF479" s="104"/>
      <c r="CG479" s="104"/>
      <c r="CH479" s="104"/>
      <c r="CI479" s="104"/>
      <c r="CJ479" s="104"/>
      <c r="CK479" s="104"/>
      <c r="CL479" s="104"/>
      <c r="CM479" s="104"/>
      <c r="CN479" s="98"/>
      <c r="CP479" s="101"/>
      <c r="CQ479" s="101"/>
      <c r="CR479" s="101"/>
      <c r="CS479" s="101"/>
      <c r="CT479" s="101"/>
      <c r="FJ479" s="103"/>
      <c r="FL479" s="103"/>
      <c r="FN479" s="103"/>
      <c r="FP479" s="103"/>
    </row>
    <row r="480" spans="2:172" x14ac:dyDescent="0.35">
      <c r="B480" s="97"/>
      <c r="G480" s="100"/>
      <c r="K480" s="98"/>
      <c r="L480" s="101"/>
      <c r="M480" s="101"/>
      <c r="N480" s="101"/>
      <c r="O480" s="101"/>
      <c r="P480" s="102"/>
      <c r="Q480" s="101"/>
      <c r="R480" s="98"/>
      <c r="S480" s="98"/>
      <c r="T480" s="98"/>
      <c r="U480" s="98"/>
      <c r="V480" s="98"/>
      <c r="W480" s="98"/>
      <c r="X480" s="103"/>
      <c r="Y480" s="103"/>
      <c r="Z480" s="103"/>
      <c r="AA480" s="103"/>
      <c r="AB480" s="103"/>
      <c r="AC480" s="103"/>
      <c r="AD480" s="103"/>
      <c r="AE480" s="101"/>
      <c r="AF480" s="101"/>
      <c r="AG480" s="101"/>
      <c r="AH480" s="101"/>
      <c r="AI480" s="101"/>
      <c r="AJ480" s="101"/>
      <c r="AK480" s="101"/>
      <c r="AL480" s="103"/>
      <c r="AM480" s="103"/>
      <c r="AN480" s="103"/>
      <c r="AO480" s="103"/>
      <c r="AP480" s="103"/>
      <c r="AQ480" s="103"/>
      <c r="AR480" s="103"/>
      <c r="AS480" s="101"/>
      <c r="AT480" s="101"/>
      <c r="AU480" s="101"/>
      <c r="AV480" s="101"/>
      <c r="AW480" s="101"/>
      <c r="AX480" s="101"/>
      <c r="AY480" s="101"/>
      <c r="AZ480" s="103"/>
      <c r="BA480" s="103"/>
      <c r="BB480" s="103"/>
      <c r="BC480" s="101"/>
      <c r="BD480" s="101"/>
      <c r="BE480" s="101"/>
      <c r="BF480" s="101"/>
      <c r="BG480" s="101"/>
      <c r="BK480" s="101"/>
      <c r="BL480" s="101"/>
      <c r="BM480" s="101"/>
      <c r="BN480" s="101"/>
      <c r="BO480" s="101"/>
      <c r="BP480" s="101"/>
      <c r="BQ480" s="101"/>
      <c r="BR480" s="104"/>
      <c r="BS480" s="104"/>
      <c r="BT480" s="104"/>
      <c r="BU480" s="104"/>
      <c r="BV480" s="104"/>
      <c r="BW480" s="104"/>
      <c r="BX480" s="104"/>
      <c r="BY480" s="104"/>
      <c r="BZ480" s="104"/>
      <c r="CA480" s="104"/>
      <c r="CB480" s="104"/>
      <c r="CC480" s="104"/>
      <c r="CD480" s="104"/>
      <c r="CE480" s="104"/>
      <c r="CF480" s="104"/>
      <c r="CG480" s="104"/>
      <c r="CH480" s="104"/>
      <c r="CI480" s="104"/>
      <c r="CJ480" s="104"/>
      <c r="CK480" s="104"/>
      <c r="CL480" s="104"/>
      <c r="CM480" s="104"/>
      <c r="CN480" s="98"/>
      <c r="CP480" s="101"/>
      <c r="CQ480" s="101"/>
      <c r="CR480" s="101"/>
      <c r="CS480" s="101"/>
      <c r="CT480" s="101"/>
      <c r="FJ480" s="103"/>
      <c r="FL480" s="103"/>
      <c r="FN480" s="103"/>
      <c r="FP480" s="103"/>
    </row>
    <row r="481" spans="2:172" x14ac:dyDescent="0.35">
      <c r="B481" s="97"/>
      <c r="G481" s="100"/>
      <c r="K481" s="98"/>
      <c r="L481" s="101"/>
      <c r="M481" s="101"/>
      <c r="N481" s="101"/>
      <c r="O481" s="101"/>
      <c r="P481" s="102"/>
      <c r="Q481" s="101"/>
      <c r="R481" s="98"/>
      <c r="S481" s="98"/>
      <c r="T481" s="98"/>
      <c r="U481" s="98"/>
      <c r="V481" s="98"/>
      <c r="W481" s="98"/>
      <c r="X481" s="103"/>
      <c r="Y481" s="103"/>
      <c r="Z481" s="103"/>
      <c r="AA481" s="103"/>
      <c r="AB481" s="103"/>
      <c r="AC481" s="103"/>
      <c r="AD481" s="103"/>
      <c r="AE481" s="101"/>
      <c r="AF481" s="101"/>
      <c r="AG481" s="101"/>
      <c r="AH481" s="101"/>
      <c r="AI481" s="101"/>
      <c r="AJ481" s="101"/>
      <c r="AK481" s="101"/>
      <c r="AL481" s="103"/>
      <c r="AM481" s="103"/>
      <c r="AN481" s="103"/>
      <c r="AO481" s="103"/>
      <c r="AP481" s="103"/>
      <c r="AQ481" s="103"/>
      <c r="AR481" s="103"/>
      <c r="AS481" s="101"/>
      <c r="AT481" s="101"/>
      <c r="AU481" s="101"/>
      <c r="AV481" s="101"/>
      <c r="AW481" s="101"/>
      <c r="AX481" s="101"/>
      <c r="AY481" s="101"/>
      <c r="AZ481" s="103"/>
      <c r="BA481" s="103"/>
      <c r="BB481" s="103"/>
      <c r="BC481" s="101"/>
      <c r="BD481" s="101"/>
      <c r="BE481" s="101"/>
      <c r="BF481" s="101"/>
      <c r="BG481" s="101"/>
      <c r="BK481" s="101"/>
      <c r="BL481" s="101"/>
      <c r="BM481" s="101"/>
      <c r="BN481" s="101"/>
      <c r="BO481" s="101"/>
      <c r="BP481" s="101"/>
      <c r="BQ481" s="101"/>
      <c r="BR481" s="104"/>
      <c r="BS481" s="104"/>
      <c r="BT481" s="104"/>
      <c r="BU481" s="104"/>
      <c r="BV481" s="104"/>
      <c r="BW481" s="104"/>
      <c r="BX481" s="104"/>
      <c r="BY481" s="104"/>
      <c r="BZ481" s="104"/>
      <c r="CA481" s="104"/>
      <c r="CB481" s="104"/>
      <c r="CC481" s="104"/>
      <c r="CD481" s="104"/>
      <c r="CE481" s="104"/>
      <c r="CF481" s="104"/>
      <c r="CG481" s="104"/>
      <c r="CH481" s="104"/>
      <c r="CI481" s="104"/>
      <c r="CJ481" s="104"/>
      <c r="CK481" s="104"/>
      <c r="CL481" s="104"/>
      <c r="CM481" s="104"/>
      <c r="CN481" s="98"/>
      <c r="CP481" s="101"/>
      <c r="CQ481" s="101"/>
      <c r="CR481" s="101"/>
      <c r="CS481" s="101"/>
      <c r="CT481" s="101"/>
      <c r="FJ481" s="103"/>
      <c r="FL481" s="103"/>
      <c r="FN481" s="103"/>
      <c r="FP481" s="103"/>
    </row>
    <row r="482" spans="2:172" x14ac:dyDescent="0.35">
      <c r="B482" s="97"/>
      <c r="G482" s="100"/>
      <c r="K482" s="98"/>
      <c r="L482" s="101"/>
      <c r="M482" s="101"/>
      <c r="N482" s="101"/>
      <c r="O482" s="101"/>
      <c r="P482" s="102"/>
      <c r="Q482" s="101"/>
      <c r="R482" s="98"/>
      <c r="S482" s="98"/>
      <c r="T482" s="98"/>
      <c r="U482" s="98"/>
      <c r="V482" s="98"/>
      <c r="W482" s="98"/>
      <c r="X482" s="103"/>
      <c r="Y482" s="103"/>
      <c r="Z482" s="103"/>
      <c r="AA482" s="103"/>
      <c r="AB482" s="103"/>
      <c r="AC482" s="103"/>
      <c r="AD482" s="103"/>
      <c r="AE482" s="101"/>
      <c r="AF482" s="101"/>
      <c r="AG482" s="101"/>
      <c r="AH482" s="101"/>
      <c r="AI482" s="101"/>
      <c r="AJ482" s="101"/>
      <c r="AK482" s="101"/>
      <c r="AL482" s="103"/>
      <c r="AM482" s="103"/>
      <c r="AN482" s="103"/>
      <c r="AO482" s="103"/>
      <c r="AP482" s="103"/>
      <c r="AQ482" s="103"/>
      <c r="AR482" s="103"/>
      <c r="AS482" s="101"/>
      <c r="AT482" s="101"/>
      <c r="AU482" s="101"/>
      <c r="AV482" s="101"/>
      <c r="AW482" s="101"/>
      <c r="AX482" s="101"/>
      <c r="AY482" s="101"/>
      <c r="AZ482" s="103"/>
      <c r="BA482" s="103"/>
      <c r="BB482" s="103"/>
      <c r="BC482" s="101"/>
      <c r="BD482" s="101"/>
      <c r="BE482" s="101"/>
      <c r="BF482" s="101"/>
      <c r="BG482" s="101"/>
      <c r="BK482" s="101"/>
      <c r="BL482" s="101"/>
      <c r="BM482" s="101"/>
      <c r="BN482" s="101"/>
      <c r="BO482" s="101"/>
      <c r="BP482" s="101"/>
      <c r="BQ482" s="101"/>
      <c r="BR482" s="104"/>
      <c r="BS482" s="104"/>
      <c r="BT482" s="104"/>
      <c r="BU482" s="104"/>
      <c r="BV482" s="104"/>
      <c r="BW482" s="104"/>
      <c r="BX482" s="104"/>
      <c r="BY482" s="104"/>
      <c r="BZ482" s="104"/>
      <c r="CA482" s="104"/>
      <c r="CB482" s="104"/>
      <c r="CC482" s="104"/>
      <c r="CD482" s="104"/>
      <c r="CE482" s="104"/>
      <c r="CF482" s="104"/>
      <c r="CG482" s="104"/>
      <c r="CH482" s="104"/>
      <c r="CI482" s="104"/>
      <c r="CJ482" s="104"/>
      <c r="CK482" s="104"/>
      <c r="CL482" s="104"/>
      <c r="CM482" s="104"/>
      <c r="CN482" s="98"/>
      <c r="CP482" s="101"/>
      <c r="CQ482" s="101"/>
      <c r="CR482" s="101"/>
      <c r="CS482" s="101"/>
      <c r="CT482" s="101"/>
      <c r="FJ482" s="103"/>
      <c r="FL482" s="103"/>
      <c r="FN482" s="103"/>
      <c r="FP482" s="103"/>
    </row>
    <row r="483" spans="2:172" x14ac:dyDescent="0.35">
      <c r="B483" s="97"/>
      <c r="G483" s="100"/>
      <c r="K483" s="98"/>
      <c r="L483" s="101"/>
      <c r="M483" s="101"/>
      <c r="N483" s="101"/>
      <c r="O483" s="101"/>
      <c r="P483" s="102"/>
      <c r="Q483" s="101"/>
      <c r="R483" s="98"/>
      <c r="S483" s="98"/>
      <c r="T483" s="98"/>
      <c r="U483" s="98"/>
      <c r="V483" s="98"/>
      <c r="W483" s="98"/>
      <c r="X483" s="103"/>
      <c r="Y483" s="103"/>
      <c r="Z483" s="103"/>
      <c r="AA483" s="103"/>
      <c r="AB483" s="103"/>
      <c r="AC483" s="103"/>
      <c r="AD483" s="103"/>
      <c r="AE483" s="101"/>
      <c r="AF483" s="101"/>
      <c r="AG483" s="101"/>
      <c r="AH483" s="101"/>
      <c r="AI483" s="101"/>
      <c r="AJ483" s="101"/>
      <c r="AK483" s="101"/>
      <c r="AL483" s="103"/>
      <c r="AM483" s="103"/>
      <c r="AN483" s="103"/>
      <c r="AO483" s="103"/>
      <c r="AP483" s="103"/>
      <c r="AQ483" s="103"/>
      <c r="AR483" s="103"/>
      <c r="AS483" s="101"/>
      <c r="AT483" s="101"/>
      <c r="AU483" s="101"/>
      <c r="AV483" s="101"/>
      <c r="AW483" s="101"/>
      <c r="AX483" s="101"/>
      <c r="AY483" s="101"/>
      <c r="AZ483" s="103"/>
      <c r="BA483" s="103"/>
      <c r="BB483" s="103"/>
      <c r="BC483" s="101"/>
      <c r="BD483" s="101"/>
      <c r="BE483" s="101"/>
      <c r="BF483" s="101"/>
      <c r="BG483" s="101"/>
      <c r="BK483" s="101"/>
      <c r="BL483" s="101"/>
      <c r="BM483" s="101"/>
      <c r="BN483" s="101"/>
      <c r="BO483" s="101"/>
      <c r="BP483" s="101"/>
      <c r="BQ483" s="101"/>
      <c r="BR483" s="104"/>
      <c r="BS483" s="104"/>
      <c r="BT483" s="104"/>
      <c r="BU483" s="104"/>
      <c r="BV483" s="104"/>
      <c r="BW483" s="104"/>
      <c r="BX483" s="104"/>
      <c r="BY483" s="104"/>
      <c r="BZ483" s="104"/>
      <c r="CA483" s="104"/>
      <c r="CB483" s="104"/>
      <c r="CC483" s="104"/>
      <c r="CD483" s="104"/>
      <c r="CE483" s="104"/>
      <c r="CF483" s="104"/>
      <c r="CG483" s="104"/>
      <c r="CH483" s="104"/>
      <c r="CI483" s="104"/>
      <c r="CJ483" s="104"/>
      <c r="CK483" s="104"/>
      <c r="CL483" s="104"/>
      <c r="CM483" s="104"/>
      <c r="CN483" s="98"/>
      <c r="CP483" s="101"/>
      <c r="CQ483" s="101"/>
      <c r="CR483" s="101"/>
      <c r="CS483" s="101"/>
      <c r="CT483" s="101"/>
      <c r="FJ483" s="103"/>
      <c r="FL483" s="103"/>
      <c r="FN483" s="103"/>
      <c r="FP483" s="103"/>
    </row>
    <row r="484" spans="2:172" x14ac:dyDescent="0.35">
      <c r="B484" s="97"/>
      <c r="G484" s="100"/>
      <c r="K484" s="98"/>
      <c r="L484" s="101"/>
      <c r="M484" s="101"/>
      <c r="N484" s="101"/>
      <c r="O484" s="101"/>
      <c r="P484" s="102"/>
      <c r="Q484" s="101"/>
      <c r="R484" s="98"/>
      <c r="S484" s="98"/>
      <c r="T484" s="98"/>
      <c r="U484" s="98"/>
      <c r="V484" s="98"/>
      <c r="W484" s="98"/>
      <c r="X484" s="103"/>
      <c r="Y484" s="103"/>
      <c r="Z484" s="103"/>
      <c r="AA484" s="103"/>
      <c r="AB484" s="103"/>
      <c r="AC484" s="103"/>
      <c r="AD484" s="103"/>
      <c r="AE484" s="101"/>
      <c r="AF484" s="101"/>
      <c r="AG484" s="101"/>
      <c r="AH484" s="101"/>
      <c r="AI484" s="101"/>
      <c r="AJ484" s="101"/>
      <c r="AK484" s="101"/>
      <c r="AL484" s="103"/>
      <c r="AM484" s="103"/>
      <c r="AN484" s="103"/>
      <c r="AO484" s="103"/>
      <c r="AP484" s="103"/>
      <c r="AQ484" s="103"/>
      <c r="AR484" s="103"/>
      <c r="AS484" s="101"/>
      <c r="AT484" s="101"/>
      <c r="AU484" s="101"/>
      <c r="AV484" s="101"/>
      <c r="AW484" s="101"/>
      <c r="AX484" s="101"/>
      <c r="AY484" s="101"/>
      <c r="AZ484" s="103"/>
      <c r="BA484" s="103"/>
      <c r="BB484" s="103"/>
      <c r="BC484" s="101"/>
      <c r="BD484" s="101"/>
      <c r="BE484" s="101"/>
      <c r="BF484" s="101"/>
      <c r="BG484" s="101"/>
      <c r="BK484" s="101"/>
      <c r="BL484" s="101"/>
      <c r="BM484" s="101"/>
      <c r="BN484" s="101"/>
      <c r="BO484" s="101"/>
      <c r="BP484" s="101"/>
      <c r="BQ484" s="101"/>
      <c r="BR484" s="104"/>
      <c r="BS484" s="104"/>
      <c r="BT484" s="104"/>
      <c r="BU484" s="104"/>
      <c r="BV484" s="104"/>
      <c r="BW484" s="104"/>
      <c r="BX484" s="104"/>
      <c r="BY484" s="104"/>
      <c r="BZ484" s="104"/>
      <c r="CA484" s="104"/>
      <c r="CB484" s="104"/>
      <c r="CC484" s="104"/>
      <c r="CD484" s="104"/>
      <c r="CE484" s="104"/>
      <c r="CF484" s="104"/>
      <c r="CG484" s="104"/>
      <c r="CH484" s="104"/>
      <c r="CI484" s="104"/>
      <c r="CJ484" s="104"/>
      <c r="CK484" s="104"/>
      <c r="CL484" s="104"/>
      <c r="CM484" s="104"/>
      <c r="CN484" s="98"/>
      <c r="CP484" s="101"/>
      <c r="CQ484" s="101"/>
      <c r="CR484" s="101"/>
      <c r="CS484" s="101"/>
      <c r="CT484" s="101"/>
      <c r="FJ484" s="103"/>
      <c r="FL484" s="103"/>
      <c r="FN484" s="103"/>
      <c r="FP484" s="103"/>
    </row>
    <row r="485" spans="2:172" x14ac:dyDescent="0.35">
      <c r="B485" s="97"/>
      <c r="G485" s="100"/>
      <c r="K485" s="98"/>
      <c r="L485" s="101"/>
      <c r="M485" s="101"/>
      <c r="N485" s="101"/>
      <c r="O485" s="101"/>
      <c r="P485" s="102"/>
      <c r="Q485" s="101"/>
      <c r="R485" s="98"/>
      <c r="S485" s="98"/>
      <c r="T485" s="98"/>
      <c r="U485" s="98"/>
      <c r="V485" s="98"/>
      <c r="W485" s="98"/>
      <c r="X485" s="103"/>
      <c r="Y485" s="103"/>
      <c r="Z485" s="103"/>
      <c r="AA485" s="103"/>
      <c r="AB485" s="103"/>
      <c r="AC485" s="103"/>
      <c r="AD485" s="103"/>
      <c r="AE485" s="101"/>
      <c r="AF485" s="101"/>
      <c r="AG485" s="101"/>
      <c r="AH485" s="101"/>
      <c r="AI485" s="101"/>
      <c r="AJ485" s="101"/>
      <c r="AK485" s="101"/>
      <c r="AL485" s="103"/>
      <c r="AM485" s="103"/>
      <c r="AN485" s="103"/>
      <c r="AO485" s="103"/>
      <c r="AP485" s="103"/>
      <c r="AQ485" s="103"/>
      <c r="AR485" s="103"/>
      <c r="AS485" s="101"/>
      <c r="AT485" s="101"/>
      <c r="AU485" s="101"/>
      <c r="AV485" s="101"/>
      <c r="AW485" s="101"/>
      <c r="AX485" s="101"/>
      <c r="AY485" s="101"/>
      <c r="AZ485" s="103"/>
      <c r="BA485" s="103"/>
      <c r="BB485" s="103"/>
      <c r="BC485" s="101"/>
      <c r="BD485" s="101"/>
      <c r="BE485" s="101"/>
      <c r="BF485" s="101"/>
      <c r="BG485" s="101"/>
      <c r="BK485" s="101"/>
      <c r="BL485" s="101"/>
      <c r="BM485" s="101"/>
      <c r="BN485" s="101"/>
      <c r="BO485" s="101"/>
      <c r="BP485" s="101"/>
      <c r="BQ485" s="101"/>
      <c r="BR485" s="104"/>
      <c r="BS485" s="104"/>
      <c r="BT485" s="104"/>
      <c r="BU485" s="104"/>
      <c r="BV485" s="104"/>
      <c r="BW485" s="104"/>
      <c r="BX485" s="104"/>
      <c r="BY485" s="104"/>
      <c r="BZ485" s="104"/>
      <c r="CA485" s="104"/>
      <c r="CB485" s="104"/>
      <c r="CC485" s="104"/>
      <c r="CD485" s="104"/>
      <c r="CE485" s="104"/>
      <c r="CF485" s="104"/>
      <c r="CG485" s="104"/>
      <c r="CH485" s="104"/>
      <c r="CI485" s="104"/>
      <c r="CJ485" s="104"/>
      <c r="CK485" s="104"/>
      <c r="CL485" s="104"/>
      <c r="CM485" s="104"/>
      <c r="CN485" s="98"/>
      <c r="CP485" s="101"/>
      <c r="CQ485" s="101"/>
      <c r="CR485" s="101"/>
      <c r="CS485" s="101"/>
      <c r="CT485" s="101"/>
      <c r="FJ485" s="103"/>
      <c r="FL485" s="103"/>
      <c r="FN485" s="103"/>
      <c r="FP485" s="103"/>
    </row>
    <row r="486" spans="2:172" x14ac:dyDescent="0.35">
      <c r="B486" s="97"/>
      <c r="G486" s="100"/>
      <c r="K486" s="98"/>
      <c r="L486" s="101"/>
      <c r="M486" s="101"/>
      <c r="N486" s="101"/>
      <c r="O486" s="101"/>
      <c r="P486" s="102"/>
      <c r="Q486" s="101"/>
      <c r="R486" s="98"/>
      <c r="S486" s="98"/>
      <c r="T486" s="98"/>
      <c r="U486" s="98"/>
      <c r="V486" s="98"/>
      <c r="W486" s="98"/>
      <c r="X486" s="103"/>
      <c r="Y486" s="103"/>
      <c r="Z486" s="103"/>
      <c r="AA486" s="103"/>
      <c r="AB486" s="103"/>
      <c r="AC486" s="103"/>
      <c r="AD486" s="103"/>
      <c r="AE486" s="101"/>
      <c r="AF486" s="101"/>
      <c r="AG486" s="101"/>
      <c r="AH486" s="101"/>
      <c r="AI486" s="101"/>
      <c r="AJ486" s="101"/>
      <c r="AK486" s="101"/>
      <c r="AL486" s="103"/>
      <c r="AM486" s="103"/>
      <c r="AN486" s="103"/>
      <c r="AO486" s="103"/>
      <c r="AP486" s="103"/>
      <c r="AQ486" s="103"/>
      <c r="AR486" s="103"/>
      <c r="AS486" s="101"/>
      <c r="AT486" s="101"/>
      <c r="AU486" s="101"/>
      <c r="AV486" s="101"/>
      <c r="AW486" s="101"/>
      <c r="AX486" s="101"/>
      <c r="AY486" s="101"/>
      <c r="AZ486" s="103"/>
      <c r="BA486" s="103"/>
      <c r="BB486" s="103"/>
      <c r="BC486" s="101"/>
      <c r="BD486" s="101"/>
      <c r="BE486" s="101"/>
      <c r="BF486" s="101"/>
      <c r="BG486" s="101"/>
      <c r="BK486" s="101"/>
      <c r="BL486" s="101"/>
      <c r="BM486" s="101"/>
      <c r="BN486" s="101"/>
      <c r="BO486" s="101"/>
      <c r="BP486" s="101"/>
      <c r="BQ486" s="101"/>
      <c r="BR486" s="104"/>
      <c r="BS486" s="104"/>
      <c r="BT486" s="104"/>
      <c r="BU486" s="104"/>
      <c r="BV486" s="104"/>
      <c r="BW486" s="104"/>
      <c r="BX486" s="104"/>
      <c r="BY486" s="104"/>
      <c r="BZ486" s="104"/>
      <c r="CA486" s="104"/>
      <c r="CB486" s="104"/>
      <c r="CC486" s="104"/>
      <c r="CD486" s="104"/>
      <c r="CE486" s="104"/>
      <c r="CF486" s="104"/>
      <c r="CG486" s="104"/>
      <c r="CH486" s="104"/>
      <c r="CI486" s="104"/>
      <c r="CJ486" s="104"/>
      <c r="CK486" s="104"/>
      <c r="CL486" s="104"/>
      <c r="CM486" s="104"/>
      <c r="CN486" s="98"/>
      <c r="CP486" s="101"/>
      <c r="CQ486" s="101"/>
      <c r="CR486" s="101"/>
      <c r="CS486" s="101"/>
      <c r="CT486" s="101"/>
      <c r="FJ486" s="103"/>
      <c r="FL486" s="103"/>
      <c r="FN486" s="103"/>
      <c r="FP486" s="103"/>
    </row>
    <row r="487" spans="2:172" x14ac:dyDescent="0.35">
      <c r="B487" s="97"/>
      <c r="G487" s="100"/>
      <c r="K487" s="98"/>
      <c r="L487" s="101"/>
      <c r="M487" s="101"/>
      <c r="N487" s="101"/>
      <c r="O487" s="101"/>
      <c r="P487" s="102"/>
      <c r="Q487" s="101"/>
      <c r="R487" s="98"/>
      <c r="S487" s="98"/>
      <c r="T487" s="98"/>
      <c r="U487" s="98"/>
      <c r="V487" s="98"/>
      <c r="W487" s="98"/>
      <c r="X487" s="103"/>
      <c r="Y487" s="103"/>
      <c r="Z487" s="103"/>
      <c r="AA487" s="103"/>
      <c r="AB487" s="103"/>
      <c r="AC487" s="103"/>
      <c r="AD487" s="103"/>
      <c r="AE487" s="101"/>
      <c r="AF487" s="101"/>
      <c r="AG487" s="101"/>
      <c r="AH487" s="101"/>
      <c r="AI487" s="101"/>
      <c r="AJ487" s="101"/>
      <c r="AK487" s="101"/>
      <c r="AL487" s="103"/>
      <c r="AM487" s="103"/>
      <c r="AN487" s="103"/>
      <c r="AO487" s="103"/>
      <c r="AP487" s="103"/>
      <c r="AQ487" s="103"/>
      <c r="AR487" s="103"/>
      <c r="AS487" s="101"/>
      <c r="AT487" s="101"/>
      <c r="AU487" s="101"/>
      <c r="AV487" s="101"/>
      <c r="AW487" s="101"/>
      <c r="AX487" s="101"/>
      <c r="AY487" s="101"/>
      <c r="AZ487" s="103"/>
      <c r="BA487" s="103"/>
      <c r="BB487" s="103"/>
      <c r="BC487" s="101"/>
      <c r="BD487" s="101"/>
      <c r="BE487" s="101"/>
      <c r="BF487" s="101"/>
      <c r="BG487" s="101"/>
      <c r="BK487" s="101"/>
      <c r="BL487" s="101"/>
      <c r="BM487" s="101"/>
      <c r="BN487" s="101"/>
      <c r="BO487" s="101"/>
      <c r="BP487" s="101"/>
      <c r="BQ487" s="101"/>
      <c r="BR487" s="104"/>
      <c r="BS487" s="104"/>
      <c r="BT487" s="104"/>
      <c r="BU487" s="104"/>
      <c r="BV487" s="104"/>
      <c r="BW487" s="104"/>
      <c r="BX487" s="104"/>
      <c r="BY487" s="104"/>
      <c r="BZ487" s="104"/>
      <c r="CA487" s="104"/>
      <c r="CB487" s="104"/>
      <c r="CC487" s="104"/>
      <c r="CD487" s="104"/>
      <c r="CE487" s="104"/>
      <c r="CF487" s="104"/>
      <c r="CG487" s="104"/>
      <c r="CH487" s="104"/>
      <c r="CI487" s="104"/>
      <c r="CJ487" s="104"/>
      <c r="CK487" s="104"/>
      <c r="CL487" s="104"/>
      <c r="CM487" s="104"/>
      <c r="CN487" s="98"/>
      <c r="CP487" s="101"/>
      <c r="CQ487" s="101"/>
      <c r="CR487" s="101"/>
      <c r="CS487" s="101"/>
      <c r="CT487" s="101"/>
      <c r="FJ487" s="103"/>
      <c r="FL487" s="103"/>
      <c r="FN487" s="103"/>
      <c r="FP487" s="103"/>
    </row>
    <row r="488" spans="2:172" x14ac:dyDescent="0.35">
      <c r="B488" s="97"/>
      <c r="G488" s="100"/>
      <c r="K488" s="98"/>
      <c r="L488" s="101"/>
      <c r="M488" s="101"/>
      <c r="N488" s="101"/>
      <c r="O488" s="101"/>
      <c r="P488" s="102"/>
      <c r="Q488" s="101"/>
      <c r="R488" s="98"/>
      <c r="S488" s="98"/>
      <c r="T488" s="98"/>
      <c r="U488" s="98"/>
      <c r="V488" s="98"/>
      <c r="W488" s="98"/>
      <c r="X488" s="103"/>
      <c r="Y488" s="103"/>
      <c r="Z488" s="103"/>
      <c r="AA488" s="103"/>
      <c r="AB488" s="103"/>
      <c r="AC488" s="103"/>
      <c r="AD488" s="103"/>
      <c r="AE488" s="101"/>
      <c r="AF488" s="101"/>
      <c r="AG488" s="101"/>
      <c r="AH488" s="101"/>
      <c r="AI488" s="101"/>
      <c r="AJ488" s="101"/>
      <c r="AK488" s="101"/>
      <c r="AL488" s="103"/>
      <c r="AM488" s="103"/>
      <c r="AN488" s="103"/>
      <c r="AO488" s="103"/>
      <c r="AP488" s="103"/>
      <c r="AQ488" s="103"/>
      <c r="AR488" s="103"/>
      <c r="AS488" s="101"/>
      <c r="AT488" s="101"/>
      <c r="AU488" s="101"/>
      <c r="AV488" s="101"/>
      <c r="AW488" s="101"/>
      <c r="AX488" s="101"/>
      <c r="AY488" s="101"/>
      <c r="AZ488" s="103"/>
      <c r="BA488" s="103"/>
      <c r="BB488" s="103"/>
      <c r="BC488" s="101"/>
      <c r="BD488" s="101"/>
      <c r="BE488" s="101"/>
      <c r="BF488" s="101"/>
      <c r="BG488" s="101"/>
      <c r="BK488" s="101"/>
      <c r="BL488" s="101"/>
      <c r="BM488" s="101"/>
      <c r="BN488" s="101"/>
      <c r="BO488" s="101"/>
      <c r="BP488" s="101"/>
      <c r="BQ488" s="101"/>
      <c r="BR488" s="104"/>
      <c r="BS488" s="104"/>
      <c r="BT488" s="104"/>
      <c r="BU488" s="104"/>
      <c r="BV488" s="104"/>
      <c r="BW488" s="104"/>
      <c r="BX488" s="104"/>
      <c r="BY488" s="104"/>
      <c r="BZ488" s="104"/>
      <c r="CA488" s="104"/>
      <c r="CB488" s="104"/>
      <c r="CC488" s="104"/>
      <c r="CD488" s="104"/>
      <c r="CE488" s="104"/>
      <c r="CF488" s="104"/>
      <c r="CG488" s="104"/>
      <c r="CH488" s="104"/>
      <c r="CI488" s="104"/>
      <c r="CJ488" s="104"/>
      <c r="CK488" s="104"/>
      <c r="CL488" s="104"/>
      <c r="CM488" s="104"/>
      <c r="CN488" s="98"/>
      <c r="CP488" s="101"/>
      <c r="CQ488" s="101"/>
      <c r="CR488" s="101"/>
      <c r="CS488" s="101"/>
      <c r="CT488" s="101"/>
      <c r="FJ488" s="103"/>
      <c r="FL488" s="103"/>
      <c r="FN488" s="103"/>
      <c r="FP488" s="103"/>
    </row>
    <row r="489" spans="2:172" x14ac:dyDescent="0.35">
      <c r="B489" s="97"/>
      <c r="G489" s="100"/>
      <c r="K489" s="98"/>
      <c r="L489" s="101"/>
      <c r="M489" s="101"/>
      <c r="N489" s="101"/>
      <c r="O489" s="101"/>
      <c r="P489" s="102"/>
      <c r="Q489" s="101"/>
      <c r="R489" s="98"/>
      <c r="S489" s="98"/>
      <c r="T489" s="98"/>
      <c r="U489" s="98"/>
      <c r="V489" s="98"/>
      <c r="W489" s="98"/>
      <c r="X489" s="103"/>
      <c r="Y489" s="103"/>
      <c r="Z489" s="103"/>
      <c r="AA489" s="103"/>
      <c r="AB489" s="103"/>
      <c r="AC489" s="103"/>
      <c r="AD489" s="103"/>
      <c r="AE489" s="101"/>
      <c r="AF489" s="101"/>
      <c r="AG489" s="101"/>
      <c r="AH489" s="101"/>
      <c r="AI489" s="101"/>
      <c r="AJ489" s="101"/>
      <c r="AK489" s="101"/>
      <c r="AL489" s="103"/>
      <c r="AM489" s="103"/>
      <c r="AN489" s="103"/>
      <c r="AO489" s="103"/>
      <c r="AP489" s="103"/>
      <c r="AQ489" s="103"/>
      <c r="AR489" s="103"/>
      <c r="AS489" s="101"/>
      <c r="AT489" s="101"/>
      <c r="AU489" s="101"/>
      <c r="AV489" s="101"/>
      <c r="AW489" s="101"/>
      <c r="AX489" s="101"/>
      <c r="AY489" s="101"/>
      <c r="AZ489" s="103"/>
      <c r="BA489" s="103"/>
      <c r="BB489" s="103"/>
      <c r="BC489" s="101"/>
      <c r="BD489" s="101"/>
      <c r="BE489" s="101"/>
      <c r="BF489" s="101"/>
      <c r="BG489" s="101"/>
      <c r="BK489" s="101"/>
      <c r="BL489" s="101"/>
      <c r="BM489" s="101"/>
      <c r="BN489" s="101"/>
      <c r="BO489" s="101"/>
      <c r="BP489" s="101"/>
      <c r="BQ489" s="101"/>
      <c r="BR489" s="104"/>
      <c r="BS489" s="104"/>
      <c r="BT489" s="104"/>
      <c r="BU489" s="104"/>
      <c r="BV489" s="104"/>
      <c r="BW489" s="104"/>
      <c r="BX489" s="104"/>
      <c r="BY489" s="104"/>
      <c r="BZ489" s="104"/>
      <c r="CA489" s="104"/>
      <c r="CB489" s="104"/>
      <c r="CC489" s="104"/>
      <c r="CD489" s="104"/>
      <c r="CE489" s="104"/>
      <c r="CF489" s="104"/>
      <c r="CG489" s="104"/>
      <c r="CH489" s="104"/>
      <c r="CI489" s="104"/>
      <c r="CJ489" s="104"/>
      <c r="CK489" s="104"/>
      <c r="CL489" s="104"/>
      <c r="CM489" s="104"/>
      <c r="CN489" s="98"/>
      <c r="CP489" s="101"/>
      <c r="CQ489" s="101"/>
      <c r="CR489" s="101"/>
      <c r="CS489" s="101"/>
      <c r="CT489" s="101"/>
      <c r="FJ489" s="103"/>
      <c r="FL489" s="103"/>
      <c r="FN489" s="103"/>
      <c r="FP489" s="103"/>
    </row>
    <row r="490" spans="2:172" x14ac:dyDescent="0.35">
      <c r="B490" s="97"/>
      <c r="G490" s="100"/>
      <c r="K490" s="98"/>
      <c r="L490" s="101"/>
      <c r="M490" s="101"/>
      <c r="N490" s="101"/>
      <c r="O490" s="101"/>
      <c r="P490" s="102"/>
      <c r="Q490" s="101"/>
      <c r="R490" s="98"/>
      <c r="S490" s="98"/>
      <c r="T490" s="98"/>
      <c r="U490" s="98"/>
      <c r="V490" s="98"/>
      <c r="W490" s="98"/>
      <c r="X490" s="103"/>
      <c r="Y490" s="103"/>
      <c r="Z490" s="103"/>
      <c r="AA490" s="103"/>
      <c r="AB490" s="103"/>
      <c r="AC490" s="103"/>
      <c r="AD490" s="103"/>
      <c r="AE490" s="101"/>
      <c r="AF490" s="101"/>
      <c r="AG490" s="101"/>
      <c r="AH490" s="101"/>
      <c r="AI490" s="101"/>
      <c r="AJ490" s="101"/>
      <c r="AK490" s="101"/>
      <c r="AL490" s="103"/>
      <c r="AM490" s="103"/>
      <c r="AN490" s="103"/>
      <c r="AO490" s="103"/>
      <c r="AP490" s="103"/>
      <c r="AQ490" s="103"/>
      <c r="AR490" s="103"/>
      <c r="AS490" s="101"/>
      <c r="AT490" s="101"/>
      <c r="AU490" s="101"/>
      <c r="AV490" s="101"/>
      <c r="AW490" s="101"/>
      <c r="AX490" s="101"/>
      <c r="AY490" s="101"/>
      <c r="AZ490" s="103"/>
      <c r="BA490" s="103"/>
      <c r="BB490" s="103"/>
      <c r="BC490" s="101"/>
      <c r="BD490" s="101"/>
      <c r="BE490" s="101"/>
      <c r="BF490" s="101"/>
      <c r="BG490" s="101"/>
      <c r="BK490" s="101"/>
      <c r="BL490" s="101"/>
      <c r="BM490" s="101"/>
      <c r="BN490" s="101"/>
      <c r="BO490" s="101"/>
      <c r="BP490" s="101"/>
      <c r="BQ490" s="101"/>
      <c r="BR490" s="104"/>
      <c r="BS490" s="104"/>
      <c r="BT490" s="104"/>
      <c r="BU490" s="104"/>
      <c r="BV490" s="104"/>
      <c r="BW490" s="104"/>
      <c r="BX490" s="104"/>
      <c r="BY490" s="104"/>
      <c r="BZ490" s="104"/>
      <c r="CA490" s="104"/>
      <c r="CB490" s="104"/>
      <c r="CC490" s="104"/>
      <c r="CD490" s="104"/>
      <c r="CE490" s="104"/>
      <c r="CF490" s="104"/>
      <c r="CG490" s="104"/>
      <c r="CH490" s="104"/>
      <c r="CI490" s="104"/>
      <c r="CJ490" s="104"/>
      <c r="CK490" s="104"/>
      <c r="CL490" s="104"/>
      <c r="CM490" s="104"/>
      <c r="CN490" s="98"/>
      <c r="CP490" s="101"/>
      <c r="CQ490" s="101"/>
      <c r="CR490" s="101"/>
      <c r="CS490" s="101"/>
      <c r="CT490" s="101"/>
      <c r="FJ490" s="103"/>
      <c r="FL490" s="103"/>
      <c r="FN490" s="103"/>
      <c r="FP490" s="103"/>
    </row>
    <row r="491" spans="2:172" x14ac:dyDescent="0.35">
      <c r="B491" s="97"/>
      <c r="G491" s="100"/>
      <c r="K491" s="98"/>
      <c r="L491" s="101"/>
      <c r="M491" s="101"/>
      <c r="N491" s="101"/>
      <c r="O491" s="101"/>
      <c r="P491" s="102"/>
      <c r="Q491" s="101"/>
      <c r="R491" s="98"/>
      <c r="S491" s="98"/>
      <c r="T491" s="98"/>
      <c r="U491" s="98"/>
      <c r="V491" s="98"/>
      <c r="W491" s="98"/>
      <c r="X491" s="103"/>
      <c r="Y491" s="103"/>
      <c r="Z491" s="103"/>
      <c r="AA491" s="103"/>
      <c r="AB491" s="103"/>
      <c r="AC491" s="103"/>
      <c r="AD491" s="103"/>
      <c r="AE491" s="101"/>
      <c r="AF491" s="101"/>
      <c r="AG491" s="101"/>
      <c r="AH491" s="101"/>
      <c r="AI491" s="101"/>
      <c r="AJ491" s="101"/>
      <c r="AK491" s="101"/>
      <c r="AL491" s="103"/>
      <c r="AM491" s="103"/>
      <c r="AN491" s="103"/>
      <c r="AO491" s="103"/>
      <c r="AP491" s="103"/>
      <c r="AQ491" s="103"/>
      <c r="AR491" s="103"/>
      <c r="AS491" s="101"/>
      <c r="AT491" s="101"/>
      <c r="AU491" s="101"/>
      <c r="AV491" s="101"/>
      <c r="AW491" s="101"/>
      <c r="AX491" s="101"/>
      <c r="AY491" s="101"/>
      <c r="AZ491" s="103"/>
      <c r="BA491" s="103"/>
      <c r="BB491" s="103"/>
      <c r="BC491" s="101"/>
      <c r="BD491" s="101"/>
      <c r="BE491" s="101"/>
      <c r="BF491" s="101"/>
      <c r="BG491" s="101"/>
      <c r="BK491" s="101"/>
      <c r="BL491" s="101"/>
      <c r="BM491" s="101"/>
      <c r="BN491" s="101"/>
      <c r="BO491" s="101"/>
      <c r="BP491" s="101"/>
      <c r="BQ491" s="101"/>
      <c r="BR491" s="104"/>
      <c r="BS491" s="104"/>
      <c r="BT491" s="104"/>
      <c r="BU491" s="104"/>
      <c r="BV491" s="104"/>
      <c r="BW491" s="104"/>
      <c r="BX491" s="104"/>
      <c r="BY491" s="104"/>
      <c r="BZ491" s="104"/>
      <c r="CA491" s="104"/>
      <c r="CB491" s="104"/>
      <c r="CC491" s="104"/>
      <c r="CD491" s="104"/>
      <c r="CE491" s="104"/>
      <c r="CF491" s="104"/>
      <c r="CG491" s="104"/>
      <c r="CH491" s="104"/>
      <c r="CI491" s="104"/>
      <c r="CJ491" s="104"/>
      <c r="CK491" s="104"/>
      <c r="CL491" s="104"/>
      <c r="CM491" s="104"/>
      <c r="CN491" s="98"/>
      <c r="CP491" s="101"/>
      <c r="CQ491" s="101"/>
      <c r="CR491" s="101"/>
      <c r="CS491" s="101"/>
      <c r="CT491" s="101"/>
      <c r="FJ491" s="103"/>
      <c r="FL491" s="103"/>
      <c r="FN491" s="103"/>
      <c r="FP491" s="103"/>
    </row>
    <row r="492" spans="2:172" x14ac:dyDescent="0.35">
      <c r="B492" s="97"/>
      <c r="G492" s="100"/>
      <c r="K492" s="98"/>
      <c r="L492" s="101"/>
      <c r="M492" s="101"/>
      <c r="N492" s="101"/>
      <c r="O492" s="101"/>
      <c r="P492" s="102"/>
      <c r="Q492" s="101"/>
      <c r="R492" s="98"/>
      <c r="S492" s="98"/>
      <c r="T492" s="98"/>
      <c r="U492" s="98"/>
      <c r="V492" s="98"/>
      <c r="W492" s="98"/>
      <c r="X492" s="103"/>
      <c r="Y492" s="103"/>
      <c r="Z492" s="103"/>
      <c r="AA492" s="103"/>
      <c r="AB492" s="103"/>
      <c r="AC492" s="103"/>
      <c r="AD492" s="103"/>
      <c r="AE492" s="101"/>
      <c r="AF492" s="101"/>
      <c r="AG492" s="101"/>
      <c r="AH492" s="101"/>
      <c r="AI492" s="101"/>
      <c r="AJ492" s="101"/>
      <c r="AK492" s="101"/>
      <c r="AL492" s="103"/>
      <c r="AM492" s="103"/>
      <c r="AN492" s="103"/>
      <c r="AO492" s="103"/>
      <c r="AP492" s="103"/>
      <c r="AQ492" s="103"/>
      <c r="AR492" s="103"/>
      <c r="AS492" s="101"/>
      <c r="AT492" s="101"/>
      <c r="AU492" s="101"/>
      <c r="AV492" s="101"/>
      <c r="AW492" s="101"/>
      <c r="AX492" s="101"/>
      <c r="AY492" s="101"/>
      <c r="AZ492" s="103"/>
      <c r="BA492" s="103"/>
      <c r="BB492" s="103"/>
      <c r="BC492" s="101"/>
      <c r="BD492" s="101"/>
      <c r="BE492" s="101"/>
      <c r="BF492" s="101"/>
      <c r="BG492" s="101"/>
      <c r="BK492" s="101"/>
      <c r="BL492" s="101"/>
      <c r="BM492" s="101"/>
      <c r="BN492" s="101"/>
      <c r="BO492" s="101"/>
      <c r="BP492" s="101"/>
      <c r="BQ492" s="101"/>
      <c r="BR492" s="104"/>
      <c r="BS492" s="104"/>
      <c r="BT492" s="104"/>
      <c r="BU492" s="104"/>
      <c r="BV492" s="104"/>
      <c r="BW492" s="104"/>
      <c r="BX492" s="104"/>
      <c r="BY492" s="104"/>
      <c r="BZ492" s="104"/>
      <c r="CA492" s="104"/>
      <c r="CB492" s="104"/>
      <c r="CC492" s="104"/>
      <c r="CD492" s="104"/>
      <c r="CE492" s="104"/>
      <c r="CF492" s="104"/>
      <c r="CG492" s="104"/>
      <c r="CH492" s="104"/>
      <c r="CI492" s="104"/>
      <c r="CJ492" s="104"/>
      <c r="CK492" s="104"/>
      <c r="CL492" s="104"/>
      <c r="CM492" s="104"/>
      <c r="CN492" s="98"/>
      <c r="CP492" s="101"/>
      <c r="CQ492" s="101"/>
      <c r="CR492" s="101"/>
      <c r="CS492" s="101"/>
      <c r="CT492" s="101"/>
      <c r="FJ492" s="103"/>
      <c r="FL492" s="103"/>
      <c r="FN492" s="103"/>
      <c r="FP492" s="103"/>
    </row>
    <row r="493" spans="2:172" x14ac:dyDescent="0.35">
      <c r="B493" s="97"/>
      <c r="G493" s="100"/>
      <c r="K493" s="98"/>
      <c r="L493" s="101"/>
      <c r="M493" s="101"/>
      <c r="N493" s="101"/>
      <c r="O493" s="101"/>
      <c r="P493" s="102"/>
      <c r="Q493" s="101"/>
      <c r="R493" s="98"/>
      <c r="S493" s="98"/>
      <c r="T493" s="98"/>
      <c r="U493" s="98"/>
      <c r="V493" s="98"/>
      <c r="W493" s="98"/>
      <c r="X493" s="103"/>
      <c r="Y493" s="103"/>
      <c r="Z493" s="103"/>
      <c r="AA493" s="103"/>
      <c r="AB493" s="103"/>
      <c r="AC493" s="103"/>
      <c r="AD493" s="103"/>
      <c r="AE493" s="101"/>
      <c r="AF493" s="101"/>
      <c r="AG493" s="101"/>
      <c r="AH493" s="101"/>
      <c r="AI493" s="101"/>
      <c r="AJ493" s="101"/>
      <c r="AK493" s="101"/>
      <c r="AL493" s="103"/>
      <c r="AM493" s="103"/>
      <c r="AN493" s="103"/>
      <c r="AO493" s="103"/>
      <c r="AP493" s="103"/>
      <c r="AQ493" s="103"/>
      <c r="AR493" s="103"/>
      <c r="AS493" s="101"/>
      <c r="AT493" s="101"/>
      <c r="AU493" s="101"/>
      <c r="AV493" s="101"/>
      <c r="AW493" s="101"/>
      <c r="AX493" s="101"/>
      <c r="AY493" s="101"/>
      <c r="AZ493" s="103"/>
      <c r="BA493" s="103"/>
      <c r="BB493" s="103"/>
      <c r="BC493" s="101"/>
      <c r="BD493" s="101"/>
      <c r="BE493" s="101"/>
      <c r="BF493" s="101"/>
      <c r="BG493" s="101"/>
      <c r="BK493" s="101"/>
      <c r="BL493" s="101"/>
      <c r="BM493" s="101"/>
      <c r="BN493" s="101"/>
      <c r="BO493" s="101"/>
      <c r="BP493" s="101"/>
      <c r="BQ493" s="101"/>
      <c r="BR493" s="104"/>
      <c r="BS493" s="104"/>
      <c r="BT493" s="104"/>
      <c r="BU493" s="104"/>
      <c r="BV493" s="104"/>
      <c r="BW493" s="104"/>
      <c r="BX493" s="104"/>
      <c r="BY493" s="104"/>
      <c r="BZ493" s="104"/>
      <c r="CA493" s="104"/>
      <c r="CB493" s="104"/>
      <c r="CC493" s="104"/>
      <c r="CD493" s="104"/>
      <c r="CE493" s="104"/>
      <c r="CF493" s="104"/>
      <c r="CG493" s="104"/>
      <c r="CH493" s="104"/>
      <c r="CI493" s="104"/>
      <c r="CJ493" s="104"/>
      <c r="CK493" s="104"/>
      <c r="CL493" s="104"/>
      <c r="CM493" s="104"/>
      <c r="CN493" s="98"/>
      <c r="CP493" s="101"/>
      <c r="CQ493" s="101"/>
      <c r="CR493" s="101"/>
      <c r="CS493" s="101"/>
      <c r="CT493" s="101"/>
      <c r="FJ493" s="103"/>
      <c r="FL493" s="103"/>
      <c r="FN493" s="103"/>
      <c r="FP493" s="103"/>
    </row>
    <row r="494" spans="2:172" x14ac:dyDescent="0.35">
      <c r="B494" s="97"/>
      <c r="G494" s="100"/>
      <c r="K494" s="98"/>
      <c r="L494" s="101"/>
      <c r="M494" s="101"/>
      <c r="N494" s="101"/>
      <c r="O494" s="101"/>
      <c r="P494" s="102"/>
      <c r="Q494" s="101"/>
      <c r="R494" s="98"/>
      <c r="S494" s="98"/>
      <c r="T494" s="98"/>
      <c r="U494" s="98"/>
      <c r="V494" s="98"/>
      <c r="W494" s="98"/>
      <c r="X494" s="103"/>
      <c r="Y494" s="103"/>
      <c r="Z494" s="103"/>
      <c r="AA494" s="103"/>
      <c r="AB494" s="103"/>
      <c r="AC494" s="103"/>
      <c r="AD494" s="103"/>
      <c r="AE494" s="101"/>
      <c r="AF494" s="101"/>
      <c r="AG494" s="101"/>
      <c r="AH494" s="101"/>
      <c r="AI494" s="101"/>
      <c r="AJ494" s="101"/>
      <c r="AK494" s="101"/>
      <c r="AL494" s="103"/>
      <c r="AM494" s="103"/>
      <c r="AN494" s="103"/>
      <c r="AO494" s="103"/>
      <c r="AP494" s="103"/>
      <c r="AQ494" s="103"/>
      <c r="AR494" s="103"/>
      <c r="AS494" s="101"/>
      <c r="AT494" s="101"/>
      <c r="AU494" s="101"/>
      <c r="AV494" s="101"/>
      <c r="AW494" s="101"/>
      <c r="AX494" s="101"/>
      <c r="AY494" s="101"/>
      <c r="AZ494" s="103"/>
      <c r="BA494" s="103"/>
      <c r="BB494" s="103"/>
      <c r="BC494" s="101"/>
      <c r="BD494" s="101"/>
      <c r="BE494" s="101"/>
      <c r="BF494" s="101"/>
      <c r="BG494" s="101"/>
      <c r="BK494" s="101"/>
      <c r="BL494" s="101"/>
      <c r="BM494" s="101"/>
      <c r="BN494" s="101"/>
      <c r="BO494" s="101"/>
      <c r="BP494" s="101"/>
      <c r="BQ494" s="101"/>
      <c r="BR494" s="104"/>
      <c r="BS494" s="104"/>
      <c r="BT494" s="104"/>
      <c r="BU494" s="104"/>
      <c r="BV494" s="104"/>
      <c r="BW494" s="104"/>
      <c r="BX494" s="104"/>
      <c r="BY494" s="104"/>
      <c r="BZ494" s="104"/>
      <c r="CA494" s="104"/>
      <c r="CB494" s="104"/>
      <c r="CC494" s="104"/>
      <c r="CD494" s="104"/>
      <c r="CE494" s="104"/>
      <c r="CF494" s="104"/>
      <c r="CG494" s="104"/>
      <c r="CH494" s="104"/>
      <c r="CI494" s="104"/>
      <c r="CJ494" s="104"/>
      <c r="CK494" s="104"/>
      <c r="CL494" s="104"/>
      <c r="CM494" s="104"/>
      <c r="CN494" s="98"/>
      <c r="CP494" s="101"/>
      <c r="CQ494" s="101"/>
      <c r="CR494" s="101"/>
      <c r="CS494" s="101"/>
      <c r="CT494" s="101"/>
      <c r="FJ494" s="103"/>
      <c r="FL494" s="103"/>
      <c r="FN494" s="103"/>
      <c r="FP494" s="103"/>
    </row>
    <row r="495" spans="2:172" x14ac:dyDescent="0.35">
      <c r="B495" s="97"/>
      <c r="G495" s="100"/>
      <c r="K495" s="98"/>
      <c r="L495" s="101"/>
      <c r="M495" s="101"/>
      <c r="N495" s="101"/>
      <c r="O495" s="101"/>
      <c r="P495" s="102"/>
      <c r="Q495" s="101"/>
      <c r="R495" s="98"/>
      <c r="S495" s="98"/>
      <c r="T495" s="98"/>
      <c r="U495" s="98"/>
      <c r="V495" s="98"/>
      <c r="W495" s="98"/>
      <c r="X495" s="103"/>
      <c r="Y495" s="103"/>
      <c r="Z495" s="103"/>
      <c r="AA495" s="103"/>
      <c r="AB495" s="103"/>
      <c r="AC495" s="103"/>
      <c r="AD495" s="103"/>
      <c r="AE495" s="101"/>
      <c r="AF495" s="101"/>
      <c r="AG495" s="101"/>
      <c r="AH495" s="101"/>
      <c r="AI495" s="101"/>
      <c r="AJ495" s="101"/>
      <c r="AK495" s="101"/>
      <c r="AL495" s="103"/>
      <c r="AM495" s="103"/>
      <c r="AN495" s="103"/>
      <c r="AO495" s="103"/>
      <c r="AP495" s="103"/>
      <c r="AQ495" s="103"/>
      <c r="AR495" s="103"/>
      <c r="AS495" s="101"/>
      <c r="AT495" s="101"/>
      <c r="AU495" s="101"/>
      <c r="AV495" s="101"/>
      <c r="AW495" s="101"/>
      <c r="AX495" s="101"/>
      <c r="AY495" s="101"/>
      <c r="AZ495" s="103"/>
      <c r="BA495" s="103"/>
      <c r="BB495" s="103"/>
      <c r="BC495" s="101"/>
      <c r="BD495" s="101"/>
      <c r="BE495" s="101"/>
      <c r="BF495" s="101"/>
      <c r="BG495" s="101"/>
      <c r="BK495" s="101"/>
      <c r="BL495" s="101"/>
      <c r="BM495" s="101"/>
      <c r="BN495" s="101"/>
      <c r="BO495" s="101"/>
      <c r="BP495" s="101"/>
      <c r="BQ495" s="101"/>
      <c r="BR495" s="104"/>
      <c r="BS495" s="104"/>
      <c r="BT495" s="104"/>
      <c r="BU495" s="104"/>
      <c r="BV495" s="104"/>
      <c r="BW495" s="104"/>
      <c r="BX495" s="104"/>
      <c r="BY495" s="104"/>
      <c r="BZ495" s="104"/>
      <c r="CA495" s="104"/>
      <c r="CB495" s="104"/>
      <c r="CC495" s="104"/>
      <c r="CD495" s="104"/>
      <c r="CE495" s="104"/>
      <c r="CF495" s="104"/>
      <c r="CG495" s="104"/>
      <c r="CH495" s="104"/>
      <c r="CI495" s="104"/>
      <c r="CJ495" s="104"/>
      <c r="CK495" s="104"/>
      <c r="CL495" s="104"/>
      <c r="CM495" s="104"/>
      <c r="CN495" s="98"/>
      <c r="CP495" s="101"/>
      <c r="CQ495" s="101"/>
      <c r="CR495" s="101"/>
      <c r="CS495" s="101"/>
      <c r="CT495" s="101"/>
      <c r="FJ495" s="103"/>
      <c r="FL495" s="103"/>
      <c r="FN495" s="103"/>
      <c r="FP495" s="103"/>
    </row>
    <row r="496" spans="2:172" x14ac:dyDescent="0.35">
      <c r="B496" s="97"/>
      <c r="G496" s="100"/>
      <c r="K496" s="98"/>
      <c r="L496" s="101"/>
      <c r="M496" s="101"/>
      <c r="N496" s="101"/>
      <c r="O496" s="101"/>
      <c r="P496" s="102"/>
      <c r="Q496" s="101"/>
      <c r="R496" s="98"/>
      <c r="S496" s="98"/>
      <c r="T496" s="98"/>
      <c r="U496" s="98"/>
      <c r="V496" s="98"/>
      <c r="W496" s="98"/>
      <c r="X496" s="103"/>
      <c r="Y496" s="103"/>
      <c r="Z496" s="103"/>
      <c r="AA496" s="103"/>
      <c r="AB496" s="103"/>
      <c r="AC496" s="103"/>
      <c r="AD496" s="103"/>
      <c r="AE496" s="101"/>
      <c r="AF496" s="101"/>
      <c r="AG496" s="101"/>
      <c r="AH496" s="101"/>
      <c r="AI496" s="101"/>
      <c r="AJ496" s="101"/>
      <c r="AK496" s="101"/>
      <c r="AL496" s="103"/>
      <c r="AM496" s="103"/>
      <c r="AN496" s="103"/>
      <c r="AO496" s="103"/>
      <c r="AP496" s="103"/>
      <c r="AQ496" s="103"/>
      <c r="AR496" s="103"/>
      <c r="AS496" s="101"/>
      <c r="AT496" s="101"/>
      <c r="AU496" s="101"/>
      <c r="AV496" s="101"/>
      <c r="AW496" s="101"/>
      <c r="AX496" s="101"/>
      <c r="AY496" s="101"/>
      <c r="AZ496" s="103"/>
      <c r="BA496" s="103"/>
      <c r="BB496" s="103"/>
      <c r="BC496" s="101"/>
      <c r="BD496" s="101"/>
      <c r="BE496" s="101"/>
      <c r="BF496" s="101"/>
      <c r="BG496" s="101"/>
      <c r="BK496" s="101"/>
      <c r="BL496" s="101"/>
      <c r="BM496" s="101"/>
      <c r="BN496" s="101"/>
      <c r="BO496" s="101"/>
      <c r="BP496" s="101"/>
      <c r="BQ496" s="101"/>
      <c r="BR496" s="104"/>
      <c r="BS496" s="104"/>
      <c r="BT496" s="104"/>
      <c r="BU496" s="104"/>
      <c r="BV496" s="104"/>
      <c r="BW496" s="104"/>
      <c r="BX496" s="104"/>
      <c r="BY496" s="104"/>
      <c r="BZ496" s="104"/>
      <c r="CA496" s="104"/>
      <c r="CB496" s="104"/>
      <c r="CC496" s="104"/>
      <c r="CD496" s="104"/>
      <c r="CE496" s="104"/>
      <c r="CF496" s="104"/>
      <c r="CG496" s="104"/>
      <c r="CH496" s="104"/>
      <c r="CI496" s="104"/>
      <c r="CJ496" s="104"/>
      <c r="CK496" s="104"/>
      <c r="CL496" s="104"/>
      <c r="CM496" s="104"/>
      <c r="CN496" s="98"/>
      <c r="CP496" s="101"/>
      <c r="CQ496" s="101"/>
      <c r="CR496" s="101"/>
      <c r="CS496" s="101"/>
      <c r="CT496" s="101"/>
      <c r="FJ496" s="103"/>
      <c r="FL496" s="103"/>
      <c r="FN496" s="103"/>
      <c r="FP496" s="103"/>
    </row>
    <row r="497" spans="2:172" x14ac:dyDescent="0.35">
      <c r="B497" s="97"/>
      <c r="G497" s="100"/>
      <c r="K497" s="98"/>
      <c r="L497" s="101"/>
      <c r="M497" s="101"/>
      <c r="N497" s="101"/>
      <c r="O497" s="101"/>
      <c r="P497" s="102"/>
      <c r="Q497" s="101"/>
      <c r="R497" s="98"/>
      <c r="S497" s="98"/>
      <c r="T497" s="98"/>
      <c r="U497" s="98"/>
      <c r="V497" s="98"/>
      <c r="W497" s="98"/>
      <c r="X497" s="103"/>
      <c r="Y497" s="103"/>
      <c r="Z497" s="103"/>
      <c r="AA497" s="103"/>
      <c r="AB497" s="103"/>
      <c r="AC497" s="103"/>
      <c r="AD497" s="103"/>
      <c r="AE497" s="101"/>
      <c r="AF497" s="101"/>
      <c r="AG497" s="101"/>
      <c r="AH497" s="101"/>
      <c r="AI497" s="101"/>
      <c r="AJ497" s="101"/>
      <c r="AK497" s="101"/>
      <c r="AL497" s="103"/>
      <c r="AM497" s="103"/>
      <c r="AN497" s="103"/>
      <c r="AO497" s="103"/>
      <c r="AP497" s="103"/>
      <c r="AQ497" s="103"/>
      <c r="AR497" s="103"/>
      <c r="AS497" s="101"/>
      <c r="AT497" s="101"/>
      <c r="AU497" s="101"/>
      <c r="AV497" s="101"/>
      <c r="AW497" s="101"/>
      <c r="AX497" s="101"/>
      <c r="AY497" s="101"/>
      <c r="AZ497" s="103"/>
      <c r="BA497" s="103"/>
      <c r="BB497" s="103"/>
      <c r="BC497" s="101"/>
      <c r="BD497" s="101"/>
      <c r="BE497" s="101"/>
      <c r="BF497" s="101"/>
      <c r="BG497" s="101"/>
      <c r="BK497" s="101"/>
      <c r="BL497" s="101"/>
      <c r="BM497" s="101"/>
      <c r="BN497" s="101"/>
      <c r="BO497" s="101"/>
      <c r="BP497" s="101"/>
      <c r="BQ497" s="101"/>
      <c r="BR497" s="104"/>
      <c r="BS497" s="104"/>
      <c r="BT497" s="104"/>
      <c r="BU497" s="104"/>
      <c r="BV497" s="104"/>
      <c r="BW497" s="104"/>
      <c r="BX497" s="104"/>
      <c r="BY497" s="104"/>
      <c r="BZ497" s="104"/>
      <c r="CA497" s="104"/>
      <c r="CB497" s="104"/>
      <c r="CC497" s="104"/>
      <c r="CD497" s="104"/>
      <c r="CE497" s="104"/>
      <c r="CF497" s="104"/>
      <c r="CG497" s="104"/>
      <c r="CH497" s="104"/>
      <c r="CI497" s="104"/>
      <c r="CJ497" s="104"/>
      <c r="CK497" s="104"/>
      <c r="CL497" s="104"/>
      <c r="CM497" s="104"/>
      <c r="CN497" s="98"/>
      <c r="CP497" s="101"/>
      <c r="CQ497" s="101"/>
      <c r="CR497" s="101"/>
      <c r="CS497" s="101"/>
      <c r="CT497" s="101"/>
      <c r="FJ497" s="103"/>
      <c r="FL497" s="103"/>
      <c r="FN497" s="103"/>
      <c r="FP497" s="103"/>
    </row>
    <row r="498" spans="2:172" x14ac:dyDescent="0.35">
      <c r="B498" s="97"/>
      <c r="G498" s="100"/>
      <c r="K498" s="98"/>
      <c r="L498" s="101"/>
      <c r="M498" s="101"/>
      <c r="N498" s="101"/>
      <c r="O498" s="101"/>
      <c r="P498" s="102"/>
      <c r="Q498" s="101"/>
      <c r="R498" s="98"/>
      <c r="S498" s="98"/>
      <c r="T498" s="98"/>
      <c r="U498" s="98"/>
      <c r="V498" s="98"/>
      <c r="W498" s="98"/>
      <c r="X498" s="103"/>
      <c r="Y498" s="103"/>
      <c r="Z498" s="103"/>
      <c r="AA498" s="103"/>
      <c r="AB498" s="103"/>
      <c r="AC498" s="103"/>
      <c r="AD498" s="103"/>
      <c r="AE498" s="101"/>
      <c r="AF498" s="101"/>
      <c r="AG498" s="101"/>
      <c r="AH498" s="101"/>
      <c r="AI498" s="101"/>
      <c r="AJ498" s="101"/>
      <c r="AK498" s="101"/>
      <c r="AL498" s="103"/>
      <c r="AM498" s="103"/>
      <c r="AN498" s="103"/>
      <c r="AO498" s="103"/>
      <c r="AP498" s="103"/>
      <c r="AQ498" s="103"/>
      <c r="AR498" s="103"/>
      <c r="AS498" s="101"/>
      <c r="AT498" s="101"/>
      <c r="AU498" s="101"/>
      <c r="AV498" s="101"/>
      <c r="AW498" s="101"/>
      <c r="AX498" s="101"/>
      <c r="AY498" s="101"/>
      <c r="AZ498" s="103"/>
      <c r="BA498" s="103"/>
      <c r="BB498" s="103"/>
      <c r="BC498" s="101"/>
      <c r="BD498" s="101"/>
      <c r="BE498" s="101"/>
      <c r="BF498" s="101"/>
      <c r="BG498" s="101"/>
      <c r="BK498" s="101"/>
      <c r="BL498" s="101"/>
      <c r="BM498" s="101"/>
      <c r="BN498" s="101"/>
      <c r="BO498" s="101"/>
      <c r="BP498" s="101"/>
      <c r="BQ498" s="101"/>
      <c r="BR498" s="104"/>
      <c r="BS498" s="104"/>
      <c r="BT498" s="104"/>
      <c r="BU498" s="104"/>
      <c r="BV498" s="104"/>
      <c r="BW498" s="104"/>
      <c r="BX498" s="104"/>
      <c r="BY498" s="104"/>
      <c r="BZ498" s="104"/>
      <c r="CA498" s="104"/>
      <c r="CB498" s="104"/>
      <c r="CC498" s="104"/>
      <c r="CD498" s="104"/>
      <c r="CE498" s="104"/>
      <c r="CF498" s="104"/>
      <c r="CG498" s="104"/>
      <c r="CH498" s="104"/>
      <c r="CI498" s="104"/>
      <c r="CJ498" s="104"/>
      <c r="CK498" s="104"/>
      <c r="CL498" s="104"/>
      <c r="CM498" s="104"/>
      <c r="CN498" s="98"/>
      <c r="CP498" s="101"/>
      <c r="CQ498" s="101"/>
      <c r="CR498" s="101"/>
      <c r="CS498" s="101"/>
      <c r="CT498" s="101"/>
      <c r="FJ498" s="103"/>
      <c r="FL498" s="103"/>
      <c r="FN498" s="103"/>
      <c r="FP498" s="103"/>
    </row>
    <row r="499" spans="2:172" x14ac:dyDescent="0.35">
      <c r="B499" s="97"/>
      <c r="G499" s="100"/>
      <c r="K499" s="98"/>
      <c r="L499" s="101"/>
      <c r="M499" s="101"/>
      <c r="N499" s="101"/>
      <c r="O499" s="101"/>
      <c r="P499" s="102"/>
      <c r="Q499" s="101"/>
      <c r="R499" s="98"/>
      <c r="S499" s="98"/>
      <c r="T499" s="98"/>
      <c r="U499" s="98"/>
      <c r="V499" s="98"/>
      <c r="W499" s="98"/>
      <c r="X499" s="103"/>
      <c r="Y499" s="103"/>
      <c r="Z499" s="103"/>
      <c r="AA499" s="103"/>
      <c r="AB499" s="103"/>
      <c r="AC499" s="103"/>
      <c r="AD499" s="103"/>
      <c r="AE499" s="101"/>
      <c r="AF499" s="101"/>
      <c r="AG499" s="101"/>
      <c r="AH499" s="101"/>
      <c r="AI499" s="101"/>
      <c r="AJ499" s="101"/>
      <c r="AK499" s="101"/>
      <c r="AL499" s="103"/>
      <c r="AM499" s="103"/>
      <c r="AN499" s="103"/>
      <c r="AO499" s="103"/>
      <c r="AP499" s="103"/>
      <c r="AQ499" s="103"/>
      <c r="AR499" s="103"/>
      <c r="AS499" s="101"/>
      <c r="AT499" s="101"/>
      <c r="AU499" s="101"/>
      <c r="AV499" s="101"/>
      <c r="AW499" s="101"/>
      <c r="AX499" s="101"/>
      <c r="AY499" s="101"/>
      <c r="AZ499" s="103"/>
      <c r="BA499" s="103"/>
      <c r="BB499" s="103"/>
      <c r="BC499" s="101"/>
      <c r="BD499" s="101"/>
      <c r="BE499" s="101"/>
      <c r="BF499" s="101"/>
      <c r="BG499" s="101"/>
      <c r="BK499" s="101"/>
      <c r="BL499" s="101"/>
      <c r="BM499" s="101"/>
      <c r="BN499" s="101"/>
      <c r="BO499" s="101"/>
      <c r="BP499" s="101"/>
      <c r="BQ499" s="101"/>
      <c r="BR499" s="104"/>
      <c r="BS499" s="104"/>
      <c r="BT499" s="104"/>
      <c r="BU499" s="104"/>
      <c r="BV499" s="104"/>
      <c r="BW499" s="104"/>
      <c r="BX499" s="104"/>
      <c r="BY499" s="104"/>
      <c r="BZ499" s="104"/>
      <c r="CA499" s="104"/>
      <c r="CB499" s="104"/>
      <c r="CC499" s="104"/>
      <c r="CD499" s="104"/>
      <c r="CE499" s="104"/>
      <c r="CF499" s="104"/>
      <c r="CG499" s="104"/>
      <c r="CH499" s="104"/>
      <c r="CI499" s="104"/>
      <c r="CJ499" s="104"/>
      <c r="CK499" s="104"/>
      <c r="CL499" s="104"/>
      <c r="CM499" s="104"/>
      <c r="CN499" s="98"/>
      <c r="CP499" s="101"/>
      <c r="CQ499" s="101"/>
      <c r="CR499" s="101"/>
      <c r="CS499" s="101"/>
      <c r="CT499" s="101"/>
      <c r="FJ499" s="103"/>
      <c r="FL499" s="103"/>
      <c r="FN499" s="103"/>
      <c r="FP499" s="103"/>
    </row>
    <row r="500" spans="2:172" x14ac:dyDescent="0.35">
      <c r="B500" s="97"/>
      <c r="G500" s="100"/>
      <c r="K500" s="98"/>
      <c r="L500" s="101"/>
      <c r="M500" s="101"/>
      <c r="N500" s="101"/>
      <c r="O500" s="101"/>
      <c r="P500" s="102"/>
      <c r="Q500" s="101"/>
      <c r="R500" s="98"/>
      <c r="S500" s="98"/>
      <c r="T500" s="98"/>
      <c r="U500" s="98"/>
      <c r="V500" s="98"/>
      <c r="W500" s="98"/>
      <c r="X500" s="103"/>
      <c r="Y500" s="103"/>
      <c r="Z500" s="103"/>
      <c r="AA500" s="103"/>
      <c r="AB500" s="103"/>
      <c r="AC500" s="103"/>
      <c r="AD500" s="103"/>
      <c r="AE500" s="101"/>
      <c r="AF500" s="101"/>
      <c r="AG500" s="101"/>
      <c r="AH500" s="101"/>
      <c r="AI500" s="101"/>
      <c r="AJ500" s="101"/>
      <c r="AK500" s="101"/>
      <c r="AL500" s="103"/>
      <c r="AM500" s="103"/>
      <c r="AN500" s="103"/>
      <c r="AO500" s="103"/>
      <c r="AP500" s="103"/>
      <c r="AQ500" s="103"/>
      <c r="AR500" s="103"/>
      <c r="AS500" s="101"/>
      <c r="AT500" s="101"/>
      <c r="AU500" s="101"/>
      <c r="AV500" s="101"/>
      <c r="AW500" s="101"/>
      <c r="AX500" s="101"/>
      <c r="AY500" s="101"/>
      <c r="AZ500" s="103"/>
      <c r="BA500" s="103"/>
      <c r="BB500" s="103"/>
      <c r="BC500" s="101"/>
      <c r="BD500" s="101"/>
      <c r="BE500" s="101"/>
      <c r="BF500" s="101"/>
      <c r="BG500" s="101"/>
      <c r="BK500" s="101"/>
      <c r="BL500" s="101"/>
      <c r="BM500" s="101"/>
      <c r="BN500" s="101"/>
      <c r="BO500" s="101"/>
      <c r="BP500" s="101"/>
      <c r="BQ500" s="101"/>
      <c r="BR500" s="104"/>
      <c r="BS500" s="104"/>
      <c r="BT500" s="104"/>
      <c r="BU500" s="104"/>
      <c r="BV500" s="104"/>
      <c r="BW500" s="104"/>
      <c r="BX500" s="104"/>
      <c r="BY500" s="104"/>
      <c r="BZ500" s="104"/>
      <c r="CA500" s="104"/>
      <c r="CB500" s="104"/>
      <c r="CC500" s="104"/>
      <c r="CD500" s="104"/>
      <c r="CE500" s="104"/>
      <c r="CF500" s="104"/>
      <c r="CG500" s="104"/>
      <c r="CH500" s="104"/>
      <c r="CI500" s="104"/>
      <c r="CJ500" s="104"/>
      <c r="CK500" s="104"/>
      <c r="CL500" s="104"/>
      <c r="CM500" s="104"/>
      <c r="CN500" s="98"/>
      <c r="CP500" s="101"/>
      <c r="CQ500" s="101"/>
      <c r="CR500" s="101"/>
      <c r="CS500" s="101"/>
      <c r="CT500" s="101"/>
      <c r="FJ500" s="103"/>
      <c r="FL500" s="103"/>
      <c r="FN500" s="103"/>
      <c r="FP500" s="103"/>
    </row>
    <row r="501" spans="2:172" x14ac:dyDescent="0.35">
      <c r="B501" s="97"/>
      <c r="G501" s="100"/>
      <c r="K501" s="98"/>
      <c r="L501" s="101"/>
      <c r="M501" s="101"/>
      <c r="N501" s="101"/>
      <c r="O501" s="101"/>
      <c r="P501" s="102"/>
      <c r="Q501" s="101"/>
      <c r="R501" s="98"/>
      <c r="S501" s="98"/>
      <c r="T501" s="98"/>
      <c r="U501" s="98"/>
      <c r="V501" s="98"/>
      <c r="W501" s="98"/>
      <c r="X501" s="103"/>
      <c r="Y501" s="103"/>
      <c r="Z501" s="103"/>
      <c r="AA501" s="103"/>
      <c r="AB501" s="103"/>
      <c r="AC501" s="103"/>
      <c r="AD501" s="103"/>
      <c r="AE501" s="101"/>
      <c r="AF501" s="101"/>
      <c r="AG501" s="101"/>
      <c r="AH501" s="101"/>
      <c r="AI501" s="101"/>
      <c r="AJ501" s="101"/>
      <c r="AK501" s="101"/>
      <c r="AL501" s="103"/>
      <c r="AM501" s="103"/>
      <c r="AN501" s="103"/>
      <c r="AO501" s="103"/>
      <c r="AP501" s="103"/>
      <c r="AQ501" s="103"/>
      <c r="AR501" s="103"/>
      <c r="AS501" s="101"/>
      <c r="AT501" s="101"/>
      <c r="AU501" s="101"/>
      <c r="AV501" s="101"/>
      <c r="AW501" s="101"/>
      <c r="AX501" s="101"/>
      <c r="AY501" s="101"/>
      <c r="AZ501" s="103"/>
      <c r="BA501" s="103"/>
      <c r="BB501" s="103"/>
      <c r="BC501" s="101"/>
      <c r="BD501" s="101"/>
      <c r="BE501" s="101"/>
      <c r="BF501" s="101"/>
      <c r="BG501" s="101"/>
      <c r="BK501" s="101"/>
      <c r="BL501" s="101"/>
      <c r="BM501" s="101"/>
      <c r="BN501" s="101"/>
      <c r="BO501" s="101"/>
      <c r="BP501" s="101"/>
      <c r="BQ501" s="101"/>
      <c r="BR501" s="104"/>
      <c r="BS501" s="104"/>
      <c r="BT501" s="104"/>
      <c r="BU501" s="104"/>
      <c r="BV501" s="104"/>
      <c r="BW501" s="104"/>
      <c r="BX501" s="104"/>
      <c r="BY501" s="104"/>
      <c r="BZ501" s="104"/>
      <c r="CA501" s="104"/>
      <c r="CB501" s="104"/>
      <c r="CC501" s="104"/>
      <c r="CD501" s="104"/>
      <c r="CE501" s="104"/>
      <c r="CF501" s="104"/>
      <c r="CG501" s="104"/>
      <c r="CH501" s="104"/>
      <c r="CI501" s="104"/>
      <c r="CJ501" s="104"/>
      <c r="CK501" s="104"/>
      <c r="CL501" s="104"/>
      <c r="CM501" s="104"/>
      <c r="CN501" s="98"/>
      <c r="CP501" s="101"/>
      <c r="CQ501" s="101"/>
      <c r="CR501" s="101"/>
      <c r="CS501" s="101"/>
      <c r="CT501" s="101"/>
      <c r="FJ501" s="103"/>
      <c r="FL501" s="103"/>
      <c r="FN501" s="103"/>
      <c r="FP501" s="103"/>
    </row>
    <row r="502" spans="2:172" x14ac:dyDescent="0.35">
      <c r="B502" s="97"/>
      <c r="G502" s="100"/>
      <c r="K502" s="98"/>
      <c r="L502" s="101"/>
      <c r="M502" s="101"/>
      <c r="N502" s="101"/>
      <c r="O502" s="101"/>
      <c r="P502" s="102"/>
      <c r="Q502" s="101"/>
      <c r="R502" s="98"/>
      <c r="S502" s="98"/>
      <c r="T502" s="98"/>
      <c r="U502" s="98"/>
      <c r="V502" s="98"/>
      <c r="W502" s="98"/>
      <c r="X502" s="103"/>
      <c r="Y502" s="103"/>
      <c r="Z502" s="103"/>
      <c r="AA502" s="103"/>
      <c r="AB502" s="103"/>
      <c r="AC502" s="103"/>
      <c r="AD502" s="103"/>
      <c r="AE502" s="101"/>
      <c r="AF502" s="101"/>
      <c r="AG502" s="101"/>
      <c r="AH502" s="101"/>
      <c r="AI502" s="101"/>
      <c r="AJ502" s="101"/>
      <c r="AK502" s="101"/>
      <c r="AL502" s="103"/>
      <c r="AM502" s="103"/>
      <c r="AN502" s="103"/>
      <c r="AO502" s="103"/>
      <c r="AP502" s="103"/>
      <c r="AQ502" s="103"/>
      <c r="AR502" s="103"/>
      <c r="AS502" s="101"/>
      <c r="AT502" s="101"/>
      <c r="AU502" s="101"/>
      <c r="AV502" s="101"/>
      <c r="AW502" s="101"/>
      <c r="AX502" s="101"/>
      <c r="AY502" s="101"/>
      <c r="AZ502" s="103"/>
      <c r="BA502" s="103"/>
      <c r="BB502" s="103"/>
      <c r="BC502" s="101"/>
      <c r="BD502" s="101"/>
      <c r="BE502" s="101"/>
      <c r="BF502" s="101"/>
      <c r="BG502" s="101"/>
      <c r="BK502" s="101"/>
      <c r="BL502" s="101"/>
      <c r="BM502" s="101"/>
      <c r="BN502" s="101"/>
      <c r="BO502" s="101"/>
      <c r="BP502" s="101"/>
      <c r="BQ502" s="101"/>
      <c r="BR502" s="104"/>
      <c r="BS502" s="104"/>
      <c r="BT502" s="104"/>
      <c r="BU502" s="104"/>
      <c r="BV502" s="104"/>
      <c r="BW502" s="104"/>
      <c r="BX502" s="104"/>
      <c r="BY502" s="104"/>
      <c r="BZ502" s="104"/>
      <c r="CA502" s="104"/>
      <c r="CB502" s="104"/>
      <c r="CC502" s="104"/>
      <c r="CD502" s="104"/>
      <c r="CE502" s="104"/>
      <c r="CF502" s="104"/>
      <c r="CG502" s="104"/>
      <c r="CH502" s="104"/>
      <c r="CI502" s="104"/>
      <c r="CJ502" s="104"/>
      <c r="CK502" s="104"/>
      <c r="CL502" s="104"/>
      <c r="CM502" s="104"/>
      <c r="CN502" s="98"/>
      <c r="CP502" s="101"/>
      <c r="CQ502" s="101"/>
      <c r="CR502" s="101"/>
      <c r="CS502" s="101"/>
      <c r="CT502" s="101"/>
      <c r="FJ502" s="103"/>
      <c r="FL502" s="103"/>
      <c r="FN502" s="103"/>
      <c r="FP502" s="103"/>
    </row>
    <row r="503" spans="2:172" x14ac:dyDescent="0.35">
      <c r="B503" s="97"/>
      <c r="G503" s="100"/>
      <c r="K503" s="98"/>
      <c r="L503" s="101"/>
      <c r="M503" s="101"/>
      <c r="N503" s="101"/>
      <c r="O503" s="101"/>
      <c r="P503" s="102"/>
      <c r="Q503" s="101"/>
      <c r="R503" s="98"/>
      <c r="S503" s="98"/>
      <c r="T503" s="98"/>
      <c r="U503" s="98"/>
      <c r="V503" s="98"/>
      <c r="W503" s="98"/>
      <c r="X503" s="103"/>
      <c r="Y503" s="103"/>
      <c r="Z503" s="103"/>
      <c r="AA503" s="103"/>
      <c r="AB503" s="103"/>
      <c r="AC503" s="103"/>
      <c r="AD503" s="103"/>
      <c r="AE503" s="101"/>
      <c r="AF503" s="101"/>
      <c r="AG503" s="101"/>
      <c r="AH503" s="101"/>
      <c r="AI503" s="101"/>
      <c r="AJ503" s="101"/>
      <c r="AK503" s="101"/>
      <c r="AL503" s="103"/>
      <c r="AM503" s="103"/>
      <c r="AN503" s="103"/>
      <c r="AO503" s="103"/>
      <c r="AP503" s="103"/>
      <c r="AQ503" s="103"/>
      <c r="AR503" s="103"/>
      <c r="AS503" s="101"/>
      <c r="AT503" s="101"/>
      <c r="AU503" s="101"/>
      <c r="AV503" s="101"/>
      <c r="AW503" s="101"/>
      <c r="AX503" s="101"/>
      <c r="AY503" s="101"/>
      <c r="AZ503" s="103"/>
      <c r="BA503" s="103"/>
      <c r="BB503" s="103"/>
      <c r="BC503" s="101"/>
      <c r="BD503" s="101"/>
      <c r="BE503" s="101"/>
      <c r="BF503" s="101"/>
      <c r="BG503" s="101"/>
      <c r="BK503" s="101"/>
      <c r="BL503" s="101"/>
      <c r="BM503" s="101"/>
      <c r="BN503" s="101"/>
      <c r="BO503" s="101"/>
      <c r="BP503" s="101"/>
      <c r="BQ503" s="101"/>
      <c r="BR503" s="104"/>
      <c r="BS503" s="104"/>
      <c r="BT503" s="104"/>
      <c r="BU503" s="104"/>
      <c r="BV503" s="104"/>
      <c r="BW503" s="104"/>
      <c r="BX503" s="104"/>
      <c r="BY503" s="104"/>
      <c r="BZ503" s="104"/>
      <c r="CA503" s="104"/>
      <c r="CB503" s="104"/>
      <c r="CC503" s="104"/>
      <c r="CD503" s="104"/>
      <c r="CE503" s="104"/>
      <c r="CF503" s="104"/>
      <c r="CG503" s="104"/>
      <c r="CH503" s="104"/>
      <c r="CI503" s="104"/>
      <c r="CJ503" s="104"/>
      <c r="CK503" s="104"/>
      <c r="CL503" s="104"/>
      <c r="CM503" s="104"/>
      <c r="CN503" s="98"/>
      <c r="CP503" s="101"/>
      <c r="CQ503" s="101"/>
      <c r="CR503" s="101"/>
      <c r="CS503" s="101"/>
      <c r="CT503" s="101"/>
      <c r="FJ503" s="103"/>
      <c r="FL503" s="103"/>
      <c r="FN503" s="103"/>
      <c r="FP503" s="103"/>
    </row>
    <row r="504" spans="2:172" x14ac:dyDescent="0.35">
      <c r="B504" s="97"/>
      <c r="G504" s="100"/>
      <c r="K504" s="98"/>
      <c r="L504" s="101"/>
      <c r="M504" s="101"/>
      <c r="N504" s="101"/>
      <c r="O504" s="101"/>
      <c r="P504" s="102"/>
      <c r="Q504" s="101"/>
      <c r="R504" s="98"/>
      <c r="S504" s="98"/>
      <c r="T504" s="98"/>
      <c r="U504" s="98"/>
      <c r="V504" s="98"/>
      <c r="W504" s="98"/>
      <c r="X504" s="103"/>
      <c r="Y504" s="103"/>
      <c r="Z504" s="103"/>
      <c r="AA504" s="103"/>
      <c r="AB504" s="103"/>
      <c r="AC504" s="103"/>
      <c r="AD504" s="103"/>
      <c r="AE504" s="101"/>
      <c r="AF504" s="101"/>
      <c r="AG504" s="101"/>
      <c r="AH504" s="101"/>
      <c r="AI504" s="101"/>
      <c r="AJ504" s="101"/>
      <c r="AK504" s="101"/>
      <c r="AL504" s="103"/>
      <c r="AM504" s="103"/>
      <c r="AN504" s="103"/>
      <c r="AO504" s="103"/>
      <c r="AP504" s="103"/>
      <c r="AQ504" s="103"/>
      <c r="AR504" s="103"/>
      <c r="AS504" s="101"/>
      <c r="AT504" s="101"/>
      <c r="AU504" s="101"/>
      <c r="AV504" s="101"/>
      <c r="AW504" s="101"/>
      <c r="AX504" s="101"/>
      <c r="AY504" s="101"/>
      <c r="AZ504" s="103"/>
      <c r="BA504" s="103"/>
      <c r="BB504" s="103"/>
      <c r="BC504" s="101"/>
      <c r="BD504" s="101"/>
      <c r="BE504" s="101"/>
      <c r="BF504" s="101"/>
      <c r="BG504" s="101"/>
      <c r="BK504" s="101"/>
      <c r="BL504" s="101"/>
      <c r="BM504" s="101"/>
      <c r="BN504" s="101"/>
      <c r="BO504" s="101"/>
      <c r="BP504" s="101"/>
      <c r="BQ504" s="101"/>
      <c r="BR504" s="104"/>
      <c r="BS504" s="104"/>
      <c r="BT504" s="104"/>
      <c r="BU504" s="104"/>
      <c r="BV504" s="104"/>
      <c r="BW504" s="104"/>
      <c r="BX504" s="104"/>
      <c r="BY504" s="104"/>
      <c r="BZ504" s="104"/>
      <c r="CA504" s="104"/>
      <c r="CB504" s="104"/>
      <c r="CC504" s="104"/>
      <c r="CD504" s="104"/>
      <c r="CE504" s="104"/>
      <c r="CF504" s="104"/>
      <c r="CG504" s="104"/>
      <c r="CH504" s="104"/>
      <c r="CI504" s="104"/>
      <c r="CJ504" s="104"/>
      <c r="CK504" s="104"/>
      <c r="CL504" s="104"/>
      <c r="CM504" s="104"/>
      <c r="CN504" s="98"/>
      <c r="CP504" s="101"/>
      <c r="CQ504" s="101"/>
      <c r="CR504" s="101"/>
      <c r="CS504" s="101"/>
      <c r="CT504" s="101"/>
      <c r="FJ504" s="103"/>
      <c r="FL504" s="103"/>
      <c r="FN504" s="103"/>
      <c r="FP504" s="103"/>
    </row>
    <row r="505" spans="2:172" x14ac:dyDescent="0.35">
      <c r="B505" s="97"/>
      <c r="G505" s="100"/>
      <c r="K505" s="98"/>
      <c r="L505" s="101"/>
      <c r="M505" s="101"/>
      <c r="N505" s="101"/>
      <c r="O505" s="101"/>
      <c r="P505" s="102"/>
      <c r="Q505" s="101"/>
      <c r="R505" s="98"/>
      <c r="S505" s="98"/>
      <c r="T505" s="98"/>
      <c r="U505" s="98"/>
      <c r="V505" s="98"/>
      <c r="W505" s="98"/>
      <c r="X505" s="103"/>
      <c r="Y505" s="103"/>
      <c r="Z505" s="103"/>
      <c r="AA505" s="103"/>
      <c r="AB505" s="103"/>
      <c r="AC505" s="103"/>
      <c r="AD505" s="103"/>
      <c r="AE505" s="101"/>
      <c r="AF505" s="101"/>
      <c r="AG505" s="101"/>
      <c r="AH505" s="101"/>
      <c r="AI505" s="101"/>
      <c r="AJ505" s="101"/>
      <c r="AK505" s="101"/>
      <c r="AL505" s="103"/>
      <c r="AM505" s="103"/>
      <c r="AN505" s="103"/>
      <c r="AO505" s="103"/>
      <c r="AP505" s="103"/>
      <c r="AQ505" s="103"/>
      <c r="AR505" s="103"/>
      <c r="AS505" s="101"/>
      <c r="AT505" s="101"/>
      <c r="AU505" s="101"/>
      <c r="AV505" s="101"/>
      <c r="AW505" s="101"/>
      <c r="AX505" s="101"/>
      <c r="AY505" s="101"/>
      <c r="AZ505" s="103"/>
      <c r="BA505" s="103"/>
      <c r="BB505" s="103"/>
      <c r="BC505" s="101"/>
      <c r="BD505" s="101"/>
      <c r="BE505" s="101"/>
      <c r="BF505" s="101"/>
      <c r="BG505" s="101"/>
      <c r="BK505" s="101"/>
      <c r="BL505" s="101"/>
      <c r="BM505" s="101"/>
      <c r="BN505" s="101"/>
      <c r="BO505" s="101"/>
      <c r="BP505" s="101"/>
      <c r="BQ505" s="101"/>
      <c r="BR505" s="104"/>
      <c r="BS505" s="104"/>
      <c r="BT505" s="104"/>
      <c r="BU505" s="104"/>
      <c r="BV505" s="104"/>
      <c r="BW505" s="104"/>
      <c r="BX505" s="104"/>
      <c r="BY505" s="104"/>
      <c r="BZ505" s="104"/>
      <c r="CA505" s="104"/>
      <c r="CB505" s="104"/>
      <c r="CC505" s="104"/>
      <c r="CD505" s="104"/>
      <c r="CE505" s="104"/>
      <c r="CF505" s="104"/>
      <c r="CG505" s="104"/>
      <c r="CH505" s="104"/>
      <c r="CI505" s="104"/>
      <c r="CJ505" s="104"/>
      <c r="CK505" s="104"/>
      <c r="CL505" s="104"/>
      <c r="CM505" s="104"/>
      <c r="CN505" s="98"/>
      <c r="CP505" s="101"/>
      <c r="CQ505" s="101"/>
      <c r="CR505" s="101"/>
      <c r="CS505" s="101"/>
      <c r="CT505" s="101"/>
      <c r="FJ505" s="103"/>
      <c r="FL505" s="103"/>
      <c r="FN505" s="103"/>
      <c r="FP505" s="103"/>
    </row>
    <row r="506" spans="2:172" x14ac:dyDescent="0.35">
      <c r="B506" s="97"/>
      <c r="G506" s="100"/>
      <c r="K506" s="98"/>
      <c r="L506" s="101"/>
      <c r="M506" s="101"/>
      <c r="N506" s="101"/>
      <c r="O506" s="101"/>
      <c r="P506" s="102"/>
      <c r="Q506" s="101"/>
      <c r="R506" s="98"/>
      <c r="S506" s="98"/>
      <c r="T506" s="98"/>
      <c r="U506" s="98"/>
      <c r="V506" s="98"/>
      <c r="W506" s="98"/>
      <c r="X506" s="103"/>
      <c r="Y506" s="103"/>
      <c r="Z506" s="103"/>
      <c r="AA506" s="103"/>
      <c r="AB506" s="103"/>
      <c r="AC506" s="103"/>
      <c r="AD506" s="103"/>
      <c r="AE506" s="101"/>
      <c r="AF506" s="101"/>
      <c r="AG506" s="101"/>
      <c r="AH506" s="101"/>
      <c r="AI506" s="101"/>
      <c r="AJ506" s="101"/>
      <c r="AK506" s="101"/>
      <c r="AL506" s="103"/>
      <c r="AM506" s="103"/>
      <c r="AN506" s="103"/>
      <c r="AO506" s="103"/>
      <c r="AP506" s="103"/>
      <c r="AQ506" s="103"/>
      <c r="AR506" s="103"/>
      <c r="AS506" s="101"/>
      <c r="AT506" s="101"/>
      <c r="AU506" s="101"/>
      <c r="AV506" s="101"/>
      <c r="AW506" s="101"/>
      <c r="AX506" s="101"/>
      <c r="AY506" s="101"/>
      <c r="AZ506" s="103"/>
      <c r="BA506" s="103"/>
      <c r="BB506" s="103"/>
      <c r="BC506" s="101"/>
      <c r="BD506" s="101"/>
      <c r="BE506" s="101"/>
      <c r="BF506" s="101"/>
      <c r="BG506" s="101"/>
      <c r="BK506" s="101"/>
      <c r="BL506" s="101"/>
      <c r="BM506" s="101"/>
      <c r="BN506" s="101"/>
      <c r="BO506" s="101"/>
      <c r="BP506" s="101"/>
      <c r="BQ506" s="101"/>
      <c r="BR506" s="104"/>
      <c r="BS506" s="104"/>
      <c r="BT506" s="104"/>
      <c r="BU506" s="104"/>
      <c r="BV506" s="104"/>
      <c r="BW506" s="104"/>
      <c r="BX506" s="104"/>
      <c r="BY506" s="104"/>
      <c r="BZ506" s="104"/>
      <c r="CA506" s="104"/>
      <c r="CB506" s="104"/>
      <c r="CC506" s="104"/>
      <c r="CD506" s="104"/>
      <c r="CE506" s="104"/>
      <c r="CF506" s="104"/>
      <c r="CG506" s="104"/>
      <c r="CH506" s="104"/>
      <c r="CI506" s="104"/>
      <c r="CJ506" s="104"/>
      <c r="CK506" s="104"/>
      <c r="CL506" s="104"/>
      <c r="CM506" s="104"/>
      <c r="CN506" s="98"/>
      <c r="CP506" s="101"/>
      <c r="CQ506" s="101"/>
      <c r="CR506" s="101"/>
      <c r="CS506" s="101"/>
      <c r="CT506" s="101"/>
      <c r="FJ506" s="103"/>
      <c r="FL506" s="103"/>
      <c r="FN506" s="103"/>
      <c r="FP506" s="103"/>
    </row>
    <row r="507" spans="2:172" x14ac:dyDescent="0.35">
      <c r="B507" s="97"/>
      <c r="G507" s="100"/>
      <c r="K507" s="98"/>
      <c r="L507" s="101"/>
      <c r="M507" s="101"/>
      <c r="N507" s="101"/>
      <c r="O507" s="101"/>
      <c r="P507" s="102"/>
      <c r="Q507" s="101"/>
      <c r="R507" s="98"/>
      <c r="S507" s="98"/>
      <c r="T507" s="98"/>
      <c r="U507" s="98"/>
      <c r="V507" s="98"/>
      <c r="W507" s="98"/>
      <c r="X507" s="103"/>
      <c r="Y507" s="103"/>
      <c r="Z507" s="103"/>
      <c r="AA507" s="103"/>
      <c r="AB507" s="103"/>
      <c r="AC507" s="103"/>
      <c r="AD507" s="103"/>
      <c r="AE507" s="101"/>
      <c r="AF507" s="101"/>
      <c r="AG507" s="101"/>
      <c r="AH507" s="101"/>
      <c r="AI507" s="101"/>
      <c r="AJ507" s="101"/>
      <c r="AK507" s="101"/>
      <c r="AL507" s="103"/>
      <c r="AM507" s="103"/>
      <c r="AN507" s="103"/>
      <c r="AO507" s="103"/>
      <c r="AP507" s="103"/>
      <c r="AQ507" s="103"/>
      <c r="AR507" s="103"/>
      <c r="AS507" s="101"/>
      <c r="AT507" s="101"/>
      <c r="AU507" s="101"/>
      <c r="AV507" s="101"/>
      <c r="AW507" s="101"/>
      <c r="AX507" s="101"/>
      <c r="AY507" s="101"/>
      <c r="AZ507" s="103"/>
      <c r="BA507" s="103"/>
      <c r="BB507" s="103"/>
      <c r="BC507" s="101"/>
      <c r="BD507" s="101"/>
      <c r="BE507" s="101"/>
      <c r="BF507" s="101"/>
      <c r="BG507" s="101"/>
      <c r="BK507" s="101"/>
      <c r="BL507" s="101"/>
      <c r="BM507" s="101"/>
      <c r="BN507" s="101"/>
      <c r="BO507" s="101"/>
      <c r="BP507" s="101"/>
      <c r="BQ507" s="101"/>
      <c r="BR507" s="104"/>
      <c r="BS507" s="104"/>
      <c r="BT507" s="104"/>
      <c r="BU507" s="104"/>
      <c r="BV507" s="104"/>
      <c r="BW507" s="104"/>
      <c r="BX507" s="104"/>
      <c r="BY507" s="104"/>
      <c r="BZ507" s="104"/>
      <c r="CA507" s="104"/>
      <c r="CB507" s="104"/>
      <c r="CC507" s="104"/>
      <c r="CD507" s="104"/>
      <c r="CE507" s="104"/>
      <c r="CF507" s="104"/>
      <c r="CG507" s="104"/>
      <c r="CH507" s="104"/>
      <c r="CI507" s="104"/>
      <c r="CJ507" s="104"/>
      <c r="CK507" s="104"/>
      <c r="CL507" s="104"/>
      <c r="CM507" s="104"/>
      <c r="CN507" s="98"/>
      <c r="CP507" s="101"/>
      <c r="CQ507" s="101"/>
      <c r="CR507" s="101"/>
      <c r="CS507" s="101"/>
      <c r="CT507" s="101"/>
      <c r="FJ507" s="103"/>
      <c r="FL507" s="103"/>
      <c r="FN507" s="103"/>
      <c r="FP507" s="103"/>
    </row>
    <row r="508" spans="2:172" x14ac:dyDescent="0.35">
      <c r="B508" s="97"/>
      <c r="G508" s="100"/>
      <c r="K508" s="98"/>
      <c r="L508" s="101"/>
      <c r="M508" s="101"/>
      <c r="N508" s="101"/>
      <c r="O508" s="101"/>
      <c r="P508" s="102"/>
      <c r="Q508" s="101"/>
      <c r="R508" s="98"/>
      <c r="S508" s="98"/>
      <c r="T508" s="98"/>
      <c r="U508" s="98"/>
      <c r="V508" s="98"/>
      <c r="W508" s="98"/>
      <c r="X508" s="103"/>
      <c r="Y508" s="103"/>
      <c r="Z508" s="103"/>
      <c r="AA508" s="103"/>
      <c r="AB508" s="103"/>
      <c r="AC508" s="103"/>
      <c r="AD508" s="103"/>
      <c r="AE508" s="101"/>
      <c r="AF508" s="101"/>
      <c r="AG508" s="101"/>
      <c r="AH508" s="101"/>
      <c r="AI508" s="101"/>
      <c r="AJ508" s="101"/>
      <c r="AK508" s="101"/>
      <c r="AL508" s="103"/>
      <c r="AM508" s="103"/>
      <c r="AN508" s="103"/>
      <c r="AO508" s="103"/>
      <c r="AP508" s="103"/>
      <c r="AQ508" s="103"/>
      <c r="AR508" s="103"/>
      <c r="AS508" s="101"/>
      <c r="AT508" s="101"/>
      <c r="AU508" s="101"/>
      <c r="AV508" s="101"/>
      <c r="AW508" s="101"/>
      <c r="AX508" s="101"/>
      <c r="AY508" s="101"/>
      <c r="AZ508" s="103"/>
      <c r="BA508" s="103"/>
      <c r="BB508" s="103"/>
      <c r="BC508" s="101"/>
      <c r="BD508" s="101"/>
      <c r="BE508" s="101"/>
      <c r="BF508" s="101"/>
      <c r="BG508" s="101"/>
      <c r="BK508" s="101"/>
      <c r="BL508" s="101"/>
      <c r="BM508" s="101"/>
      <c r="BN508" s="101"/>
      <c r="BO508" s="101"/>
      <c r="BP508" s="101"/>
      <c r="BQ508" s="101"/>
      <c r="BR508" s="104"/>
      <c r="BS508" s="104"/>
      <c r="BT508" s="104"/>
      <c r="BU508" s="104"/>
      <c r="BV508" s="104"/>
      <c r="BW508" s="104"/>
      <c r="BX508" s="104"/>
      <c r="BY508" s="104"/>
      <c r="BZ508" s="104"/>
      <c r="CA508" s="104"/>
      <c r="CB508" s="104"/>
      <c r="CC508" s="104"/>
      <c r="CD508" s="104"/>
      <c r="CE508" s="104"/>
      <c r="CF508" s="104"/>
      <c r="CG508" s="104"/>
      <c r="CH508" s="104"/>
      <c r="CI508" s="104"/>
      <c r="CJ508" s="104"/>
      <c r="CK508" s="104"/>
      <c r="CL508" s="104"/>
      <c r="CM508" s="104"/>
      <c r="CN508" s="98"/>
      <c r="CP508" s="101"/>
      <c r="CQ508" s="101"/>
      <c r="CR508" s="101"/>
      <c r="CS508" s="101"/>
      <c r="CT508" s="101"/>
      <c r="FJ508" s="103"/>
      <c r="FL508" s="103"/>
      <c r="FN508" s="103"/>
      <c r="FP508" s="103"/>
    </row>
    <row r="509" spans="2:172" x14ac:dyDescent="0.35">
      <c r="B509" s="97"/>
      <c r="G509" s="100"/>
      <c r="K509" s="98"/>
      <c r="L509" s="101"/>
      <c r="M509" s="101"/>
      <c r="N509" s="101"/>
      <c r="O509" s="101"/>
      <c r="P509" s="102"/>
      <c r="Q509" s="101"/>
      <c r="R509" s="98"/>
      <c r="S509" s="98"/>
      <c r="T509" s="98"/>
      <c r="U509" s="98"/>
      <c r="V509" s="98"/>
      <c r="W509" s="98"/>
      <c r="X509" s="103"/>
      <c r="Y509" s="103"/>
      <c r="Z509" s="103"/>
      <c r="AA509" s="103"/>
      <c r="AB509" s="103"/>
      <c r="AC509" s="103"/>
      <c r="AD509" s="103"/>
      <c r="AE509" s="101"/>
      <c r="AF509" s="101"/>
      <c r="AG509" s="101"/>
      <c r="AH509" s="101"/>
      <c r="AI509" s="101"/>
      <c r="AJ509" s="101"/>
      <c r="AK509" s="101"/>
      <c r="AL509" s="103"/>
      <c r="AM509" s="103"/>
      <c r="AN509" s="103"/>
      <c r="AO509" s="103"/>
      <c r="AP509" s="103"/>
      <c r="AQ509" s="103"/>
      <c r="AR509" s="103"/>
      <c r="AS509" s="101"/>
      <c r="AT509" s="101"/>
      <c r="AU509" s="101"/>
      <c r="AV509" s="101"/>
      <c r="AW509" s="101"/>
      <c r="AX509" s="101"/>
      <c r="AY509" s="101"/>
      <c r="AZ509" s="103"/>
      <c r="BA509" s="103"/>
      <c r="BB509" s="103"/>
      <c r="BC509" s="101"/>
      <c r="BD509" s="101"/>
      <c r="BE509" s="101"/>
      <c r="BF509" s="101"/>
      <c r="BG509" s="101"/>
      <c r="BK509" s="101"/>
      <c r="BL509" s="101"/>
      <c r="BM509" s="101"/>
      <c r="BN509" s="101"/>
      <c r="BO509" s="101"/>
      <c r="BP509" s="101"/>
      <c r="BQ509" s="101"/>
      <c r="BR509" s="104"/>
      <c r="BS509" s="104"/>
      <c r="BT509" s="104"/>
      <c r="BU509" s="104"/>
      <c r="BV509" s="104"/>
      <c r="BW509" s="104"/>
      <c r="BX509" s="104"/>
      <c r="BY509" s="104"/>
      <c r="BZ509" s="104"/>
      <c r="CA509" s="104"/>
      <c r="CB509" s="104"/>
      <c r="CC509" s="104"/>
      <c r="CD509" s="104"/>
      <c r="CE509" s="104"/>
      <c r="CF509" s="104"/>
      <c r="CG509" s="104"/>
      <c r="CH509" s="104"/>
      <c r="CI509" s="104"/>
      <c r="CJ509" s="104"/>
      <c r="CK509" s="104"/>
      <c r="CL509" s="104"/>
      <c r="CM509" s="104"/>
      <c r="CN509" s="98"/>
      <c r="CP509" s="101"/>
      <c r="CQ509" s="101"/>
      <c r="CR509" s="101"/>
      <c r="CS509" s="101"/>
      <c r="CT509" s="101"/>
      <c r="FJ509" s="103"/>
      <c r="FL509" s="103"/>
      <c r="FN509" s="103"/>
      <c r="FP509" s="103"/>
    </row>
    <row r="510" spans="2:172" x14ac:dyDescent="0.35">
      <c r="B510" s="97"/>
      <c r="G510" s="100"/>
      <c r="K510" s="98"/>
      <c r="L510" s="101"/>
      <c r="M510" s="101"/>
      <c r="N510" s="101"/>
      <c r="O510" s="101"/>
      <c r="P510" s="102"/>
      <c r="Q510" s="101"/>
      <c r="R510" s="98"/>
      <c r="S510" s="98"/>
      <c r="T510" s="98"/>
      <c r="U510" s="98"/>
      <c r="V510" s="98"/>
      <c r="W510" s="98"/>
      <c r="X510" s="103"/>
      <c r="Y510" s="103"/>
      <c r="Z510" s="103"/>
      <c r="AA510" s="103"/>
      <c r="AB510" s="103"/>
      <c r="AC510" s="103"/>
      <c r="AD510" s="103"/>
      <c r="AE510" s="101"/>
      <c r="AF510" s="101"/>
      <c r="AG510" s="101"/>
      <c r="AH510" s="101"/>
      <c r="AI510" s="101"/>
      <c r="AJ510" s="101"/>
      <c r="AK510" s="101"/>
      <c r="AL510" s="103"/>
      <c r="AM510" s="103"/>
      <c r="AN510" s="103"/>
      <c r="AO510" s="103"/>
      <c r="AP510" s="103"/>
      <c r="AQ510" s="103"/>
      <c r="AR510" s="103"/>
      <c r="AS510" s="101"/>
      <c r="AT510" s="101"/>
      <c r="AU510" s="101"/>
      <c r="AV510" s="101"/>
      <c r="AW510" s="101"/>
      <c r="AX510" s="101"/>
      <c r="AY510" s="101"/>
      <c r="AZ510" s="103"/>
      <c r="BA510" s="103"/>
      <c r="BB510" s="103"/>
      <c r="BC510" s="101"/>
      <c r="BD510" s="101"/>
      <c r="BE510" s="101"/>
      <c r="BF510" s="101"/>
      <c r="BG510" s="101"/>
      <c r="BK510" s="101"/>
      <c r="BL510" s="101"/>
      <c r="BM510" s="101"/>
      <c r="BN510" s="101"/>
      <c r="BO510" s="101"/>
      <c r="BP510" s="101"/>
      <c r="BQ510" s="101"/>
      <c r="BR510" s="104"/>
      <c r="BS510" s="104"/>
      <c r="BT510" s="104"/>
      <c r="BU510" s="104"/>
      <c r="BV510" s="104"/>
      <c r="BW510" s="104"/>
      <c r="BX510" s="104"/>
      <c r="BY510" s="104"/>
      <c r="BZ510" s="104"/>
      <c r="CA510" s="104"/>
      <c r="CB510" s="104"/>
      <c r="CC510" s="104"/>
      <c r="CD510" s="104"/>
      <c r="CE510" s="104"/>
      <c r="CF510" s="104"/>
      <c r="CG510" s="104"/>
      <c r="CH510" s="104"/>
      <c r="CI510" s="104"/>
      <c r="CJ510" s="104"/>
      <c r="CK510" s="104"/>
      <c r="CL510" s="104"/>
      <c r="CM510" s="104"/>
      <c r="CN510" s="98"/>
      <c r="CP510" s="101"/>
      <c r="CQ510" s="101"/>
      <c r="CR510" s="101"/>
      <c r="CS510" s="101"/>
      <c r="CT510" s="101"/>
      <c r="FJ510" s="103"/>
      <c r="FL510" s="103"/>
      <c r="FN510" s="103"/>
      <c r="FP510" s="103"/>
    </row>
    <row r="511" spans="2:172" x14ac:dyDescent="0.35">
      <c r="B511" s="97"/>
      <c r="G511" s="100"/>
      <c r="K511" s="98"/>
      <c r="L511" s="101"/>
      <c r="M511" s="101"/>
      <c r="N511" s="101"/>
      <c r="O511" s="101"/>
      <c r="P511" s="102"/>
      <c r="Q511" s="101"/>
      <c r="R511" s="98"/>
      <c r="S511" s="98"/>
      <c r="T511" s="98"/>
      <c r="U511" s="98"/>
      <c r="V511" s="98"/>
      <c r="W511" s="98"/>
      <c r="X511" s="103"/>
      <c r="Y511" s="103"/>
      <c r="Z511" s="103"/>
      <c r="AA511" s="103"/>
      <c r="AB511" s="103"/>
      <c r="AC511" s="103"/>
      <c r="AD511" s="103"/>
      <c r="AE511" s="101"/>
      <c r="AF511" s="101"/>
      <c r="AG511" s="101"/>
      <c r="AH511" s="101"/>
      <c r="AI511" s="101"/>
      <c r="AJ511" s="101"/>
      <c r="AK511" s="101"/>
      <c r="AL511" s="103"/>
      <c r="AM511" s="103"/>
      <c r="AN511" s="103"/>
      <c r="AO511" s="103"/>
      <c r="AP511" s="103"/>
      <c r="AQ511" s="103"/>
      <c r="AR511" s="103"/>
      <c r="AS511" s="101"/>
      <c r="AT511" s="101"/>
      <c r="AU511" s="101"/>
      <c r="AV511" s="101"/>
      <c r="AW511" s="101"/>
      <c r="AX511" s="101"/>
      <c r="AY511" s="101"/>
      <c r="AZ511" s="103"/>
      <c r="BA511" s="103"/>
      <c r="BB511" s="103"/>
      <c r="BC511" s="101"/>
      <c r="BD511" s="101"/>
      <c r="BE511" s="101"/>
      <c r="BF511" s="101"/>
      <c r="BG511" s="101"/>
      <c r="BK511" s="101"/>
      <c r="BL511" s="101"/>
      <c r="BM511" s="101"/>
      <c r="BN511" s="101"/>
      <c r="BO511" s="101"/>
      <c r="BP511" s="101"/>
      <c r="BQ511" s="101"/>
      <c r="BR511" s="104"/>
      <c r="BS511" s="104"/>
      <c r="BT511" s="104"/>
      <c r="BU511" s="104"/>
      <c r="BV511" s="104"/>
      <c r="BW511" s="104"/>
      <c r="BX511" s="104"/>
      <c r="BY511" s="104"/>
      <c r="BZ511" s="104"/>
      <c r="CA511" s="104"/>
      <c r="CB511" s="104"/>
      <c r="CC511" s="104"/>
      <c r="CD511" s="104"/>
      <c r="CE511" s="104"/>
      <c r="CF511" s="104"/>
      <c r="CG511" s="104"/>
      <c r="CH511" s="104"/>
      <c r="CI511" s="104"/>
      <c r="CJ511" s="104"/>
      <c r="CK511" s="104"/>
      <c r="CL511" s="104"/>
      <c r="CM511" s="104"/>
      <c r="CN511" s="98"/>
      <c r="CP511" s="101"/>
      <c r="CQ511" s="101"/>
      <c r="CR511" s="101"/>
      <c r="CS511" s="101"/>
      <c r="CT511" s="101"/>
      <c r="FJ511" s="103"/>
      <c r="FL511" s="103"/>
      <c r="FN511" s="103"/>
      <c r="FP511" s="103"/>
    </row>
    <row r="512" spans="2:172" x14ac:dyDescent="0.35">
      <c r="B512" s="97"/>
      <c r="G512" s="100"/>
      <c r="K512" s="98"/>
      <c r="L512" s="101"/>
      <c r="M512" s="101"/>
      <c r="N512" s="101"/>
      <c r="O512" s="101"/>
      <c r="P512" s="102"/>
      <c r="Q512" s="101"/>
      <c r="R512" s="98"/>
      <c r="S512" s="98"/>
      <c r="T512" s="98"/>
      <c r="U512" s="98"/>
      <c r="V512" s="98"/>
      <c r="W512" s="98"/>
      <c r="X512" s="103"/>
      <c r="Y512" s="103"/>
      <c r="Z512" s="103"/>
      <c r="AA512" s="103"/>
      <c r="AB512" s="103"/>
      <c r="AC512" s="103"/>
      <c r="AD512" s="103"/>
      <c r="AE512" s="101"/>
      <c r="AF512" s="101"/>
      <c r="AG512" s="101"/>
      <c r="AH512" s="101"/>
      <c r="AI512" s="101"/>
      <c r="AJ512" s="101"/>
      <c r="AK512" s="101"/>
      <c r="AL512" s="103"/>
      <c r="AM512" s="103"/>
      <c r="AN512" s="103"/>
      <c r="AO512" s="103"/>
      <c r="AP512" s="103"/>
      <c r="AQ512" s="103"/>
      <c r="AR512" s="103"/>
      <c r="AS512" s="101"/>
      <c r="AT512" s="101"/>
      <c r="AU512" s="101"/>
      <c r="AV512" s="101"/>
      <c r="AW512" s="101"/>
      <c r="AX512" s="101"/>
      <c r="AY512" s="101"/>
      <c r="AZ512" s="103"/>
      <c r="BA512" s="103"/>
      <c r="BB512" s="103"/>
      <c r="BC512" s="101"/>
      <c r="BD512" s="101"/>
      <c r="BE512" s="101"/>
      <c r="BF512" s="101"/>
      <c r="BG512" s="101"/>
      <c r="BK512" s="101"/>
      <c r="BL512" s="101"/>
      <c r="BM512" s="101"/>
      <c r="BN512" s="101"/>
      <c r="BO512" s="101"/>
      <c r="BP512" s="101"/>
      <c r="BQ512" s="101"/>
      <c r="BR512" s="104"/>
      <c r="BS512" s="104"/>
      <c r="BT512" s="104"/>
      <c r="BU512" s="104"/>
      <c r="BV512" s="104"/>
      <c r="BW512" s="104"/>
      <c r="BX512" s="104"/>
      <c r="BY512" s="104"/>
      <c r="BZ512" s="104"/>
      <c r="CA512" s="104"/>
      <c r="CB512" s="104"/>
      <c r="CC512" s="104"/>
      <c r="CD512" s="104"/>
      <c r="CE512" s="104"/>
      <c r="CF512" s="104"/>
      <c r="CG512" s="104"/>
      <c r="CH512" s="104"/>
      <c r="CI512" s="104"/>
      <c r="CJ512" s="104"/>
      <c r="CK512" s="104"/>
      <c r="CL512" s="104"/>
      <c r="CM512" s="104"/>
      <c r="CN512" s="98"/>
      <c r="CP512" s="101"/>
      <c r="CQ512" s="101"/>
      <c r="CR512" s="101"/>
      <c r="CS512" s="101"/>
      <c r="CT512" s="101"/>
      <c r="FJ512" s="103"/>
      <c r="FL512" s="103"/>
      <c r="FN512" s="103"/>
      <c r="FP512" s="103"/>
    </row>
    <row r="513" spans="2:172" x14ac:dyDescent="0.35">
      <c r="B513" s="97"/>
      <c r="G513" s="100"/>
      <c r="K513" s="98"/>
      <c r="L513" s="101"/>
      <c r="M513" s="101"/>
      <c r="N513" s="101"/>
      <c r="O513" s="101"/>
      <c r="P513" s="102"/>
      <c r="Q513" s="101"/>
      <c r="R513" s="98"/>
      <c r="S513" s="98"/>
      <c r="T513" s="98"/>
      <c r="U513" s="98"/>
      <c r="V513" s="98"/>
      <c r="W513" s="98"/>
      <c r="X513" s="103"/>
      <c r="Y513" s="103"/>
      <c r="Z513" s="103"/>
      <c r="AA513" s="103"/>
      <c r="AB513" s="103"/>
      <c r="AC513" s="103"/>
      <c r="AD513" s="103"/>
      <c r="AE513" s="101"/>
      <c r="AF513" s="101"/>
      <c r="AG513" s="101"/>
      <c r="AH513" s="101"/>
      <c r="AI513" s="101"/>
      <c r="AJ513" s="101"/>
      <c r="AK513" s="101"/>
      <c r="AL513" s="103"/>
      <c r="AM513" s="103"/>
      <c r="AN513" s="103"/>
      <c r="AO513" s="103"/>
      <c r="AP513" s="103"/>
      <c r="AQ513" s="103"/>
      <c r="AR513" s="103"/>
      <c r="AS513" s="101"/>
      <c r="AT513" s="101"/>
      <c r="AU513" s="101"/>
      <c r="AV513" s="101"/>
      <c r="AW513" s="101"/>
      <c r="AX513" s="101"/>
      <c r="AY513" s="101"/>
      <c r="AZ513" s="103"/>
      <c r="BA513" s="103"/>
      <c r="BB513" s="103"/>
      <c r="BC513" s="101"/>
      <c r="BD513" s="101"/>
      <c r="BE513" s="101"/>
      <c r="BF513" s="101"/>
      <c r="BG513" s="101"/>
      <c r="BK513" s="101"/>
      <c r="BL513" s="101"/>
      <c r="BM513" s="101"/>
      <c r="BN513" s="101"/>
      <c r="BO513" s="101"/>
      <c r="BP513" s="101"/>
      <c r="BQ513" s="101"/>
      <c r="BR513" s="104"/>
      <c r="BS513" s="104"/>
      <c r="BT513" s="104"/>
      <c r="BU513" s="104"/>
      <c r="BV513" s="104"/>
      <c r="BW513" s="104"/>
      <c r="BX513" s="104"/>
      <c r="BY513" s="104"/>
      <c r="BZ513" s="104"/>
      <c r="CA513" s="104"/>
      <c r="CB513" s="104"/>
      <c r="CC513" s="104"/>
      <c r="CD513" s="104"/>
      <c r="CE513" s="104"/>
      <c r="CF513" s="104"/>
      <c r="CG513" s="104"/>
      <c r="CH513" s="104"/>
      <c r="CI513" s="104"/>
      <c r="CJ513" s="104"/>
      <c r="CK513" s="104"/>
      <c r="CL513" s="104"/>
      <c r="CM513" s="104"/>
      <c r="CN513" s="98"/>
      <c r="CP513" s="101"/>
      <c r="CQ513" s="101"/>
      <c r="CR513" s="101"/>
      <c r="CS513" s="101"/>
      <c r="CT513" s="101"/>
      <c r="FJ513" s="103"/>
      <c r="FL513" s="103"/>
      <c r="FN513" s="103"/>
      <c r="FP513" s="103"/>
    </row>
    <row r="514" spans="2:172" x14ac:dyDescent="0.35">
      <c r="B514" s="97"/>
      <c r="G514" s="100"/>
      <c r="K514" s="98"/>
      <c r="L514" s="101"/>
      <c r="M514" s="101"/>
      <c r="N514" s="101"/>
      <c r="O514" s="101"/>
      <c r="P514" s="102"/>
      <c r="Q514" s="101"/>
      <c r="R514" s="98"/>
      <c r="S514" s="98"/>
      <c r="T514" s="98"/>
      <c r="U514" s="98"/>
      <c r="V514" s="98"/>
      <c r="W514" s="98"/>
      <c r="X514" s="103"/>
      <c r="Y514" s="103"/>
      <c r="Z514" s="103"/>
      <c r="AA514" s="103"/>
      <c r="AB514" s="103"/>
      <c r="AC514" s="103"/>
      <c r="AD514" s="103"/>
      <c r="AE514" s="101"/>
      <c r="AF514" s="101"/>
      <c r="AG514" s="101"/>
      <c r="AH514" s="101"/>
      <c r="AI514" s="101"/>
      <c r="AJ514" s="101"/>
      <c r="AK514" s="101"/>
      <c r="AL514" s="103"/>
      <c r="AM514" s="103"/>
      <c r="AN514" s="103"/>
      <c r="AO514" s="103"/>
      <c r="AP514" s="103"/>
      <c r="AQ514" s="103"/>
      <c r="AR514" s="103"/>
      <c r="AS514" s="101"/>
      <c r="AT514" s="101"/>
      <c r="AU514" s="101"/>
      <c r="AV514" s="101"/>
      <c r="AW514" s="101"/>
      <c r="AX514" s="101"/>
      <c r="AY514" s="101"/>
      <c r="AZ514" s="103"/>
      <c r="BA514" s="103"/>
      <c r="BB514" s="103"/>
      <c r="BC514" s="101"/>
      <c r="BD514" s="101"/>
      <c r="BE514" s="101"/>
      <c r="BF514" s="101"/>
      <c r="BG514" s="101"/>
      <c r="BK514" s="101"/>
      <c r="BL514" s="101"/>
      <c r="BM514" s="101"/>
      <c r="BN514" s="101"/>
      <c r="BO514" s="101"/>
      <c r="BP514" s="101"/>
      <c r="BQ514" s="101"/>
      <c r="BR514" s="104"/>
      <c r="BS514" s="104"/>
      <c r="BT514" s="104"/>
      <c r="BU514" s="104"/>
      <c r="BV514" s="104"/>
      <c r="BW514" s="104"/>
      <c r="BX514" s="104"/>
      <c r="BY514" s="104"/>
      <c r="BZ514" s="104"/>
      <c r="CA514" s="104"/>
      <c r="CB514" s="104"/>
      <c r="CC514" s="104"/>
      <c r="CD514" s="104"/>
      <c r="CE514" s="104"/>
      <c r="CF514" s="104"/>
      <c r="CG514" s="104"/>
      <c r="CH514" s="104"/>
      <c r="CI514" s="104"/>
      <c r="CJ514" s="104"/>
      <c r="CK514" s="104"/>
      <c r="CL514" s="104"/>
      <c r="CM514" s="104"/>
      <c r="CN514" s="98"/>
      <c r="CP514" s="101"/>
      <c r="CQ514" s="101"/>
      <c r="CR514" s="101"/>
      <c r="CS514" s="101"/>
      <c r="CT514" s="101"/>
      <c r="FJ514" s="103"/>
      <c r="FL514" s="103"/>
      <c r="FN514" s="103"/>
      <c r="FP514" s="103"/>
    </row>
    <row r="515" spans="2:172" x14ac:dyDescent="0.35">
      <c r="B515" s="97"/>
      <c r="G515" s="100"/>
      <c r="K515" s="98"/>
      <c r="L515" s="101"/>
      <c r="M515" s="101"/>
      <c r="N515" s="101"/>
      <c r="O515" s="101"/>
      <c r="P515" s="102"/>
      <c r="Q515" s="101"/>
      <c r="R515" s="98"/>
      <c r="S515" s="98"/>
      <c r="T515" s="98"/>
      <c r="U515" s="98"/>
      <c r="V515" s="98"/>
      <c r="W515" s="98"/>
      <c r="X515" s="103"/>
      <c r="Y515" s="103"/>
      <c r="Z515" s="103"/>
      <c r="AA515" s="103"/>
      <c r="AB515" s="103"/>
      <c r="AC515" s="103"/>
      <c r="AD515" s="103"/>
      <c r="AE515" s="101"/>
      <c r="AF515" s="101"/>
      <c r="AG515" s="101"/>
      <c r="AH515" s="101"/>
      <c r="AI515" s="101"/>
      <c r="AJ515" s="101"/>
      <c r="AK515" s="101"/>
      <c r="AL515" s="103"/>
      <c r="AM515" s="103"/>
      <c r="AN515" s="103"/>
      <c r="AO515" s="103"/>
      <c r="AP515" s="103"/>
      <c r="AQ515" s="103"/>
      <c r="AR515" s="103"/>
      <c r="AS515" s="101"/>
      <c r="AT515" s="101"/>
      <c r="AU515" s="101"/>
      <c r="AV515" s="101"/>
      <c r="AW515" s="101"/>
      <c r="AX515" s="101"/>
      <c r="AY515" s="101"/>
      <c r="AZ515" s="103"/>
      <c r="BA515" s="103"/>
      <c r="BB515" s="103"/>
      <c r="BC515" s="101"/>
      <c r="BD515" s="101"/>
      <c r="BE515" s="101"/>
      <c r="BF515" s="101"/>
      <c r="BG515" s="101"/>
      <c r="BK515" s="101"/>
      <c r="BL515" s="101"/>
      <c r="BM515" s="101"/>
      <c r="BN515" s="101"/>
      <c r="BO515" s="101"/>
      <c r="BP515" s="101"/>
      <c r="BQ515" s="101"/>
      <c r="BR515" s="104"/>
      <c r="BS515" s="104"/>
      <c r="BT515" s="104"/>
      <c r="BU515" s="104"/>
      <c r="BV515" s="104"/>
      <c r="BW515" s="104"/>
      <c r="BX515" s="104"/>
      <c r="BY515" s="104"/>
      <c r="BZ515" s="104"/>
      <c r="CA515" s="104"/>
      <c r="CB515" s="104"/>
      <c r="CC515" s="104"/>
      <c r="CD515" s="104"/>
      <c r="CE515" s="104"/>
      <c r="CF515" s="104"/>
      <c r="CG515" s="104"/>
      <c r="CH515" s="104"/>
      <c r="CI515" s="104"/>
      <c r="CJ515" s="104"/>
      <c r="CK515" s="104"/>
      <c r="CL515" s="104"/>
      <c r="CM515" s="104"/>
      <c r="CN515" s="98"/>
      <c r="CP515" s="101"/>
      <c r="CQ515" s="101"/>
      <c r="CR515" s="101"/>
      <c r="CS515" s="101"/>
      <c r="CT515" s="101"/>
      <c r="FJ515" s="103"/>
      <c r="FL515" s="103"/>
      <c r="FN515" s="103"/>
      <c r="FP515" s="103"/>
    </row>
    <row r="516" spans="2:172" x14ac:dyDescent="0.35">
      <c r="B516" s="97"/>
      <c r="G516" s="100"/>
      <c r="K516" s="98"/>
      <c r="L516" s="101"/>
      <c r="M516" s="101"/>
      <c r="N516" s="101"/>
      <c r="O516" s="101"/>
      <c r="P516" s="102"/>
      <c r="Q516" s="101"/>
      <c r="R516" s="98"/>
      <c r="S516" s="98"/>
      <c r="T516" s="98"/>
      <c r="U516" s="98"/>
      <c r="V516" s="98"/>
      <c r="W516" s="98"/>
      <c r="X516" s="103"/>
      <c r="Y516" s="103"/>
      <c r="Z516" s="103"/>
      <c r="AA516" s="103"/>
      <c r="AB516" s="103"/>
      <c r="AC516" s="103"/>
      <c r="AD516" s="103"/>
      <c r="AE516" s="101"/>
      <c r="AF516" s="101"/>
      <c r="AG516" s="101"/>
      <c r="AH516" s="101"/>
      <c r="AI516" s="101"/>
      <c r="AJ516" s="101"/>
      <c r="AK516" s="101"/>
      <c r="AL516" s="103"/>
      <c r="AM516" s="103"/>
      <c r="AN516" s="103"/>
      <c r="AO516" s="103"/>
      <c r="AP516" s="103"/>
      <c r="AQ516" s="103"/>
      <c r="AR516" s="103"/>
      <c r="AS516" s="101"/>
      <c r="AT516" s="101"/>
      <c r="AU516" s="101"/>
      <c r="AV516" s="101"/>
      <c r="AW516" s="101"/>
      <c r="AX516" s="101"/>
      <c r="AY516" s="101"/>
      <c r="AZ516" s="103"/>
      <c r="BA516" s="103"/>
      <c r="BB516" s="103"/>
      <c r="BC516" s="101"/>
      <c r="BD516" s="101"/>
      <c r="BE516" s="101"/>
      <c r="BF516" s="101"/>
      <c r="BG516" s="101"/>
      <c r="BK516" s="101"/>
      <c r="BL516" s="101"/>
      <c r="BM516" s="101"/>
      <c r="BN516" s="101"/>
      <c r="BO516" s="101"/>
      <c r="BP516" s="101"/>
      <c r="BQ516" s="101"/>
      <c r="BR516" s="104"/>
      <c r="BS516" s="104"/>
      <c r="BT516" s="104"/>
      <c r="BU516" s="104"/>
      <c r="BV516" s="104"/>
      <c r="BW516" s="104"/>
      <c r="BX516" s="104"/>
      <c r="BY516" s="104"/>
      <c r="BZ516" s="104"/>
      <c r="CA516" s="104"/>
      <c r="CB516" s="104"/>
      <c r="CC516" s="104"/>
      <c r="CD516" s="104"/>
      <c r="CE516" s="104"/>
      <c r="CF516" s="104"/>
      <c r="CG516" s="104"/>
      <c r="CH516" s="104"/>
      <c r="CI516" s="104"/>
      <c r="CJ516" s="104"/>
      <c r="CK516" s="104"/>
      <c r="CL516" s="104"/>
      <c r="CM516" s="104"/>
      <c r="CN516" s="98"/>
      <c r="CP516" s="101"/>
      <c r="CQ516" s="101"/>
      <c r="CR516" s="101"/>
      <c r="CS516" s="101"/>
      <c r="CT516" s="101"/>
      <c r="FJ516" s="103"/>
      <c r="FL516" s="103"/>
      <c r="FN516" s="103"/>
      <c r="FP516" s="103"/>
    </row>
    <row r="517" spans="2:172" x14ac:dyDescent="0.35">
      <c r="B517" s="97"/>
      <c r="G517" s="100"/>
      <c r="K517" s="98"/>
      <c r="L517" s="101"/>
      <c r="M517" s="101"/>
      <c r="N517" s="101"/>
      <c r="O517" s="101"/>
      <c r="P517" s="102"/>
      <c r="Q517" s="101"/>
      <c r="R517" s="98"/>
      <c r="S517" s="98"/>
      <c r="T517" s="98"/>
      <c r="U517" s="98"/>
      <c r="V517" s="98"/>
      <c r="W517" s="98"/>
      <c r="X517" s="103"/>
      <c r="Y517" s="103"/>
      <c r="Z517" s="103"/>
      <c r="AA517" s="103"/>
      <c r="AB517" s="103"/>
      <c r="AC517" s="103"/>
      <c r="AD517" s="103"/>
      <c r="AE517" s="101"/>
      <c r="AF517" s="101"/>
      <c r="AG517" s="101"/>
      <c r="AH517" s="101"/>
      <c r="AI517" s="101"/>
      <c r="AJ517" s="101"/>
      <c r="AK517" s="101"/>
      <c r="AL517" s="103"/>
      <c r="AM517" s="103"/>
      <c r="AN517" s="103"/>
      <c r="AO517" s="103"/>
      <c r="AP517" s="103"/>
      <c r="AQ517" s="103"/>
      <c r="AR517" s="103"/>
      <c r="AS517" s="101"/>
      <c r="AT517" s="101"/>
      <c r="AU517" s="101"/>
      <c r="AV517" s="101"/>
      <c r="AW517" s="101"/>
      <c r="AX517" s="101"/>
      <c r="AY517" s="101"/>
      <c r="AZ517" s="103"/>
      <c r="BA517" s="103"/>
      <c r="BB517" s="103"/>
      <c r="BC517" s="101"/>
      <c r="BD517" s="101"/>
      <c r="BE517" s="101"/>
      <c r="BF517" s="101"/>
      <c r="BG517" s="101"/>
      <c r="BK517" s="101"/>
      <c r="BL517" s="101"/>
      <c r="BM517" s="101"/>
      <c r="BN517" s="101"/>
      <c r="BO517" s="101"/>
      <c r="BP517" s="101"/>
      <c r="BQ517" s="101"/>
      <c r="BR517" s="104"/>
      <c r="BS517" s="104"/>
      <c r="BT517" s="104"/>
      <c r="BU517" s="104"/>
      <c r="BV517" s="104"/>
      <c r="BW517" s="104"/>
      <c r="BX517" s="104"/>
      <c r="BY517" s="104"/>
      <c r="BZ517" s="104"/>
      <c r="CA517" s="104"/>
      <c r="CB517" s="104"/>
      <c r="CC517" s="104"/>
      <c r="CD517" s="104"/>
      <c r="CE517" s="104"/>
      <c r="CF517" s="104"/>
      <c r="CG517" s="104"/>
      <c r="CH517" s="104"/>
      <c r="CI517" s="104"/>
      <c r="CJ517" s="104"/>
      <c r="CK517" s="104"/>
      <c r="CL517" s="104"/>
      <c r="CM517" s="104"/>
      <c r="CN517" s="98"/>
      <c r="CP517" s="101"/>
      <c r="CQ517" s="101"/>
      <c r="CR517" s="101"/>
      <c r="CS517" s="101"/>
      <c r="CT517" s="101"/>
      <c r="FJ517" s="103"/>
      <c r="FL517" s="103"/>
      <c r="FN517" s="103"/>
      <c r="FP517" s="103"/>
    </row>
    <row r="518" spans="2:172" x14ac:dyDescent="0.35">
      <c r="B518" s="97"/>
      <c r="G518" s="100"/>
      <c r="K518" s="98"/>
      <c r="L518" s="101"/>
      <c r="M518" s="101"/>
      <c r="N518" s="101"/>
      <c r="O518" s="101"/>
      <c r="P518" s="102"/>
      <c r="Q518" s="101"/>
      <c r="R518" s="98"/>
      <c r="S518" s="98"/>
      <c r="T518" s="98"/>
      <c r="U518" s="98"/>
      <c r="V518" s="98"/>
      <c r="W518" s="98"/>
      <c r="X518" s="103"/>
      <c r="Y518" s="103"/>
      <c r="Z518" s="103"/>
      <c r="AA518" s="103"/>
      <c r="AB518" s="103"/>
      <c r="AC518" s="103"/>
      <c r="AD518" s="103"/>
      <c r="AE518" s="101"/>
      <c r="AF518" s="101"/>
      <c r="AG518" s="101"/>
      <c r="AH518" s="101"/>
      <c r="AI518" s="101"/>
      <c r="AJ518" s="101"/>
      <c r="AK518" s="101"/>
      <c r="AL518" s="103"/>
      <c r="AM518" s="103"/>
      <c r="AN518" s="103"/>
      <c r="AO518" s="103"/>
      <c r="AP518" s="103"/>
      <c r="AQ518" s="103"/>
      <c r="AR518" s="103"/>
      <c r="AS518" s="101"/>
      <c r="AT518" s="101"/>
      <c r="AU518" s="101"/>
      <c r="AV518" s="101"/>
      <c r="AW518" s="101"/>
      <c r="AX518" s="101"/>
      <c r="AY518" s="101"/>
      <c r="AZ518" s="103"/>
      <c r="BA518" s="103"/>
      <c r="BB518" s="103"/>
      <c r="BC518" s="101"/>
      <c r="BD518" s="101"/>
      <c r="BE518" s="101"/>
      <c r="BF518" s="101"/>
      <c r="BG518" s="101"/>
      <c r="BK518" s="101"/>
      <c r="BL518" s="101"/>
      <c r="BM518" s="101"/>
      <c r="BN518" s="101"/>
      <c r="BO518" s="101"/>
      <c r="BP518" s="101"/>
      <c r="BQ518" s="101"/>
      <c r="BR518" s="104"/>
      <c r="BS518" s="104"/>
      <c r="BT518" s="104"/>
      <c r="BU518" s="104"/>
      <c r="BV518" s="104"/>
      <c r="BW518" s="104"/>
      <c r="BX518" s="104"/>
      <c r="BY518" s="104"/>
      <c r="BZ518" s="104"/>
      <c r="CA518" s="104"/>
      <c r="CB518" s="104"/>
      <c r="CC518" s="104"/>
      <c r="CD518" s="104"/>
      <c r="CE518" s="104"/>
      <c r="CF518" s="104"/>
      <c r="CG518" s="104"/>
      <c r="CH518" s="104"/>
      <c r="CI518" s="104"/>
      <c r="CJ518" s="104"/>
      <c r="CK518" s="104"/>
      <c r="CL518" s="104"/>
      <c r="CM518" s="104"/>
      <c r="CN518" s="98"/>
      <c r="CP518" s="101"/>
      <c r="CQ518" s="101"/>
      <c r="CR518" s="101"/>
      <c r="CS518" s="101"/>
      <c r="CT518" s="101"/>
      <c r="FJ518" s="103"/>
      <c r="FL518" s="103"/>
      <c r="FN518" s="103"/>
      <c r="FP518" s="103"/>
    </row>
    <row r="519" spans="2:172" x14ac:dyDescent="0.35">
      <c r="B519" s="97"/>
      <c r="G519" s="100"/>
      <c r="K519" s="98"/>
      <c r="L519" s="101"/>
      <c r="M519" s="101"/>
      <c r="N519" s="101"/>
      <c r="O519" s="101"/>
      <c r="P519" s="102"/>
      <c r="Q519" s="101"/>
      <c r="R519" s="98"/>
      <c r="S519" s="98"/>
      <c r="T519" s="98"/>
      <c r="U519" s="98"/>
      <c r="V519" s="98"/>
      <c r="W519" s="98"/>
      <c r="X519" s="103"/>
      <c r="Y519" s="103"/>
      <c r="Z519" s="103"/>
      <c r="AA519" s="103"/>
      <c r="AB519" s="103"/>
      <c r="AC519" s="103"/>
      <c r="AD519" s="103"/>
      <c r="AE519" s="101"/>
      <c r="AF519" s="101"/>
      <c r="AG519" s="101"/>
      <c r="AH519" s="101"/>
      <c r="AI519" s="101"/>
      <c r="AJ519" s="101"/>
      <c r="AK519" s="101"/>
      <c r="AL519" s="103"/>
      <c r="AM519" s="103"/>
      <c r="AN519" s="103"/>
      <c r="AO519" s="103"/>
      <c r="AP519" s="103"/>
      <c r="AQ519" s="103"/>
      <c r="AR519" s="103"/>
      <c r="AS519" s="101"/>
      <c r="AT519" s="101"/>
      <c r="AU519" s="101"/>
      <c r="AV519" s="101"/>
      <c r="AW519" s="101"/>
      <c r="AX519" s="101"/>
      <c r="AY519" s="101"/>
      <c r="AZ519" s="103"/>
      <c r="BA519" s="103"/>
      <c r="BB519" s="103"/>
      <c r="BC519" s="101"/>
      <c r="BD519" s="101"/>
      <c r="BE519" s="101"/>
      <c r="BF519" s="101"/>
      <c r="BG519" s="101"/>
      <c r="BK519" s="101"/>
      <c r="BL519" s="101"/>
      <c r="BM519" s="101"/>
      <c r="BN519" s="101"/>
      <c r="BO519" s="101"/>
      <c r="BP519" s="101"/>
      <c r="BQ519" s="101"/>
      <c r="BR519" s="104"/>
      <c r="BS519" s="104"/>
      <c r="BT519" s="104"/>
      <c r="BU519" s="104"/>
      <c r="BV519" s="104"/>
      <c r="BW519" s="104"/>
      <c r="BX519" s="104"/>
      <c r="BY519" s="104"/>
      <c r="BZ519" s="104"/>
      <c r="CA519" s="104"/>
      <c r="CB519" s="104"/>
      <c r="CC519" s="104"/>
      <c r="CD519" s="104"/>
      <c r="CE519" s="104"/>
      <c r="CF519" s="104"/>
      <c r="CG519" s="104"/>
      <c r="CH519" s="104"/>
      <c r="CI519" s="104"/>
      <c r="CJ519" s="104"/>
      <c r="CK519" s="104"/>
      <c r="CL519" s="104"/>
      <c r="CM519" s="104"/>
      <c r="CN519" s="98"/>
      <c r="CP519" s="101"/>
      <c r="CQ519" s="101"/>
      <c r="CR519" s="101"/>
      <c r="CS519" s="101"/>
      <c r="CT519" s="101"/>
      <c r="FJ519" s="103"/>
      <c r="FL519" s="103"/>
      <c r="FN519" s="103"/>
      <c r="FP519" s="103"/>
    </row>
    <row r="520" spans="2:172" x14ac:dyDescent="0.35">
      <c r="B520" s="97"/>
      <c r="G520" s="100"/>
      <c r="K520" s="98"/>
      <c r="L520" s="101"/>
      <c r="M520" s="101"/>
      <c r="N520" s="101"/>
      <c r="O520" s="101"/>
      <c r="P520" s="102"/>
      <c r="Q520" s="101"/>
      <c r="R520" s="98"/>
      <c r="S520" s="98"/>
      <c r="T520" s="98"/>
      <c r="U520" s="98"/>
      <c r="V520" s="98"/>
      <c r="W520" s="98"/>
      <c r="X520" s="103"/>
      <c r="Y520" s="103"/>
      <c r="Z520" s="103"/>
      <c r="AA520" s="103"/>
      <c r="AB520" s="103"/>
      <c r="AC520" s="103"/>
      <c r="AD520" s="103"/>
      <c r="AE520" s="101"/>
      <c r="AF520" s="101"/>
      <c r="AG520" s="101"/>
      <c r="AH520" s="101"/>
      <c r="AI520" s="101"/>
      <c r="AJ520" s="101"/>
      <c r="AK520" s="101"/>
      <c r="AL520" s="103"/>
      <c r="AM520" s="103"/>
      <c r="AN520" s="103"/>
      <c r="AO520" s="103"/>
      <c r="AP520" s="103"/>
      <c r="AQ520" s="103"/>
      <c r="AR520" s="103"/>
      <c r="AS520" s="101"/>
      <c r="AT520" s="101"/>
      <c r="AU520" s="101"/>
      <c r="AV520" s="101"/>
      <c r="AW520" s="101"/>
      <c r="AX520" s="101"/>
      <c r="AY520" s="101"/>
      <c r="AZ520" s="103"/>
      <c r="BA520" s="103"/>
      <c r="BB520" s="103"/>
      <c r="BC520" s="101"/>
      <c r="BD520" s="101"/>
      <c r="BE520" s="101"/>
      <c r="BF520" s="101"/>
      <c r="BG520" s="101"/>
      <c r="BK520" s="101"/>
      <c r="BL520" s="101"/>
      <c r="BM520" s="101"/>
      <c r="BN520" s="101"/>
      <c r="BO520" s="101"/>
      <c r="BP520" s="101"/>
      <c r="BQ520" s="101"/>
      <c r="BR520" s="104"/>
      <c r="BS520" s="104"/>
      <c r="BT520" s="104"/>
      <c r="BU520" s="104"/>
      <c r="BV520" s="104"/>
      <c r="BW520" s="104"/>
      <c r="BX520" s="104"/>
      <c r="BY520" s="104"/>
      <c r="BZ520" s="104"/>
      <c r="CA520" s="104"/>
      <c r="CB520" s="104"/>
      <c r="CC520" s="104"/>
      <c r="CD520" s="104"/>
      <c r="CE520" s="104"/>
      <c r="CF520" s="104"/>
      <c r="CG520" s="104"/>
      <c r="CH520" s="104"/>
      <c r="CI520" s="104"/>
      <c r="CJ520" s="104"/>
      <c r="CK520" s="104"/>
      <c r="CL520" s="104"/>
      <c r="CM520" s="104"/>
      <c r="CN520" s="98"/>
      <c r="CP520" s="101"/>
      <c r="CQ520" s="101"/>
      <c r="CR520" s="101"/>
      <c r="CS520" s="101"/>
      <c r="CT520" s="101"/>
      <c r="FJ520" s="103"/>
      <c r="FL520" s="103"/>
      <c r="FN520" s="103"/>
      <c r="FP520" s="103"/>
    </row>
    <row r="521" spans="2:172" x14ac:dyDescent="0.35">
      <c r="B521" s="97"/>
      <c r="G521" s="100"/>
      <c r="K521" s="98"/>
      <c r="L521" s="101"/>
      <c r="M521" s="101"/>
      <c r="N521" s="101"/>
      <c r="O521" s="101"/>
      <c r="P521" s="102"/>
      <c r="Q521" s="101"/>
      <c r="R521" s="98"/>
      <c r="S521" s="98"/>
      <c r="T521" s="98"/>
      <c r="U521" s="98"/>
      <c r="V521" s="98"/>
      <c r="W521" s="98"/>
      <c r="X521" s="103"/>
      <c r="Y521" s="103"/>
      <c r="Z521" s="103"/>
      <c r="AA521" s="103"/>
      <c r="AB521" s="103"/>
      <c r="AC521" s="103"/>
      <c r="AD521" s="103"/>
      <c r="AE521" s="101"/>
      <c r="AF521" s="101"/>
      <c r="AG521" s="101"/>
      <c r="AH521" s="101"/>
      <c r="AI521" s="101"/>
      <c r="AJ521" s="101"/>
      <c r="AK521" s="101"/>
      <c r="AL521" s="103"/>
      <c r="AM521" s="103"/>
      <c r="AN521" s="103"/>
      <c r="AO521" s="103"/>
      <c r="AP521" s="103"/>
      <c r="AQ521" s="103"/>
      <c r="AR521" s="103"/>
      <c r="AS521" s="101"/>
      <c r="AT521" s="101"/>
      <c r="AU521" s="101"/>
      <c r="AV521" s="101"/>
      <c r="AW521" s="101"/>
      <c r="AX521" s="101"/>
      <c r="AY521" s="101"/>
      <c r="AZ521" s="103"/>
      <c r="BA521" s="103"/>
      <c r="BB521" s="103"/>
      <c r="BC521" s="101"/>
      <c r="BD521" s="101"/>
      <c r="BE521" s="101"/>
      <c r="BF521" s="101"/>
      <c r="BG521" s="101"/>
      <c r="BK521" s="101"/>
      <c r="BL521" s="101"/>
      <c r="BM521" s="101"/>
      <c r="BN521" s="101"/>
      <c r="BO521" s="101"/>
      <c r="BP521" s="101"/>
      <c r="BQ521" s="101"/>
      <c r="BR521" s="104"/>
      <c r="BS521" s="104"/>
      <c r="BT521" s="104"/>
      <c r="BU521" s="104"/>
      <c r="BV521" s="104"/>
      <c r="BW521" s="104"/>
      <c r="BX521" s="104"/>
      <c r="BY521" s="104"/>
      <c r="BZ521" s="104"/>
      <c r="CA521" s="104"/>
      <c r="CB521" s="104"/>
      <c r="CC521" s="104"/>
      <c r="CD521" s="104"/>
      <c r="CE521" s="104"/>
      <c r="CF521" s="104"/>
      <c r="CG521" s="104"/>
      <c r="CH521" s="104"/>
      <c r="CI521" s="104"/>
      <c r="CJ521" s="104"/>
      <c r="CK521" s="104"/>
      <c r="CL521" s="104"/>
      <c r="CM521" s="104"/>
      <c r="CN521" s="98"/>
      <c r="CP521" s="101"/>
      <c r="CQ521" s="101"/>
      <c r="CR521" s="101"/>
      <c r="CS521" s="101"/>
      <c r="CT521" s="101"/>
      <c r="FJ521" s="103"/>
      <c r="FL521" s="103"/>
      <c r="FN521" s="103"/>
      <c r="FP521" s="103"/>
    </row>
    <row r="522" spans="2:172" x14ac:dyDescent="0.35">
      <c r="B522" s="97"/>
      <c r="G522" s="100"/>
      <c r="K522" s="98"/>
      <c r="L522" s="101"/>
      <c r="M522" s="101"/>
      <c r="N522" s="101"/>
      <c r="O522" s="101"/>
      <c r="P522" s="102"/>
      <c r="Q522" s="101"/>
      <c r="R522" s="98"/>
      <c r="S522" s="98"/>
      <c r="T522" s="98"/>
      <c r="U522" s="98"/>
      <c r="V522" s="98"/>
      <c r="W522" s="98"/>
      <c r="X522" s="103"/>
      <c r="Y522" s="103"/>
      <c r="Z522" s="103"/>
      <c r="AA522" s="103"/>
      <c r="AB522" s="103"/>
      <c r="AC522" s="103"/>
      <c r="AD522" s="103"/>
      <c r="AE522" s="101"/>
      <c r="AF522" s="101"/>
      <c r="AG522" s="101"/>
      <c r="AH522" s="101"/>
      <c r="AI522" s="101"/>
      <c r="AJ522" s="101"/>
      <c r="AK522" s="101"/>
      <c r="AL522" s="103"/>
      <c r="AM522" s="103"/>
      <c r="AN522" s="103"/>
      <c r="AO522" s="103"/>
      <c r="AP522" s="103"/>
      <c r="AQ522" s="103"/>
      <c r="AR522" s="103"/>
      <c r="AS522" s="101"/>
      <c r="AT522" s="101"/>
      <c r="AU522" s="101"/>
      <c r="AV522" s="101"/>
      <c r="AW522" s="101"/>
      <c r="AX522" s="101"/>
      <c r="AY522" s="101"/>
      <c r="AZ522" s="103"/>
      <c r="BA522" s="103"/>
      <c r="BB522" s="103"/>
      <c r="BC522" s="101"/>
      <c r="BD522" s="101"/>
      <c r="BE522" s="101"/>
      <c r="BF522" s="101"/>
      <c r="BG522" s="101"/>
      <c r="BK522" s="101"/>
      <c r="BL522" s="101"/>
      <c r="BM522" s="101"/>
      <c r="BN522" s="101"/>
      <c r="BO522" s="101"/>
      <c r="BP522" s="101"/>
      <c r="BQ522" s="101"/>
      <c r="BR522" s="104"/>
      <c r="BS522" s="104"/>
      <c r="BT522" s="104"/>
      <c r="BU522" s="104"/>
      <c r="BV522" s="104"/>
      <c r="BW522" s="104"/>
      <c r="BX522" s="104"/>
      <c r="BY522" s="104"/>
      <c r="BZ522" s="104"/>
      <c r="CA522" s="104"/>
      <c r="CB522" s="104"/>
      <c r="CC522" s="104"/>
      <c r="CD522" s="104"/>
      <c r="CE522" s="104"/>
      <c r="CF522" s="104"/>
      <c r="CG522" s="104"/>
      <c r="CH522" s="104"/>
      <c r="CI522" s="104"/>
      <c r="CJ522" s="104"/>
      <c r="CK522" s="104"/>
      <c r="CL522" s="104"/>
      <c r="CM522" s="104"/>
      <c r="CN522" s="98"/>
      <c r="CP522" s="101"/>
      <c r="CQ522" s="101"/>
      <c r="CR522" s="101"/>
      <c r="CS522" s="101"/>
      <c r="CT522" s="101"/>
      <c r="FJ522" s="103"/>
      <c r="FL522" s="103"/>
      <c r="FN522" s="103"/>
      <c r="FP522" s="103"/>
    </row>
    <row r="523" spans="2:172" x14ac:dyDescent="0.35">
      <c r="B523" s="97"/>
      <c r="G523" s="100"/>
      <c r="K523" s="98"/>
      <c r="L523" s="101"/>
      <c r="M523" s="101"/>
      <c r="N523" s="101"/>
      <c r="O523" s="101"/>
      <c r="P523" s="102"/>
      <c r="Q523" s="101"/>
      <c r="R523" s="98"/>
      <c r="S523" s="98"/>
      <c r="T523" s="98"/>
      <c r="U523" s="98"/>
      <c r="V523" s="98"/>
      <c r="W523" s="98"/>
      <c r="X523" s="103"/>
      <c r="Y523" s="103"/>
      <c r="Z523" s="103"/>
      <c r="AA523" s="103"/>
      <c r="AB523" s="103"/>
      <c r="AC523" s="103"/>
      <c r="AD523" s="103"/>
      <c r="AE523" s="101"/>
      <c r="AF523" s="101"/>
      <c r="AG523" s="101"/>
      <c r="AH523" s="101"/>
      <c r="AI523" s="101"/>
      <c r="AJ523" s="101"/>
      <c r="AK523" s="101"/>
      <c r="AL523" s="103"/>
      <c r="AM523" s="103"/>
      <c r="AN523" s="103"/>
      <c r="AO523" s="103"/>
      <c r="AP523" s="103"/>
      <c r="AQ523" s="103"/>
      <c r="AR523" s="103"/>
      <c r="AS523" s="101"/>
      <c r="AT523" s="101"/>
      <c r="AU523" s="101"/>
      <c r="AV523" s="101"/>
      <c r="AW523" s="101"/>
      <c r="AX523" s="101"/>
      <c r="AY523" s="101"/>
      <c r="AZ523" s="103"/>
      <c r="BA523" s="103"/>
      <c r="BB523" s="103"/>
      <c r="BC523" s="101"/>
      <c r="BD523" s="101"/>
      <c r="BE523" s="101"/>
      <c r="BF523" s="101"/>
      <c r="BG523" s="101"/>
      <c r="BK523" s="101"/>
      <c r="BL523" s="101"/>
      <c r="BM523" s="101"/>
      <c r="BN523" s="101"/>
      <c r="BO523" s="101"/>
      <c r="BP523" s="101"/>
      <c r="BQ523" s="101"/>
      <c r="BR523" s="104"/>
      <c r="BS523" s="104"/>
      <c r="BT523" s="104"/>
      <c r="BU523" s="104"/>
      <c r="BV523" s="104"/>
      <c r="BW523" s="104"/>
      <c r="BX523" s="104"/>
      <c r="BY523" s="104"/>
      <c r="BZ523" s="104"/>
      <c r="CA523" s="104"/>
      <c r="CB523" s="104"/>
      <c r="CC523" s="104"/>
      <c r="CD523" s="104"/>
      <c r="CE523" s="104"/>
      <c r="CF523" s="104"/>
      <c r="CG523" s="104"/>
      <c r="CH523" s="104"/>
      <c r="CI523" s="104"/>
      <c r="CJ523" s="104"/>
      <c r="CK523" s="104"/>
      <c r="CL523" s="104"/>
      <c r="CM523" s="104"/>
      <c r="CN523" s="98"/>
      <c r="CP523" s="101"/>
      <c r="CQ523" s="101"/>
      <c r="CR523" s="101"/>
      <c r="CS523" s="101"/>
      <c r="CT523" s="101"/>
      <c r="FJ523" s="103"/>
      <c r="FL523" s="103"/>
      <c r="FN523" s="103"/>
      <c r="FP523" s="103"/>
    </row>
    <row r="524" spans="2:172" x14ac:dyDescent="0.35">
      <c r="B524" s="97"/>
      <c r="G524" s="100"/>
      <c r="K524" s="98"/>
      <c r="L524" s="101"/>
      <c r="M524" s="101"/>
      <c r="N524" s="101"/>
      <c r="O524" s="101"/>
      <c r="P524" s="102"/>
      <c r="Q524" s="101"/>
      <c r="R524" s="98"/>
      <c r="S524" s="98"/>
      <c r="T524" s="98"/>
      <c r="U524" s="98"/>
      <c r="V524" s="98"/>
      <c r="W524" s="98"/>
      <c r="X524" s="103"/>
      <c r="Y524" s="103"/>
      <c r="Z524" s="103"/>
      <c r="AA524" s="103"/>
      <c r="AB524" s="103"/>
      <c r="AC524" s="103"/>
      <c r="AD524" s="103"/>
      <c r="AE524" s="101"/>
      <c r="AF524" s="101"/>
      <c r="AG524" s="101"/>
      <c r="AH524" s="101"/>
      <c r="AI524" s="101"/>
      <c r="AJ524" s="101"/>
      <c r="AK524" s="101"/>
      <c r="AL524" s="103"/>
      <c r="AM524" s="103"/>
      <c r="AN524" s="103"/>
      <c r="AO524" s="103"/>
      <c r="AP524" s="103"/>
      <c r="AQ524" s="103"/>
      <c r="AR524" s="103"/>
      <c r="AS524" s="101"/>
      <c r="AT524" s="101"/>
      <c r="AU524" s="101"/>
      <c r="AV524" s="101"/>
      <c r="AW524" s="101"/>
      <c r="AX524" s="101"/>
      <c r="AY524" s="101"/>
      <c r="AZ524" s="103"/>
      <c r="BA524" s="103"/>
      <c r="BB524" s="103"/>
      <c r="BC524" s="101"/>
      <c r="BD524" s="101"/>
      <c r="BE524" s="101"/>
      <c r="BF524" s="101"/>
      <c r="BG524" s="101"/>
      <c r="BK524" s="101"/>
      <c r="BL524" s="101"/>
      <c r="BM524" s="101"/>
      <c r="BN524" s="101"/>
      <c r="BO524" s="101"/>
      <c r="BP524" s="101"/>
      <c r="BQ524" s="101"/>
      <c r="BR524" s="104"/>
      <c r="BS524" s="104"/>
      <c r="BT524" s="104"/>
      <c r="BU524" s="104"/>
      <c r="BV524" s="104"/>
      <c r="BW524" s="104"/>
      <c r="BX524" s="104"/>
      <c r="BY524" s="104"/>
      <c r="BZ524" s="104"/>
      <c r="CA524" s="104"/>
      <c r="CB524" s="104"/>
      <c r="CC524" s="104"/>
      <c r="CD524" s="104"/>
      <c r="CE524" s="104"/>
      <c r="CF524" s="104"/>
      <c r="CG524" s="104"/>
      <c r="CH524" s="104"/>
      <c r="CI524" s="104"/>
      <c r="CJ524" s="104"/>
      <c r="CK524" s="104"/>
      <c r="CL524" s="104"/>
      <c r="CM524" s="104"/>
      <c r="CN524" s="98"/>
      <c r="CP524" s="101"/>
      <c r="CQ524" s="101"/>
      <c r="CR524" s="101"/>
      <c r="CS524" s="101"/>
      <c r="CT524" s="101"/>
      <c r="FJ524" s="103"/>
      <c r="FL524" s="103"/>
      <c r="FN524" s="103"/>
      <c r="FP524" s="103"/>
    </row>
    <row r="525" spans="2:172" x14ac:dyDescent="0.35">
      <c r="B525" s="97"/>
      <c r="G525" s="100"/>
      <c r="K525" s="98"/>
      <c r="L525" s="101"/>
      <c r="M525" s="101"/>
      <c r="N525" s="101"/>
      <c r="O525" s="101"/>
      <c r="P525" s="102"/>
      <c r="Q525" s="101"/>
      <c r="R525" s="98"/>
      <c r="S525" s="98"/>
      <c r="T525" s="98"/>
      <c r="U525" s="98"/>
      <c r="V525" s="98"/>
      <c r="W525" s="98"/>
      <c r="X525" s="103"/>
      <c r="Y525" s="103"/>
      <c r="Z525" s="103"/>
      <c r="AA525" s="103"/>
      <c r="AB525" s="103"/>
      <c r="AC525" s="103"/>
      <c r="AD525" s="103"/>
      <c r="AE525" s="101"/>
      <c r="AF525" s="101"/>
      <c r="AG525" s="101"/>
      <c r="AH525" s="101"/>
      <c r="AI525" s="101"/>
      <c r="AJ525" s="101"/>
      <c r="AK525" s="101"/>
      <c r="AL525" s="103"/>
      <c r="AM525" s="103"/>
      <c r="AN525" s="103"/>
      <c r="AO525" s="103"/>
      <c r="AP525" s="103"/>
      <c r="AQ525" s="103"/>
      <c r="AR525" s="103"/>
      <c r="AS525" s="101"/>
      <c r="AT525" s="101"/>
      <c r="AU525" s="101"/>
      <c r="AV525" s="101"/>
      <c r="AW525" s="101"/>
      <c r="AX525" s="101"/>
      <c r="AY525" s="101"/>
      <c r="AZ525" s="103"/>
      <c r="BA525" s="103"/>
      <c r="BB525" s="103"/>
      <c r="BC525" s="101"/>
      <c r="BD525" s="101"/>
      <c r="BE525" s="101"/>
      <c r="BF525" s="101"/>
      <c r="BG525" s="101"/>
      <c r="BK525" s="101"/>
      <c r="BL525" s="101"/>
      <c r="BM525" s="101"/>
      <c r="BN525" s="101"/>
      <c r="BO525" s="101"/>
      <c r="BP525" s="101"/>
      <c r="BQ525" s="101"/>
      <c r="BR525" s="104"/>
      <c r="BS525" s="104"/>
      <c r="BT525" s="104"/>
      <c r="BU525" s="104"/>
      <c r="BV525" s="104"/>
      <c r="BW525" s="104"/>
      <c r="BX525" s="104"/>
      <c r="BY525" s="104"/>
      <c r="BZ525" s="104"/>
      <c r="CA525" s="104"/>
      <c r="CB525" s="104"/>
      <c r="CC525" s="104"/>
      <c r="CD525" s="104"/>
      <c r="CE525" s="104"/>
      <c r="CF525" s="104"/>
      <c r="CG525" s="104"/>
      <c r="CH525" s="104"/>
      <c r="CI525" s="104"/>
      <c r="CJ525" s="104"/>
      <c r="CK525" s="104"/>
      <c r="CL525" s="104"/>
      <c r="CM525" s="104"/>
      <c r="CN525" s="98"/>
      <c r="CP525" s="101"/>
      <c r="CQ525" s="101"/>
      <c r="CR525" s="101"/>
      <c r="CS525" s="101"/>
      <c r="CT525" s="101"/>
      <c r="FJ525" s="103"/>
      <c r="FL525" s="103"/>
      <c r="FN525" s="103"/>
      <c r="FP525" s="103"/>
    </row>
    <row r="526" spans="2:172" x14ac:dyDescent="0.35">
      <c r="B526" s="97"/>
      <c r="G526" s="100"/>
      <c r="K526" s="98"/>
      <c r="L526" s="101"/>
      <c r="M526" s="101"/>
      <c r="N526" s="101"/>
      <c r="O526" s="101"/>
      <c r="P526" s="102"/>
      <c r="Q526" s="101"/>
      <c r="R526" s="98"/>
      <c r="S526" s="98"/>
      <c r="T526" s="98"/>
      <c r="U526" s="98"/>
      <c r="V526" s="98"/>
      <c r="W526" s="98"/>
      <c r="X526" s="103"/>
      <c r="Y526" s="103"/>
      <c r="Z526" s="103"/>
      <c r="AA526" s="103"/>
      <c r="AB526" s="103"/>
      <c r="AC526" s="103"/>
      <c r="AD526" s="103"/>
      <c r="AE526" s="101"/>
      <c r="AF526" s="101"/>
      <c r="AG526" s="101"/>
      <c r="AH526" s="101"/>
      <c r="AI526" s="101"/>
      <c r="AJ526" s="101"/>
      <c r="AK526" s="101"/>
      <c r="AL526" s="103"/>
      <c r="AM526" s="103"/>
      <c r="AN526" s="103"/>
      <c r="AO526" s="103"/>
      <c r="AP526" s="103"/>
      <c r="AQ526" s="103"/>
      <c r="AR526" s="103"/>
      <c r="AS526" s="101"/>
      <c r="AT526" s="101"/>
      <c r="AU526" s="101"/>
      <c r="AV526" s="101"/>
      <c r="AW526" s="101"/>
      <c r="AX526" s="101"/>
      <c r="AY526" s="101"/>
      <c r="AZ526" s="103"/>
      <c r="BA526" s="103"/>
      <c r="BB526" s="103"/>
      <c r="BC526" s="101"/>
      <c r="BD526" s="101"/>
      <c r="BE526" s="101"/>
      <c r="BF526" s="101"/>
      <c r="BG526" s="101"/>
      <c r="BK526" s="101"/>
      <c r="BL526" s="101"/>
      <c r="BM526" s="101"/>
      <c r="BN526" s="101"/>
      <c r="BO526" s="101"/>
      <c r="BP526" s="101"/>
      <c r="BQ526" s="101"/>
      <c r="BR526" s="104"/>
      <c r="BS526" s="104"/>
      <c r="BT526" s="104"/>
      <c r="BU526" s="104"/>
      <c r="BV526" s="104"/>
      <c r="BW526" s="104"/>
      <c r="BX526" s="104"/>
      <c r="BY526" s="104"/>
      <c r="BZ526" s="104"/>
      <c r="CA526" s="104"/>
      <c r="CB526" s="104"/>
      <c r="CC526" s="104"/>
      <c r="CD526" s="104"/>
      <c r="CE526" s="104"/>
      <c r="CF526" s="104"/>
      <c r="CG526" s="104"/>
      <c r="CH526" s="104"/>
      <c r="CI526" s="104"/>
      <c r="CJ526" s="104"/>
      <c r="CK526" s="104"/>
      <c r="CL526" s="104"/>
      <c r="CM526" s="104"/>
      <c r="CN526" s="98"/>
      <c r="CP526" s="101"/>
      <c r="CQ526" s="101"/>
      <c r="CR526" s="101"/>
      <c r="CS526" s="101"/>
      <c r="CT526" s="101"/>
      <c r="FJ526" s="103"/>
      <c r="FL526" s="103"/>
      <c r="FN526" s="103"/>
      <c r="FP526" s="103"/>
    </row>
    <row r="527" spans="2:172" x14ac:dyDescent="0.35">
      <c r="B527" s="97"/>
      <c r="G527" s="100"/>
      <c r="K527" s="98"/>
      <c r="L527" s="101"/>
      <c r="M527" s="101"/>
      <c r="N527" s="101"/>
      <c r="O527" s="101"/>
      <c r="P527" s="102"/>
      <c r="Q527" s="101"/>
      <c r="R527" s="98"/>
      <c r="S527" s="98"/>
      <c r="T527" s="98"/>
      <c r="U527" s="98"/>
      <c r="V527" s="98"/>
      <c r="W527" s="98"/>
      <c r="X527" s="103"/>
      <c r="Y527" s="103"/>
      <c r="Z527" s="103"/>
      <c r="AA527" s="103"/>
      <c r="AB527" s="103"/>
      <c r="AC527" s="103"/>
      <c r="AD527" s="103"/>
      <c r="AE527" s="101"/>
      <c r="AF527" s="101"/>
      <c r="AG527" s="101"/>
      <c r="AH527" s="101"/>
      <c r="AI527" s="101"/>
      <c r="AJ527" s="101"/>
      <c r="AK527" s="101"/>
      <c r="AL527" s="103"/>
      <c r="AM527" s="103"/>
      <c r="AN527" s="103"/>
      <c r="AO527" s="103"/>
      <c r="AP527" s="103"/>
      <c r="AQ527" s="103"/>
      <c r="AR527" s="103"/>
      <c r="AS527" s="101"/>
      <c r="AT527" s="101"/>
      <c r="AU527" s="101"/>
      <c r="AV527" s="101"/>
      <c r="AW527" s="101"/>
      <c r="AX527" s="101"/>
      <c r="AY527" s="101"/>
      <c r="AZ527" s="103"/>
      <c r="BA527" s="103"/>
      <c r="BB527" s="103"/>
      <c r="BC527" s="101"/>
      <c r="BD527" s="101"/>
      <c r="BE527" s="101"/>
      <c r="BF527" s="101"/>
      <c r="BG527" s="101"/>
      <c r="BK527" s="101"/>
      <c r="BL527" s="101"/>
      <c r="BM527" s="101"/>
      <c r="BN527" s="101"/>
      <c r="BO527" s="101"/>
      <c r="BP527" s="101"/>
      <c r="BQ527" s="101"/>
      <c r="BR527" s="104"/>
      <c r="BS527" s="104"/>
      <c r="BT527" s="104"/>
      <c r="BU527" s="104"/>
      <c r="BV527" s="104"/>
      <c r="BW527" s="104"/>
      <c r="BX527" s="104"/>
      <c r="BY527" s="104"/>
      <c r="BZ527" s="104"/>
      <c r="CA527" s="104"/>
      <c r="CB527" s="104"/>
      <c r="CC527" s="104"/>
      <c r="CD527" s="104"/>
      <c r="CE527" s="104"/>
      <c r="CF527" s="104"/>
      <c r="CG527" s="104"/>
      <c r="CH527" s="104"/>
      <c r="CI527" s="104"/>
      <c r="CJ527" s="104"/>
      <c r="CK527" s="104"/>
      <c r="CL527" s="104"/>
      <c r="CM527" s="104"/>
      <c r="CN527" s="98"/>
      <c r="CP527" s="101"/>
      <c r="CQ527" s="101"/>
      <c r="CR527" s="101"/>
      <c r="CS527" s="101"/>
      <c r="CT527" s="101"/>
      <c r="FJ527" s="103"/>
      <c r="FL527" s="103"/>
      <c r="FN527" s="103"/>
      <c r="FP527" s="103"/>
    </row>
    <row r="528" spans="2:172" x14ac:dyDescent="0.35">
      <c r="FN528" s="103"/>
    </row>
    <row r="529" spans="170:170" x14ac:dyDescent="0.35">
      <c r="FN529" s="103"/>
    </row>
    <row r="530" spans="170:170" x14ac:dyDescent="0.35">
      <c r="FN530" s="103"/>
    </row>
  </sheetData>
  <sheetProtection algorithmName="SHA-512" hashValue="nAG9Wnvo/YpHiNTKuTFXq81Ya+VEsNBoRMAW2qYS6BilNzuYWeT8ntjOGHJ0KWJm1xgmwtUzrEjP3/wWkY5D2w==" saltValue="+jCOV0q2TfVKQcPG5MRC6w==" spinCount="100000" sheet="1" objects="1" scenarios="1"/>
  <mergeCells count="14">
    <mergeCell ref="FQ1:FX1"/>
    <mergeCell ref="BM1:BQ1"/>
    <mergeCell ref="A1:P1"/>
    <mergeCell ref="Q1:AK1"/>
    <mergeCell ref="AL1:AY1"/>
    <mergeCell ref="AZ1:BE1"/>
    <mergeCell ref="BF1:BL1"/>
    <mergeCell ref="EQ1:EX1"/>
    <mergeCell ref="EY1:FD1"/>
    <mergeCell ref="FE1:FH1"/>
    <mergeCell ref="FI1:FP1"/>
    <mergeCell ref="BR1:CM1"/>
    <mergeCell ref="CN1:CZ1"/>
    <mergeCell ref="DA1:EP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98D4C-A170-492D-94C0-4D4B65E80582}">
  <sheetPr codeName="Sheet4"/>
  <dimension ref="A1:GI526"/>
  <sheetViews>
    <sheetView zoomScale="85" zoomScaleNormal="85" workbookViewId="0">
      <pane xSplit="10" ySplit="1" topLeftCell="FB2" activePane="bottomRight" state="frozen"/>
      <selection pane="topRight" activeCell="K1" sqref="K1"/>
      <selection pane="bottomLeft" activeCell="A2" sqref="A2"/>
      <selection pane="bottomRight" activeCell="I18" sqref="I18"/>
    </sheetView>
  </sheetViews>
  <sheetFormatPr defaultRowHeight="13" x14ac:dyDescent="0.35"/>
  <cols>
    <col min="1" max="1" width="9.7265625" style="96" bestFit="1" customWidth="1"/>
    <col min="2" max="2" width="9.81640625" style="96" bestFit="1" customWidth="1"/>
    <col min="3" max="3" width="8.7265625" style="96" bestFit="1" customWidth="1"/>
    <col min="4" max="4" width="16.90625" style="96" bestFit="1" customWidth="1"/>
    <col min="5" max="5" width="9.90625" style="96" bestFit="1" customWidth="1"/>
    <col min="6" max="6" width="5.6328125" style="96" bestFit="1" customWidth="1"/>
    <col min="7" max="7" width="6.08984375" style="96" bestFit="1" customWidth="1"/>
    <col min="8" max="9" width="9.7265625" style="96" bestFit="1" customWidth="1"/>
    <col min="10" max="10" width="23.90625" style="96" bestFit="1" customWidth="1"/>
    <col min="11" max="11" width="8.6328125" style="96" bestFit="1" customWidth="1"/>
    <col min="12" max="12" width="5.54296875" style="96" bestFit="1" customWidth="1"/>
    <col min="13" max="13" width="6.08984375" style="96" bestFit="1" customWidth="1"/>
    <col min="14" max="14" width="10.26953125" style="96" bestFit="1" customWidth="1"/>
    <col min="15" max="15" width="10.6328125" style="96" bestFit="1" customWidth="1"/>
    <col min="16" max="17" width="8.7265625" style="96" bestFit="1" customWidth="1"/>
    <col min="18" max="18" width="7.54296875" style="96" bestFit="1" customWidth="1"/>
    <col min="19" max="19" width="9.7265625" style="96" bestFit="1" customWidth="1"/>
    <col min="20" max="20" width="9.7265625" style="96" customWidth="1"/>
    <col min="21" max="21" width="10" style="96" bestFit="1" customWidth="1"/>
    <col min="22" max="22" width="6.6328125" style="96" bestFit="1" customWidth="1"/>
    <col min="23" max="23" width="6.08984375" style="96" bestFit="1" customWidth="1"/>
    <col min="24" max="24" width="4.7265625" style="96" bestFit="1" customWidth="1"/>
    <col min="25" max="25" width="4.54296875" style="96" bestFit="1" customWidth="1"/>
    <col min="26" max="27" width="6.54296875" style="96" bestFit="1" customWidth="1"/>
    <col min="28" max="28" width="5.54296875" style="96" bestFit="1" customWidth="1"/>
    <col min="29" max="29" width="8.7265625" style="96" bestFit="1" customWidth="1"/>
    <col min="30" max="32" width="5.54296875" style="96" bestFit="1" customWidth="1"/>
    <col min="33" max="33" width="6.1796875" style="96" bestFit="1" customWidth="1"/>
    <col min="34" max="34" width="6.6328125" style="96" bestFit="1" customWidth="1"/>
    <col min="35" max="35" width="5.54296875" style="96" bestFit="1" customWidth="1"/>
    <col min="36" max="36" width="9.36328125" style="96" bestFit="1" customWidth="1"/>
    <col min="37" max="37" width="5.08984375" style="96" bestFit="1" customWidth="1"/>
    <col min="38" max="38" width="4.81640625" style="96" bestFit="1" customWidth="1"/>
    <col min="39" max="39" width="4.90625" style="96" bestFit="1" customWidth="1"/>
    <col min="40" max="40" width="7.453125" style="96" bestFit="1" customWidth="1"/>
    <col min="41" max="41" width="10.26953125" style="96" bestFit="1" customWidth="1"/>
    <col min="42" max="42" width="6" style="96" bestFit="1" customWidth="1"/>
    <col min="43" max="43" width="9.6328125" style="96" bestFit="1" customWidth="1"/>
    <col min="44" max="44" width="5.54296875" style="96" bestFit="1" customWidth="1"/>
    <col min="45" max="45" width="6.7265625" style="96" bestFit="1" customWidth="1"/>
    <col min="46" max="46" width="5.54296875" style="96" bestFit="1" customWidth="1"/>
    <col min="47" max="47" width="7.36328125" style="96" bestFit="1" customWidth="1"/>
    <col min="48" max="48" width="10.90625" style="96" bestFit="1" customWidth="1"/>
    <col min="49" max="49" width="6.6328125" style="96" bestFit="1" customWidth="1"/>
    <col min="50" max="50" width="10.26953125" style="96" bestFit="1" customWidth="1"/>
    <col min="51" max="51" width="5.54296875" style="96" bestFit="1" customWidth="1"/>
    <col min="52" max="52" width="7.36328125" style="96" bestFit="1" customWidth="1"/>
    <col min="53" max="53" width="4.90625" style="96" bestFit="1" customWidth="1"/>
    <col min="54" max="54" width="8.08984375" style="96" bestFit="1" customWidth="1"/>
    <col min="55" max="56" width="9.90625" style="96" bestFit="1" customWidth="1"/>
    <col min="57" max="57" width="8.7265625" style="96" bestFit="1" customWidth="1"/>
    <col min="58" max="59" width="10.54296875" style="96" bestFit="1" customWidth="1"/>
    <col min="60" max="61" width="9.26953125" style="96" bestFit="1" customWidth="1"/>
    <col min="62" max="62" width="8.81640625" style="96" bestFit="1" customWidth="1"/>
    <col min="63" max="63" width="11.90625" style="96" bestFit="1" customWidth="1"/>
    <col min="64" max="64" width="11.6328125" style="96" bestFit="1" customWidth="1"/>
    <col min="65" max="65" width="6.54296875" style="96" bestFit="1" customWidth="1"/>
    <col min="66" max="66" width="9.1796875" style="96" bestFit="1" customWidth="1"/>
    <col min="67" max="67" width="11.08984375" style="96" bestFit="1" customWidth="1"/>
    <col min="68" max="68" width="8.6328125" style="96" customWidth="1"/>
    <col min="69" max="69" width="6.7265625" style="96" bestFit="1" customWidth="1"/>
    <col min="70" max="70" width="7.7265625" style="96" bestFit="1" customWidth="1"/>
    <col min="71" max="71" width="11" style="96" bestFit="1" customWidth="1"/>
    <col min="72" max="72" width="8.54296875" style="96" bestFit="1" customWidth="1"/>
    <col min="73" max="73" width="8" style="96" bestFit="1" customWidth="1"/>
    <col min="74" max="74" width="6.90625" style="96" bestFit="1" customWidth="1"/>
    <col min="75" max="75" width="10.81640625" style="96" bestFit="1" customWidth="1"/>
    <col min="76" max="76" width="6.54296875" style="96" bestFit="1" customWidth="1"/>
    <col min="77" max="77" width="6.1796875" style="96" bestFit="1" customWidth="1"/>
    <col min="78" max="78" width="6.26953125" style="96" bestFit="1" customWidth="1"/>
    <col min="79" max="79" width="8.7265625" style="96" bestFit="1" customWidth="1"/>
    <col min="80" max="80" width="12.26953125" style="96" bestFit="1" customWidth="1"/>
    <col min="81" max="81" width="8" style="96" bestFit="1" customWidth="1"/>
    <col min="82" max="82" width="11.6328125" style="96" bestFit="1" customWidth="1"/>
    <col min="83" max="83" width="7" style="96" bestFit="1" customWidth="1"/>
    <col min="84" max="84" width="8.7265625" style="96" bestFit="1" customWidth="1"/>
    <col min="85" max="85" width="6.26953125" style="96" bestFit="1" customWidth="1"/>
    <col min="86" max="86" width="10.1796875" style="96" bestFit="1" customWidth="1"/>
    <col min="87" max="88" width="12" style="96" bestFit="1" customWidth="1"/>
    <col min="89" max="89" width="8.81640625" style="96" bestFit="1" customWidth="1"/>
    <col min="90" max="90" width="6.6328125" style="96" bestFit="1" customWidth="1"/>
    <col min="91" max="91" width="9.6328125" style="96" bestFit="1" customWidth="1"/>
    <col min="92" max="92" width="7.7265625" style="96" bestFit="1" customWidth="1"/>
    <col min="93" max="93" width="11" style="96" bestFit="1" customWidth="1"/>
    <col min="94" max="94" width="9" style="96" bestFit="1" customWidth="1"/>
    <col min="95" max="95" width="9.26953125" style="96" bestFit="1" customWidth="1"/>
    <col min="96" max="96" width="11.1796875" style="96" bestFit="1" customWidth="1"/>
    <col min="97" max="97" width="10.1796875" style="96" bestFit="1" customWidth="1"/>
    <col min="98" max="98" width="14.36328125" style="96" bestFit="1" customWidth="1"/>
    <col min="99" max="99" width="6.1796875" style="96" bestFit="1" customWidth="1"/>
    <col min="100" max="100" width="13.453125" style="96" bestFit="1" customWidth="1"/>
    <col min="101" max="101" width="9.7265625" style="96" bestFit="1" customWidth="1"/>
    <col min="102" max="102" width="9.81640625" style="96" bestFit="1" customWidth="1"/>
    <col min="103" max="104" width="9.7265625" style="96" bestFit="1" customWidth="1"/>
    <col min="105" max="105" width="17.08984375" style="96" bestFit="1" customWidth="1"/>
    <col min="106" max="106" width="11.54296875" style="96" bestFit="1" customWidth="1"/>
    <col min="107" max="107" width="6.81640625" style="96" bestFit="1" customWidth="1"/>
    <col min="108" max="108" width="8.6328125" style="96" bestFit="1" customWidth="1"/>
    <col min="109" max="109" width="7.54296875" style="96" bestFit="1" customWidth="1"/>
    <col min="110" max="110" width="11.453125" style="96" bestFit="1" customWidth="1"/>
    <col min="111" max="112" width="7.54296875" style="96" bestFit="1" customWidth="1"/>
    <col min="113" max="113" width="6.90625" style="96" bestFit="1" customWidth="1"/>
    <col min="114" max="114" width="6.6328125" style="96" bestFit="1" customWidth="1"/>
    <col min="115" max="115" width="8.453125" style="96" bestFit="1" customWidth="1"/>
    <col min="116" max="116" width="7.36328125" style="96" bestFit="1" customWidth="1"/>
    <col min="117" max="117" width="11.1796875" style="96" bestFit="1" customWidth="1"/>
    <col min="118" max="118" width="6.90625" style="96" bestFit="1" customWidth="1"/>
    <col min="119" max="119" width="6.6328125" style="96" bestFit="1" customWidth="1"/>
    <col min="120" max="120" width="6.7265625" style="96" bestFit="1" customWidth="1"/>
    <col min="121" max="121" width="10.54296875" style="96" bestFit="1" customWidth="1"/>
    <col min="122" max="122" width="9.36328125" style="96" bestFit="1" customWidth="1"/>
    <col min="123" max="123" width="12.90625" style="96" bestFit="1" customWidth="1"/>
    <col min="124" max="124" width="8.6328125" style="96" bestFit="1" customWidth="1"/>
    <col min="125" max="125" width="12.26953125" style="96" bestFit="1" customWidth="1"/>
    <col min="126" max="126" width="7.54296875" style="96" bestFit="1" customWidth="1"/>
    <col min="127" max="127" width="9.36328125" style="96" bestFit="1" customWidth="1"/>
    <col min="128" max="128" width="6.90625" style="96" bestFit="1" customWidth="1"/>
    <col min="129" max="129" width="9.1796875" style="96" bestFit="1" customWidth="1"/>
    <col min="130" max="130" width="12.7265625" style="96" bestFit="1" customWidth="1"/>
    <col min="131" max="131" width="8.453125" style="96" bestFit="1" customWidth="1"/>
    <col min="132" max="132" width="12.08984375" style="96" bestFit="1" customWidth="1"/>
    <col min="133" max="133" width="7.453125" style="96" bestFit="1" customWidth="1"/>
    <col min="134" max="134" width="9.1796875" style="96" bestFit="1" customWidth="1"/>
    <col min="135" max="135" width="6.7265625" style="96" bestFit="1" customWidth="1"/>
    <col min="136" max="136" width="8.453125" style="96" bestFit="1" customWidth="1"/>
    <col min="137" max="137" width="10.81640625" style="96" bestFit="1" customWidth="1"/>
    <col min="138" max="139" width="12.6328125" style="96" bestFit="1" customWidth="1"/>
    <col min="140" max="140" width="10.54296875" style="96" bestFit="1" customWidth="1"/>
    <col min="141" max="142" width="12.36328125" style="96" bestFit="1" customWidth="1"/>
    <col min="143" max="143" width="13.26953125" style="96" bestFit="1" customWidth="1"/>
    <col min="144" max="144" width="9" style="96" bestFit="1" customWidth="1"/>
    <col min="145" max="145" width="10.90625" style="96" bestFit="1" customWidth="1"/>
    <col min="146" max="146" width="8.36328125" style="96" bestFit="1" customWidth="1"/>
    <col min="147" max="147" width="10.08984375" style="96" bestFit="1" customWidth="1"/>
    <col min="148" max="148" width="8.08984375" style="96" bestFit="1" customWidth="1"/>
    <col min="149" max="149" width="5.6328125" style="96" bestFit="1" customWidth="1"/>
    <col min="150" max="150" width="6.81640625" style="96" bestFit="1" customWidth="1"/>
    <col min="151" max="153" width="5.6328125" style="96" bestFit="1" customWidth="1"/>
    <col min="154" max="154" width="8.36328125" style="96" bestFit="1" customWidth="1"/>
    <col min="155" max="155" width="6.26953125" style="96" bestFit="1" customWidth="1"/>
    <col min="156" max="156" width="14.7265625" style="96" bestFit="1" customWidth="1"/>
    <col min="157" max="157" width="11.453125" style="96" bestFit="1" customWidth="1"/>
    <col min="158" max="158" width="6.6328125" style="96" bestFit="1" customWidth="1"/>
    <col min="159" max="159" width="5.6328125" style="96" bestFit="1" customWidth="1"/>
    <col min="160" max="160" width="12.453125" style="96" bestFit="1" customWidth="1"/>
    <col min="161" max="161" width="11.1796875" style="96" bestFit="1" customWidth="1"/>
    <col min="162" max="162" width="12.08984375" style="96" bestFit="1" customWidth="1"/>
    <col min="163" max="163" width="9.7265625" style="96" bestFit="1" customWidth="1"/>
    <col min="164" max="164" width="9.54296875" style="96" bestFit="1" customWidth="1"/>
    <col min="165" max="166" width="11.36328125" style="96" bestFit="1" customWidth="1"/>
    <col min="167" max="167" width="12.08984375" style="96" bestFit="1" customWidth="1"/>
    <col min="168" max="168" width="6.90625" style="96" bestFit="1" customWidth="1"/>
    <col min="169" max="169" width="19.6328125" style="96" bestFit="1" customWidth="1"/>
    <col min="170" max="170" width="6.90625" style="96" bestFit="1" customWidth="1"/>
    <col min="171" max="171" width="12.36328125" style="96" bestFit="1" customWidth="1"/>
    <col min="172" max="172" width="6.90625" style="96" bestFit="1" customWidth="1"/>
    <col min="173" max="173" width="20" style="96" bestFit="1" customWidth="1"/>
    <col min="174" max="174" width="6.90625" style="96" bestFit="1" customWidth="1"/>
    <col min="175" max="175" width="10.90625" style="96" bestFit="1" customWidth="1"/>
    <col min="176" max="176" width="10.08984375" style="96" bestFit="1" customWidth="1"/>
    <col min="177" max="177" width="21.36328125" style="96" bestFit="1" customWidth="1"/>
    <col min="178" max="178" width="28.453125" style="96" bestFit="1" customWidth="1"/>
    <col min="179" max="179" width="25" style="96" bestFit="1" customWidth="1"/>
    <col min="180" max="180" width="10.6328125" style="96" bestFit="1" customWidth="1"/>
    <col min="181" max="181" width="9.6328125" style="96" bestFit="1" customWidth="1"/>
    <col min="182" max="182" width="10.54296875" style="96" bestFit="1" customWidth="1"/>
    <col min="183" max="183" width="11.1796875" style="96" bestFit="1" customWidth="1"/>
    <col min="184" max="184" width="11.1796875" style="96" customWidth="1"/>
    <col min="185" max="186" width="8.7265625" style="96"/>
    <col min="187" max="187" width="9.90625" style="96" customWidth="1"/>
    <col min="188" max="16384" width="8.7265625" style="96"/>
  </cols>
  <sheetData>
    <row r="1" spans="1:191" s="107" customFormat="1" ht="13" customHeight="1" x14ac:dyDescent="0.35">
      <c r="A1" s="268" t="s">
        <v>336</v>
      </c>
      <c r="B1" s="268"/>
      <c r="C1" s="268"/>
      <c r="D1" s="268"/>
      <c r="E1" s="268"/>
      <c r="F1" s="268"/>
      <c r="G1" s="268"/>
      <c r="H1" s="268"/>
      <c r="I1" s="268"/>
      <c r="J1" s="268"/>
      <c r="K1" s="268"/>
      <c r="L1" s="268"/>
      <c r="M1" s="268"/>
      <c r="N1" s="268"/>
      <c r="O1" s="268"/>
      <c r="P1" s="268"/>
      <c r="Q1" s="267" t="s">
        <v>354</v>
      </c>
      <c r="R1" s="267"/>
      <c r="S1" s="267"/>
      <c r="T1" s="267"/>
      <c r="U1" s="267"/>
      <c r="V1" s="267"/>
      <c r="W1" s="267"/>
      <c r="X1" s="267"/>
      <c r="Y1" s="267"/>
      <c r="Z1" s="267"/>
      <c r="AA1" s="267"/>
      <c r="AB1" s="267"/>
      <c r="AC1" s="267"/>
      <c r="AD1" s="267"/>
      <c r="AE1" s="267"/>
      <c r="AF1" s="267"/>
      <c r="AG1" s="267"/>
      <c r="AH1" s="267"/>
      <c r="AI1" s="267"/>
      <c r="AJ1" s="267"/>
      <c r="AK1" s="267"/>
      <c r="AL1" s="267"/>
      <c r="AM1" s="267"/>
      <c r="AN1" s="269" t="s">
        <v>355</v>
      </c>
      <c r="AO1" s="269"/>
      <c r="AP1" s="269"/>
      <c r="AQ1" s="269"/>
      <c r="AR1" s="269"/>
      <c r="AS1" s="269"/>
      <c r="AT1" s="269"/>
      <c r="AU1" s="269"/>
      <c r="AV1" s="269"/>
      <c r="AW1" s="269"/>
      <c r="AX1" s="269"/>
      <c r="AY1" s="269"/>
      <c r="AZ1" s="269"/>
      <c r="BA1" s="269"/>
      <c r="BB1" s="270" t="s">
        <v>356</v>
      </c>
      <c r="BC1" s="270"/>
      <c r="BD1" s="270"/>
      <c r="BE1" s="270"/>
      <c r="BF1" s="270"/>
      <c r="BG1" s="270"/>
      <c r="BH1" s="271" t="s">
        <v>357</v>
      </c>
      <c r="BI1" s="271"/>
      <c r="BJ1" s="271"/>
      <c r="BK1" s="271"/>
      <c r="BL1" s="271"/>
      <c r="BM1" s="271"/>
      <c r="BN1" s="271"/>
      <c r="BO1" s="267" t="s">
        <v>102</v>
      </c>
      <c r="BP1" s="267"/>
      <c r="BQ1" s="267"/>
      <c r="BR1" s="267"/>
      <c r="BS1" s="267"/>
      <c r="BT1" s="274" t="s">
        <v>337</v>
      </c>
      <c r="BU1" s="274"/>
      <c r="BV1" s="274"/>
      <c r="BW1" s="274"/>
      <c r="BX1" s="274"/>
      <c r="BY1" s="274"/>
      <c r="BZ1" s="274"/>
      <c r="CA1" s="274"/>
      <c r="CB1" s="274"/>
      <c r="CC1" s="274"/>
      <c r="CD1" s="274"/>
      <c r="CE1" s="274"/>
      <c r="CF1" s="274"/>
      <c r="CG1" s="274"/>
      <c r="CH1" s="274"/>
      <c r="CI1" s="274"/>
      <c r="CJ1" s="274"/>
      <c r="CK1" s="274"/>
      <c r="CL1" s="274"/>
      <c r="CM1" s="274"/>
      <c r="CN1" s="274"/>
      <c r="CO1" s="274"/>
      <c r="CP1" s="275" t="s">
        <v>198</v>
      </c>
      <c r="CQ1" s="275"/>
      <c r="CR1" s="275"/>
      <c r="CS1" s="275"/>
      <c r="CT1" s="275"/>
      <c r="CU1" s="275"/>
      <c r="CV1" s="275"/>
      <c r="CW1" s="275"/>
      <c r="CX1" s="275"/>
      <c r="CY1" s="275"/>
      <c r="CZ1" s="275"/>
      <c r="DA1" s="275"/>
      <c r="DB1" s="275"/>
      <c r="DC1" s="273" t="s">
        <v>338</v>
      </c>
      <c r="DD1" s="273"/>
      <c r="DE1" s="273"/>
      <c r="DF1" s="273"/>
      <c r="DG1" s="273"/>
      <c r="DH1" s="273"/>
      <c r="DI1" s="273"/>
      <c r="DJ1" s="273"/>
      <c r="DK1" s="273"/>
      <c r="DL1" s="273"/>
      <c r="DM1" s="273"/>
      <c r="DN1" s="273"/>
      <c r="DO1" s="273"/>
      <c r="DP1" s="273"/>
      <c r="DQ1" s="273"/>
      <c r="DR1" s="273"/>
      <c r="DS1" s="273"/>
      <c r="DT1" s="273"/>
      <c r="DU1" s="273"/>
      <c r="DV1" s="273"/>
      <c r="DW1" s="273"/>
      <c r="DX1" s="273"/>
      <c r="DY1" s="273"/>
      <c r="DZ1" s="273"/>
      <c r="EA1" s="273"/>
      <c r="EB1" s="273"/>
      <c r="EC1" s="273"/>
      <c r="ED1" s="273"/>
      <c r="EE1" s="273"/>
      <c r="EF1" s="273"/>
      <c r="EG1" s="273"/>
      <c r="EH1" s="273"/>
      <c r="EI1" s="273"/>
      <c r="EJ1" s="273"/>
      <c r="EK1" s="273"/>
      <c r="EL1" s="273"/>
      <c r="EM1" s="273"/>
      <c r="EN1" s="273"/>
      <c r="EO1" s="273"/>
      <c r="EP1" s="273"/>
      <c r="EQ1" s="273"/>
      <c r="ER1" s="273"/>
      <c r="ES1" s="272" t="s">
        <v>188</v>
      </c>
      <c r="ET1" s="272"/>
      <c r="EU1" s="272"/>
      <c r="EV1" s="272"/>
      <c r="EW1" s="272"/>
      <c r="EX1" s="272"/>
      <c r="EY1" s="272"/>
      <c r="EZ1" s="272"/>
      <c r="FA1" s="267" t="s">
        <v>339</v>
      </c>
      <c r="FB1" s="267"/>
      <c r="FC1" s="267"/>
      <c r="FD1" s="267"/>
      <c r="FE1" s="267"/>
      <c r="FF1" s="267"/>
      <c r="FG1" s="273" t="s">
        <v>340</v>
      </c>
      <c r="FH1" s="273"/>
      <c r="FI1" s="273"/>
      <c r="FJ1" s="273"/>
      <c r="FK1" s="274" t="s">
        <v>341</v>
      </c>
      <c r="FL1" s="274"/>
      <c r="FM1" s="274"/>
      <c r="FN1" s="274"/>
      <c r="FO1" s="274"/>
      <c r="FP1" s="274"/>
      <c r="FQ1" s="274"/>
      <c r="FR1" s="274"/>
      <c r="FS1" s="266" t="s">
        <v>399</v>
      </c>
      <c r="FT1" s="266"/>
      <c r="FU1" s="266"/>
      <c r="FV1" s="266"/>
      <c r="FW1" s="266"/>
      <c r="FX1" s="266"/>
      <c r="FY1" s="266"/>
      <c r="FZ1" s="266"/>
      <c r="GA1" s="266"/>
      <c r="GB1" s="266" t="s">
        <v>482</v>
      </c>
      <c r="GC1" s="266"/>
      <c r="GD1" s="266"/>
      <c r="GE1" s="266"/>
      <c r="GF1" s="266"/>
      <c r="GG1" s="266"/>
      <c r="GH1" s="266"/>
      <c r="GI1" s="266"/>
    </row>
    <row r="2" spans="1:191" s="107" customFormat="1" ht="25" customHeight="1" x14ac:dyDescent="0.35">
      <c r="A2" s="106" t="s">
        <v>116</v>
      </c>
      <c r="B2" s="106" t="s">
        <v>117</v>
      </c>
      <c r="C2" s="106" t="s">
        <v>201</v>
      </c>
      <c r="D2" s="106" t="s">
        <v>350</v>
      </c>
      <c r="E2" s="106" t="s">
        <v>189</v>
      </c>
      <c r="F2" s="106" t="s">
        <v>260</v>
      </c>
      <c r="G2" s="106" t="s">
        <v>165</v>
      </c>
      <c r="H2" s="106" t="s">
        <v>146</v>
      </c>
      <c r="I2" s="106" t="s">
        <v>326</v>
      </c>
      <c r="J2" s="106" t="s">
        <v>166</v>
      </c>
      <c r="K2" s="106" t="s">
        <v>167</v>
      </c>
      <c r="L2" s="106" t="s">
        <v>327</v>
      </c>
      <c r="M2" s="106" t="s">
        <v>328</v>
      </c>
      <c r="N2" s="106" t="s">
        <v>329</v>
      </c>
      <c r="O2" s="106" t="s">
        <v>330</v>
      </c>
      <c r="P2" s="106" t="s">
        <v>331</v>
      </c>
      <c r="Q2" s="106" t="s">
        <v>332</v>
      </c>
      <c r="R2" s="106" t="s">
        <v>351</v>
      </c>
      <c r="S2" s="106" t="s">
        <v>334</v>
      </c>
      <c r="T2" s="106" t="s">
        <v>333</v>
      </c>
      <c r="U2" s="106" t="s">
        <v>352</v>
      </c>
      <c r="V2" s="106" t="s">
        <v>353</v>
      </c>
      <c r="W2" s="106" t="s">
        <v>180</v>
      </c>
      <c r="X2" s="106" t="s">
        <v>178</v>
      </c>
      <c r="Y2" s="106" t="s">
        <v>179</v>
      </c>
      <c r="Z2" s="106" t="s">
        <v>202</v>
      </c>
      <c r="AA2" s="106" t="s">
        <v>203</v>
      </c>
      <c r="AB2" s="106" t="s">
        <v>204</v>
      </c>
      <c r="AC2" s="106" t="s">
        <v>205</v>
      </c>
      <c r="AD2" s="106" t="s">
        <v>206</v>
      </c>
      <c r="AE2" s="106" t="s">
        <v>207</v>
      </c>
      <c r="AF2" s="106" t="s">
        <v>208</v>
      </c>
      <c r="AG2" s="106" t="s">
        <v>210</v>
      </c>
      <c r="AH2" s="106" t="s">
        <v>211</v>
      </c>
      <c r="AI2" s="106" t="s">
        <v>212</v>
      </c>
      <c r="AJ2" s="106" t="s">
        <v>213</v>
      </c>
      <c r="AK2" s="106" t="s">
        <v>214</v>
      </c>
      <c r="AL2" s="106" t="s">
        <v>215</v>
      </c>
      <c r="AM2" s="106" t="s">
        <v>216</v>
      </c>
      <c r="AN2" s="106" t="s">
        <v>217</v>
      </c>
      <c r="AO2" s="106" t="s">
        <v>218</v>
      </c>
      <c r="AP2" s="106" t="s">
        <v>219</v>
      </c>
      <c r="AQ2" s="106" t="s">
        <v>220</v>
      </c>
      <c r="AR2" s="106" t="s">
        <v>221</v>
      </c>
      <c r="AS2" s="106" t="s">
        <v>222</v>
      </c>
      <c r="AT2" s="106" t="s">
        <v>208</v>
      </c>
      <c r="AU2" s="106" t="s">
        <v>223</v>
      </c>
      <c r="AV2" s="106" t="s">
        <v>224</v>
      </c>
      <c r="AW2" s="106" t="s">
        <v>225</v>
      </c>
      <c r="AX2" s="106" t="s">
        <v>226</v>
      </c>
      <c r="AY2" s="106" t="s">
        <v>227</v>
      </c>
      <c r="AZ2" s="106" t="s">
        <v>228</v>
      </c>
      <c r="BA2" s="106" t="s">
        <v>216</v>
      </c>
      <c r="BB2" s="106" t="s">
        <v>229</v>
      </c>
      <c r="BC2" s="106" t="s">
        <v>230</v>
      </c>
      <c r="BD2" s="106" t="s">
        <v>231</v>
      </c>
      <c r="BE2" s="106" t="s">
        <v>232</v>
      </c>
      <c r="BF2" s="106" t="s">
        <v>233</v>
      </c>
      <c r="BG2" s="106" t="s">
        <v>234</v>
      </c>
      <c r="BH2" s="106" t="s">
        <v>196</v>
      </c>
      <c r="BI2" s="106" t="s">
        <v>335</v>
      </c>
      <c r="BJ2" s="106" t="s">
        <v>236</v>
      </c>
      <c r="BK2" s="106" t="s">
        <v>237</v>
      </c>
      <c r="BL2" s="106" t="s">
        <v>238</v>
      </c>
      <c r="BM2" s="106" t="s">
        <v>239</v>
      </c>
      <c r="BN2" s="106" t="s">
        <v>169</v>
      </c>
      <c r="BO2" s="106" t="s">
        <v>235</v>
      </c>
      <c r="BP2" s="106" t="s">
        <v>240</v>
      </c>
      <c r="BQ2" s="106" t="s">
        <v>358</v>
      </c>
      <c r="BR2" s="106" t="s">
        <v>359</v>
      </c>
      <c r="BS2" s="106" t="s">
        <v>360</v>
      </c>
      <c r="BT2" s="106" t="s">
        <v>241</v>
      </c>
      <c r="BU2" s="106" t="s">
        <v>242</v>
      </c>
      <c r="BV2" s="106" t="s">
        <v>243</v>
      </c>
      <c r="BW2" s="106" t="s">
        <v>244</v>
      </c>
      <c r="BX2" s="106" t="s">
        <v>245</v>
      </c>
      <c r="BY2" s="106" t="s">
        <v>246</v>
      </c>
      <c r="BZ2" s="106" t="s">
        <v>247</v>
      </c>
      <c r="CA2" s="106" t="s">
        <v>248</v>
      </c>
      <c r="CB2" s="106" t="s">
        <v>249</v>
      </c>
      <c r="CC2" s="106" t="s">
        <v>250</v>
      </c>
      <c r="CD2" s="106" t="s">
        <v>251</v>
      </c>
      <c r="CE2" s="106" t="s">
        <v>252</v>
      </c>
      <c r="CF2" s="106" t="s">
        <v>253</v>
      </c>
      <c r="CG2" s="106" t="s">
        <v>247</v>
      </c>
      <c r="CH2" s="106" t="s">
        <v>254</v>
      </c>
      <c r="CI2" s="106" t="s">
        <v>255</v>
      </c>
      <c r="CJ2" s="106" t="s">
        <v>256</v>
      </c>
      <c r="CK2" s="106" t="s">
        <v>257</v>
      </c>
      <c r="CL2" s="106" t="s">
        <v>258</v>
      </c>
      <c r="CM2" s="106" t="s">
        <v>259</v>
      </c>
      <c r="CN2" s="106" t="s">
        <v>364</v>
      </c>
      <c r="CO2" s="106" t="s">
        <v>365</v>
      </c>
      <c r="CP2" s="106" t="s">
        <v>261</v>
      </c>
      <c r="CQ2" s="106" t="s">
        <v>262</v>
      </c>
      <c r="CR2" s="106" t="s">
        <v>263</v>
      </c>
      <c r="CS2" s="106" t="s">
        <v>264</v>
      </c>
      <c r="CT2" s="106" t="s">
        <v>265</v>
      </c>
      <c r="CU2" s="106" t="s">
        <v>266</v>
      </c>
      <c r="CV2" s="106" t="s">
        <v>170</v>
      </c>
      <c r="CW2" s="106" t="s">
        <v>267</v>
      </c>
      <c r="CX2" s="106" t="s">
        <v>268</v>
      </c>
      <c r="CY2" s="106" t="s">
        <v>269</v>
      </c>
      <c r="CZ2" s="106" t="s">
        <v>271</v>
      </c>
      <c r="DA2" s="106" t="s">
        <v>272</v>
      </c>
      <c r="DB2" s="106" t="s">
        <v>270</v>
      </c>
      <c r="DC2" s="106" t="s">
        <v>273</v>
      </c>
      <c r="DD2" s="106" t="s">
        <v>274</v>
      </c>
      <c r="DE2" s="106" t="s">
        <v>275</v>
      </c>
      <c r="DF2" s="106" t="s">
        <v>276</v>
      </c>
      <c r="DG2" s="106" t="s">
        <v>277</v>
      </c>
      <c r="DH2" s="106" t="s">
        <v>278</v>
      </c>
      <c r="DI2" s="106" t="s">
        <v>279</v>
      </c>
      <c r="DJ2" s="106" t="s">
        <v>280</v>
      </c>
      <c r="DK2" s="106" t="s">
        <v>281</v>
      </c>
      <c r="DL2" s="106" t="s">
        <v>282</v>
      </c>
      <c r="DM2" s="106" t="s">
        <v>283</v>
      </c>
      <c r="DN2" s="106" t="s">
        <v>284</v>
      </c>
      <c r="DO2" s="106" t="s">
        <v>285</v>
      </c>
      <c r="DP2" s="106" t="s">
        <v>286</v>
      </c>
      <c r="DQ2" s="106" t="s">
        <v>111</v>
      </c>
      <c r="DR2" s="106" t="s">
        <v>287</v>
      </c>
      <c r="DS2" s="106" t="s">
        <v>288</v>
      </c>
      <c r="DT2" s="106" t="s">
        <v>289</v>
      </c>
      <c r="DU2" s="106" t="s">
        <v>290</v>
      </c>
      <c r="DV2" s="106" t="s">
        <v>291</v>
      </c>
      <c r="DW2" s="106" t="s">
        <v>292</v>
      </c>
      <c r="DX2" s="106" t="s">
        <v>279</v>
      </c>
      <c r="DY2" s="106" t="s">
        <v>293</v>
      </c>
      <c r="DZ2" s="106" t="s">
        <v>294</v>
      </c>
      <c r="EA2" s="106" t="s">
        <v>295</v>
      </c>
      <c r="EB2" s="106" t="s">
        <v>296</v>
      </c>
      <c r="EC2" s="106" t="s">
        <v>297</v>
      </c>
      <c r="ED2" s="106" t="s">
        <v>298</v>
      </c>
      <c r="EE2" s="106" t="s">
        <v>286</v>
      </c>
      <c r="EF2" s="106" t="s">
        <v>299</v>
      </c>
      <c r="EG2" s="106" t="s">
        <v>300</v>
      </c>
      <c r="EH2" s="106" t="s">
        <v>301</v>
      </c>
      <c r="EI2" s="106" t="s">
        <v>302</v>
      </c>
      <c r="EJ2" s="106" t="s">
        <v>303</v>
      </c>
      <c r="EK2" s="106" t="s">
        <v>304</v>
      </c>
      <c r="EL2" s="106" t="s">
        <v>305</v>
      </c>
      <c r="EM2" s="106" t="s">
        <v>306</v>
      </c>
      <c r="EN2" s="106" t="s">
        <v>307</v>
      </c>
      <c r="EO2" s="106" t="s">
        <v>308</v>
      </c>
      <c r="EP2" s="106" t="s">
        <v>309</v>
      </c>
      <c r="EQ2" s="106" t="s">
        <v>310</v>
      </c>
      <c r="ER2" s="106" t="s">
        <v>311</v>
      </c>
      <c r="ES2" s="106" t="s">
        <v>143</v>
      </c>
      <c r="ET2" s="106" t="s">
        <v>114</v>
      </c>
      <c r="EU2" s="106" t="s">
        <v>136</v>
      </c>
      <c r="EV2" s="106" t="s">
        <v>137</v>
      </c>
      <c r="EW2" s="106" t="s">
        <v>154</v>
      </c>
      <c r="EX2" s="106" t="s">
        <v>139</v>
      </c>
      <c r="EY2" s="106" t="s">
        <v>134</v>
      </c>
      <c r="EZ2" s="106" t="s">
        <v>312</v>
      </c>
      <c r="FA2" s="106" t="s">
        <v>313</v>
      </c>
      <c r="FB2" s="106" t="s">
        <v>109</v>
      </c>
      <c r="FC2" s="106" t="s">
        <v>110</v>
      </c>
      <c r="FD2" s="106" t="s">
        <v>315</v>
      </c>
      <c r="FE2" s="106" t="s">
        <v>314</v>
      </c>
      <c r="FF2" s="106" t="s">
        <v>316</v>
      </c>
      <c r="FG2" s="106" t="s">
        <v>317</v>
      </c>
      <c r="FH2" s="106" t="s">
        <v>318</v>
      </c>
      <c r="FI2" s="106" t="s">
        <v>319</v>
      </c>
      <c r="FJ2" s="106" t="s">
        <v>320</v>
      </c>
      <c r="FK2" s="106" t="s">
        <v>322</v>
      </c>
      <c r="FL2" s="106" t="s">
        <v>321</v>
      </c>
      <c r="FM2" s="106" t="s">
        <v>323</v>
      </c>
      <c r="FN2" s="106" t="s">
        <v>321</v>
      </c>
      <c r="FO2" s="106" t="s">
        <v>324</v>
      </c>
      <c r="FP2" s="106" t="s">
        <v>321</v>
      </c>
      <c r="FQ2" s="106" t="s">
        <v>325</v>
      </c>
      <c r="FR2" s="106" t="s">
        <v>321</v>
      </c>
      <c r="FS2" s="106" t="s">
        <v>390</v>
      </c>
      <c r="FT2" s="106" t="s">
        <v>389</v>
      </c>
      <c r="FU2" s="106" t="s">
        <v>22</v>
      </c>
      <c r="FV2" s="106" t="s">
        <v>11</v>
      </c>
      <c r="FW2" s="106" t="s">
        <v>12</v>
      </c>
      <c r="FX2" s="106" t="s">
        <v>10</v>
      </c>
      <c r="FY2" s="106" t="s">
        <v>4</v>
      </c>
      <c r="FZ2" s="106" t="s">
        <v>7</v>
      </c>
      <c r="GA2" s="106" t="s">
        <v>475</v>
      </c>
      <c r="GB2" s="106" t="s">
        <v>483</v>
      </c>
      <c r="GC2" s="106" t="s">
        <v>168</v>
      </c>
      <c r="GD2" s="106" t="s">
        <v>6</v>
      </c>
      <c r="GE2" s="106" t="s">
        <v>22</v>
      </c>
      <c r="GF2" s="106" t="s">
        <v>135</v>
      </c>
      <c r="GG2" s="106" t="s">
        <v>103</v>
      </c>
      <c r="GH2" s="106" t="s">
        <v>134</v>
      </c>
      <c r="GI2" s="106" t="s">
        <v>191</v>
      </c>
    </row>
    <row r="3" spans="1:191" x14ac:dyDescent="0.35">
      <c r="A3" s="96" t="s">
        <v>486</v>
      </c>
      <c r="B3" s="97">
        <v>0.57321759259259264</v>
      </c>
      <c r="C3" s="96">
        <v>91963</v>
      </c>
      <c r="D3" s="96" t="s">
        <v>487</v>
      </c>
      <c r="G3" s="100" t="s">
        <v>488</v>
      </c>
      <c r="H3" s="96" t="s">
        <v>489</v>
      </c>
      <c r="I3" s="96" t="s">
        <v>490</v>
      </c>
      <c r="J3" s="96" t="s">
        <v>485</v>
      </c>
      <c r="K3" s="98"/>
      <c r="L3" s="101">
        <v>20</v>
      </c>
      <c r="M3" s="101">
        <v>19</v>
      </c>
      <c r="N3" s="101">
        <v>20.100000000000001</v>
      </c>
      <c r="O3" s="101">
        <v>22.7</v>
      </c>
      <c r="P3" s="102">
        <v>73</v>
      </c>
      <c r="Q3" s="101">
        <v>50.152713432959999</v>
      </c>
      <c r="R3" s="98">
        <v>0</v>
      </c>
      <c r="S3" s="98">
        <v>0</v>
      </c>
      <c r="T3" s="98">
        <v>0</v>
      </c>
      <c r="U3" s="98">
        <v>0</v>
      </c>
      <c r="V3" s="98" t="s">
        <v>24</v>
      </c>
      <c r="W3" s="98">
        <v>0</v>
      </c>
      <c r="X3" s="98">
        <v>0</v>
      </c>
      <c r="Y3" s="98">
        <v>0</v>
      </c>
      <c r="Z3" s="103">
        <v>0.9</v>
      </c>
      <c r="AA3" s="103">
        <v>9.5000000000000001E-2</v>
      </c>
      <c r="AB3" s="103">
        <v>5.0000000000000001E-3</v>
      </c>
      <c r="AC3" s="103">
        <v>0</v>
      </c>
      <c r="AD3" s="103">
        <v>0</v>
      </c>
      <c r="AE3" s="103">
        <v>0</v>
      </c>
      <c r="AF3" s="103">
        <v>0</v>
      </c>
      <c r="AG3" s="101">
        <v>45.137442089663999</v>
      </c>
      <c r="AH3" s="101">
        <v>4.7645077761312002</v>
      </c>
      <c r="AI3" s="101">
        <v>0.25076356716479997</v>
      </c>
      <c r="AJ3" s="101">
        <v>0</v>
      </c>
      <c r="AK3" s="101">
        <v>0</v>
      </c>
      <c r="AL3" s="101">
        <v>0</v>
      </c>
      <c r="AM3" s="101">
        <v>0</v>
      </c>
      <c r="AN3" s="103">
        <v>0</v>
      </c>
      <c r="AO3" s="103">
        <v>0</v>
      </c>
      <c r="AP3" s="103">
        <v>0</v>
      </c>
      <c r="AQ3" s="103">
        <v>0</v>
      </c>
      <c r="AR3" s="103">
        <v>0</v>
      </c>
      <c r="AS3" s="103">
        <v>0</v>
      </c>
      <c r="AT3" s="103">
        <v>0</v>
      </c>
      <c r="AU3" s="101">
        <v>0</v>
      </c>
      <c r="AV3" s="101">
        <v>0</v>
      </c>
      <c r="AW3" s="101">
        <v>0</v>
      </c>
      <c r="AX3" s="101">
        <v>0</v>
      </c>
      <c r="AY3" s="101">
        <v>0</v>
      </c>
      <c r="AZ3" s="101">
        <v>0</v>
      </c>
      <c r="BA3" s="101">
        <v>0</v>
      </c>
      <c r="BB3" s="103">
        <v>0.80640000000000001</v>
      </c>
      <c r="BC3" s="103">
        <v>1.6E-2</v>
      </c>
      <c r="BD3" s="103">
        <v>0.17760000000000001</v>
      </c>
      <c r="BE3" s="101">
        <v>8.7417791999999999</v>
      </c>
      <c r="BF3" s="101">
        <v>0.17344799999999999</v>
      </c>
      <c r="BG3" s="101">
        <v>1.9252727999999999</v>
      </c>
      <c r="BH3" s="101">
        <v>2.2000000000000002</v>
      </c>
      <c r="BI3" s="101">
        <v>0.64760773704000008</v>
      </c>
      <c r="BJ3" s="96">
        <v>2</v>
      </c>
      <c r="BK3" s="96">
        <v>0</v>
      </c>
      <c r="BL3" s="96">
        <v>0</v>
      </c>
      <c r="BM3" s="101">
        <v>8.0067865670400007</v>
      </c>
      <c r="BN3" s="101">
        <v>0</v>
      </c>
      <c r="BO3" s="101">
        <v>2</v>
      </c>
      <c r="BP3" s="101">
        <v>0</v>
      </c>
      <c r="BQ3" s="101">
        <v>3</v>
      </c>
      <c r="BR3" s="101">
        <v>1</v>
      </c>
      <c r="BS3" s="101">
        <v>4</v>
      </c>
      <c r="BT3" s="104">
        <v>0</v>
      </c>
      <c r="BU3" s="104">
        <v>0</v>
      </c>
      <c r="BV3" s="104">
        <v>0</v>
      </c>
      <c r="BW3" s="104">
        <v>0</v>
      </c>
      <c r="BX3" s="104">
        <v>0</v>
      </c>
      <c r="BY3" s="104">
        <v>0</v>
      </c>
      <c r="BZ3" s="104">
        <v>0</v>
      </c>
      <c r="CA3" s="104">
        <v>0</v>
      </c>
      <c r="CB3" s="104">
        <v>0</v>
      </c>
      <c r="CC3" s="104">
        <v>0</v>
      </c>
      <c r="CD3" s="104">
        <v>0</v>
      </c>
      <c r="CE3" s="104">
        <v>0</v>
      </c>
      <c r="CF3" s="104">
        <v>0</v>
      </c>
      <c r="CG3" s="104">
        <v>0</v>
      </c>
      <c r="CH3" s="104">
        <v>0</v>
      </c>
      <c r="CI3" s="104">
        <v>0</v>
      </c>
      <c r="CJ3" s="104">
        <v>0</v>
      </c>
      <c r="CK3" s="104">
        <v>0</v>
      </c>
      <c r="CL3" s="104">
        <v>0</v>
      </c>
      <c r="CM3" s="104">
        <v>0</v>
      </c>
      <c r="CN3" s="104">
        <v>0</v>
      </c>
      <c r="CO3" s="104">
        <v>0</v>
      </c>
      <c r="CP3" s="98">
        <v>30000</v>
      </c>
      <c r="CQ3" s="96" t="s">
        <v>147</v>
      </c>
      <c r="CR3" s="101">
        <v>153.88235294117646</v>
      </c>
      <c r="CS3" s="101">
        <v>0</v>
      </c>
      <c r="CT3" s="101">
        <v>0</v>
      </c>
      <c r="CU3" s="101">
        <v>0</v>
      </c>
      <c r="CV3" s="101">
        <v>0</v>
      </c>
      <c r="CW3" s="96" t="s">
        <v>369</v>
      </c>
      <c r="CX3" s="96" t="s">
        <v>490</v>
      </c>
      <c r="CY3" s="143">
        <v>61</v>
      </c>
      <c r="CZ3" s="96" t="s">
        <v>369</v>
      </c>
      <c r="DA3" s="143">
        <v>92</v>
      </c>
      <c r="DB3" s="143">
        <v>153</v>
      </c>
      <c r="DC3" s="99">
        <v>94</v>
      </c>
      <c r="DD3" s="99">
        <v>35</v>
      </c>
      <c r="DE3" s="99">
        <v>164.17</v>
      </c>
      <c r="DF3" s="99">
        <v>49.5</v>
      </c>
      <c r="DG3" s="99">
        <v>224</v>
      </c>
      <c r="DH3" s="99">
        <v>103</v>
      </c>
      <c r="DI3" s="99">
        <v>50</v>
      </c>
      <c r="DJ3" s="99">
        <v>4.24</v>
      </c>
      <c r="DK3" s="99">
        <v>0.17</v>
      </c>
      <c r="DL3" s="99">
        <v>0.04</v>
      </c>
      <c r="DM3" s="99">
        <v>0</v>
      </c>
      <c r="DN3" s="99">
        <v>0</v>
      </c>
      <c r="DO3" s="99">
        <v>0</v>
      </c>
      <c r="DP3" s="99">
        <v>0</v>
      </c>
      <c r="DQ3" s="99">
        <v>4.45</v>
      </c>
      <c r="DR3" s="99">
        <v>94.5</v>
      </c>
      <c r="DS3" s="99">
        <v>35</v>
      </c>
      <c r="DT3" s="99">
        <v>118</v>
      </c>
      <c r="DU3" s="99">
        <v>90</v>
      </c>
      <c r="DV3" s="99">
        <v>54</v>
      </c>
      <c r="DW3" s="99">
        <v>0</v>
      </c>
      <c r="DX3" s="99">
        <v>50</v>
      </c>
      <c r="DY3" s="99">
        <v>0</v>
      </c>
      <c r="DZ3" s="99">
        <v>0</v>
      </c>
      <c r="EA3" s="99">
        <v>0</v>
      </c>
      <c r="EB3" s="99">
        <v>0</v>
      </c>
      <c r="EC3" s="99">
        <v>0</v>
      </c>
      <c r="ED3" s="99">
        <v>0</v>
      </c>
      <c r="EE3" s="99">
        <v>0</v>
      </c>
      <c r="EF3" s="99">
        <v>0</v>
      </c>
      <c r="EG3" s="99">
        <v>112.25</v>
      </c>
      <c r="EH3" s="99">
        <v>37.1</v>
      </c>
      <c r="EI3" s="99">
        <v>137.25</v>
      </c>
      <c r="EJ3" s="99">
        <v>0.98</v>
      </c>
      <c r="EK3" s="99">
        <v>0.01</v>
      </c>
      <c r="EL3" s="99">
        <v>0.26</v>
      </c>
      <c r="EM3" s="99">
        <v>1.25</v>
      </c>
      <c r="EN3" s="99">
        <v>3.36</v>
      </c>
      <c r="EO3" s="99">
        <v>0</v>
      </c>
      <c r="EP3" s="99">
        <v>0</v>
      </c>
      <c r="EQ3" s="99">
        <v>0</v>
      </c>
      <c r="ER3" s="99">
        <v>0.21</v>
      </c>
      <c r="ES3" s="99">
        <v>0.25</v>
      </c>
      <c r="ET3" s="99">
        <v>0</v>
      </c>
      <c r="EU3" s="99">
        <v>0.1</v>
      </c>
      <c r="EV3" s="99">
        <v>0.1</v>
      </c>
      <c r="EW3" s="99">
        <v>0.05</v>
      </c>
      <c r="EX3" s="99">
        <v>0</v>
      </c>
      <c r="EY3" s="99">
        <v>1.05</v>
      </c>
      <c r="EZ3" s="99">
        <v>1.55</v>
      </c>
      <c r="FA3" s="99">
        <v>1.48</v>
      </c>
      <c r="FB3" s="99">
        <v>9.27</v>
      </c>
      <c r="FC3" s="99">
        <v>3.03</v>
      </c>
      <c r="FD3" s="99">
        <v>12.3</v>
      </c>
      <c r="FE3" s="99">
        <v>0.62</v>
      </c>
      <c r="FF3" s="99">
        <v>12.92</v>
      </c>
      <c r="FG3" s="99">
        <v>13.95</v>
      </c>
      <c r="FH3" s="99">
        <v>14.47</v>
      </c>
      <c r="FI3" s="99">
        <v>0</v>
      </c>
      <c r="FJ3" s="99">
        <v>0</v>
      </c>
      <c r="FK3" s="99">
        <v>1.03</v>
      </c>
      <c r="FL3" s="103">
        <v>8.0000000000000016E-2</v>
      </c>
      <c r="FM3" s="99">
        <v>1.03</v>
      </c>
      <c r="FN3" s="103">
        <v>8.0000000000000016E-2</v>
      </c>
      <c r="FO3" s="99">
        <v>1.55</v>
      </c>
      <c r="FP3" s="103">
        <v>0.12000000000000004</v>
      </c>
      <c r="FQ3" s="99">
        <v>1.55</v>
      </c>
      <c r="FR3" s="103">
        <v>0.12000000000000004</v>
      </c>
      <c r="FT3" s="96" t="s">
        <v>23</v>
      </c>
      <c r="FU3" s="96" t="s">
        <v>86</v>
      </c>
      <c r="FV3" s="96" t="s">
        <v>140</v>
      </c>
      <c r="FW3" s="96" t="s">
        <v>39</v>
      </c>
      <c r="FY3" s="96">
        <v>73</v>
      </c>
      <c r="GA3" s="96">
        <v>0.14849999999999999</v>
      </c>
      <c r="GB3" s="96">
        <v>73</v>
      </c>
      <c r="GC3" s="96">
        <v>50.152713432959999</v>
      </c>
      <c r="GD3" s="96">
        <v>0</v>
      </c>
      <c r="GE3" s="96">
        <v>10.840499999999999</v>
      </c>
      <c r="GF3" s="96">
        <v>0</v>
      </c>
      <c r="GG3" s="96">
        <v>8.0067865670400007</v>
      </c>
      <c r="GH3" s="96">
        <v>0</v>
      </c>
      <c r="GI3" s="96">
        <v>4</v>
      </c>
    </row>
    <row r="4" spans="1:191" x14ac:dyDescent="0.35">
      <c r="A4" s="96" t="s">
        <v>486</v>
      </c>
      <c r="B4" s="97">
        <v>0.57480324074074074</v>
      </c>
      <c r="C4" s="96">
        <v>91963</v>
      </c>
      <c r="D4" s="96" t="s">
        <v>491</v>
      </c>
      <c r="G4" s="100" t="s">
        <v>488</v>
      </c>
      <c r="H4" s="96" t="s">
        <v>489</v>
      </c>
      <c r="I4" s="96" t="s">
        <v>490</v>
      </c>
      <c r="J4" s="96" t="s">
        <v>484</v>
      </c>
      <c r="K4" s="98"/>
      <c r="L4" s="101">
        <v>20</v>
      </c>
      <c r="M4" s="101">
        <v>19</v>
      </c>
      <c r="N4" s="101">
        <v>20.100000000000001</v>
      </c>
      <c r="O4" s="101">
        <v>22.7</v>
      </c>
      <c r="P4" s="102">
        <v>74</v>
      </c>
      <c r="Q4" s="101">
        <v>51.00421343296</v>
      </c>
      <c r="R4" s="98">
        <v>0</v>
      </c>
      <c r="S4" s="98">
        <v>0</v>
      </c>
      <c r="T4" s="98">
        <v>0</v>
      </c>
      <c r="U4" s="98">
        <v>0</v>
      </c>
      <c r="V4" s="98" t="s">
        <v>24</v>
      </c>
      <c r="W4" s="98">
        <v>0</v>
      </c>
      <c r="X4" s="98">
        <v>0</v>
      </c>
      <c r="Y4" s="98">
        <v>0</v>
      </c>
      <c r="Z4" s="103">
        <v>0.9</v>
      </c>
      <c r="AA4" s="103">
        <v>9.5000000000000001E-2</v>
      </c>
      <c r="AB4" s="103">
        <v>5.0000000000000001E-3</v>
      </c>
      <c r="AC4" s="103">
        <v>0</v>
      </c>
      <c r="AD4" s="103">
        <v>0</v>
      </c>
      <c r="AE4" s="103">
        <v>0</v>
      </c>
      <c r="AF4" s="103">
        <v>0</v>
      </c>
      <c r="AG4" s="101">
        <v>45.903792089664002</v>
      </c>
      <c r="AH4" s="101">
        <v>4.8454002761312003</v>
      </c>
      <c r="AI4" s="101">
        <v>0.2550210671648</v>
      </c>
      <c r="AJ4" s="101">
        <v>0</v>
      </c>
      <c r="AK4" s="101">
        <v>0</v>
      </c>
      <c r="AL4" s="101">
        <v>0</v>
      </c>
      <c r="AM4" s="101">
        <v>0</v>
      </c>
      <c r="AN4" s="103">
        <v>0</v>
      </c>
      <c r="AO4" s="103">
        <v>0</v>
      </c>
      <c r="AP4" s="103">
        <v>0</v>
      </c>
      <c r="AQ4" s="103">
        <v>0</v>
      </c>
      <c r="AR4" s="103">
        <v>0</v>
      </c>
      <c r="AS4" s="103">
        <v>0</v>
      </c>
      <c r="AT4" s="103">
        <v>0</v>
      </c>
      <c r="AU4" s="101">
        <v>0</v>
      </c>
      <c r="AV4" s="101">
        <v>0</v>
      </c>
      <c r="AW4" s="101">
        <v>0</v>
      </c>
      <c r="AX4" s="101">
        <v>0</v>
      </c>
      <c r="AY4" s="101">
        <v>0</v>
      </c>
      <c r="AZ4" s="101">
        <v>0</v>
      </c>
      <c r="BA4" s="101">
        <v>0</v>
      </c>
      <c r="BB4" s="103">
        <v>0.80640000000000001</v>
      </c>
      <c r="BC4" s="103">
        <v>1.6E-2</v>
      </c>
      <c r="BD4" s="103">
        <v>0.17760000000000001</v>
      </c>
      <c r="BE4" s="101">
        <v>8.861529599999999</v>
      </c>
      <c r="BF4" s="101">
        <v>0.17582399999999998</v>
      </c>
      <c r="BG4" s="101">
        <v>1.9516464</v>
      </c>
      <c r="BH4" s="101">
        <v>2.2000000000000002</v>
      </c>
      <c r="BI4" s="101">
        <v>0.64760773704000008</v>
      </c>
      <c r="BJ4" s="96">
        <v>2</v>
      </c>
      <c r="BK4" s="96">
        <v>0</v>
      </c>
      <c r="BL4" s="96">
        <v>0</v>
      </c>
      <c r="BM4" s="101">
        <v>8.0067865670400007</v>
      </c>
      <c r="BN4" s="101">
        <v>0</v>
      </c>
      <c r="BO4" s="101">
        <v>2</v>
      </c>
      <c r="BP4" s="101">
        <v>0</v>
      </c>
      <c r="BQ4" s="101">
        <v>3</v>
      </c>
      <c r="BR4" s="101">
        <v>1</v>
      </c>
      <c r="BS4" s="101">
        <v>4</v>
      </c>
      <c r="BT4" s="104">
        <v>0</v>
      </c>
      <c r="BU4" s="104">
        <v>0</v>
      </c>
      <c r="BV4" s="104">
        <v>0</v>
      </c>
      <c r="BW4" s="104">
        <v>0</v>
      </c>
      <c r="BX4" s="104">
        <v>0</v>
      </c>
      <c r="BY4" s="104">
        <v>0</v>
      </c>
      <c r="BZ4" s="104">
        <v>0</v>
      </c>
      <c r="CA4" s="104">
        <v>0</v>
      </c>
      <c r="CB4" s="104">
        <v>0</v>
      </c>
      <c r="CC4" s="104">
        <v>0</v>
      </c>
      <c r="CD4" s="104">
        <v>0</v>
      </c>
      <c r="CE4" s="104">
        <v>0</v>
      </c>
      <c r="CF4" s="104">
        <v>0</v>
      </c>
      <c r="CG4" s="104">
        <v>0</v>
      </c>
      <c r="CH4" s="104">
        <v>0</v>
      </c>
      <c r="CI4" s="104">
        <v>0</v>
      </c>
      <c r="CJ4" s="104">
        <v>0</v>
      </c>
      <c r="CK4" s="104">
        <v>0</v>
      </c>
      <c r="CL4" s="104">
        <v>0</v>
      </c>
      <c r="CM4" s="104">
        <v>0</v>
      </c>
      <c r="CN4" s="104">
        <v>0</v>
      </c>
      <c r="CO4" s="104">
        <v>0</v>
      </c>
      <c r="CP4" s="98">
        <v>30000</v>
      </c>
      <c r="CQ4" s="96" t="s">
        <v>147</v>
      </c>
      <c r="CR4" s="101">
        <v>153.88235294117646</v>
      </c>
      <c r="CS4" s="101">
        <v>0</v>
      </c>
      <c r="CT4" s="101">
        <v>0</v>
      </c>
      <c r="CU4" s="101">
        <v>0</v>
      </c>
      <c r="CV4" s="101">
        <v>0</v>
      </c>
      <c r="CW4" s="96" t="s">
        <v>369</v>
      </c>
      <c r="CX4" s="96" t="s">
        <v>490</v>
      </c>
      <c r="CY4" s="143">
        <v>61</v>
      </c>
      <c r="CZ4" s="96" t="s">
        <v>369</v>
      </c>
      <c r="DA4" s="143">
        <v>92</v>
      </c>
      <c r="DB4" s="143">
        <v>153</v>
      </c>
      <c r="DC4" s="99">
        <v>94</v>
      </c>
      <c r="DD4" s="99">
        <v>35</v>
      </c>
      <c r="DE4" s="99">
        <v>164.17</v>
      </c>
      <c r="DF4" s="99">
        <v>49.5</v>
      </c>
      <c r="DG4" s="99">
        <v>224</v>
      </c>
      <c r="DH4" s="99">
        <v>103</v>
      </c>
      <c r="DI4" s="99">
        <v>50</v>
      </c>
      <c r="DJ4" s="99">
        <v>4.32</v>
      </c>
      <c r="DK4" s="99">
        <v>0.17</v>
      </c>
      <c r="DL4" s="99">
        <v>0.04</v>
      </c>
      <c r="DM4" s="99">
        <v>0</v>
      </c>
      <c r="DN4" s="99">
        <v>0</v>
      </c>
      <c r="DO4" s="99">
        <v>0</v>
      </c>
      <c r="DP4" s="99">
        <v>0</v>
      </c>
      <c r="DQ4" s="99">
        <v>4.53</v>
      </c>
      <c r="DR4" s="99">
        <v>94.5</v>
      </c>
      <c r="DS4" s="99">
        <v>35</v>
      </c>
      <c r="DT4" s="99">
        <v>118</v>
      </c>
      <c r="DU4" s="99">
        <v>90</v>
      </c>
      <c r="DV4" s="99">
        <v>54</v>
      </c>
      <c r="DW4" s="99">
        <v>0</v>
      </c>
      <c r="DX4" s="99">
        <v>50</v>
      </c>
      <c r="DY4" s="99">
        <v>0</v>
      </c>
      <c r="DZ4" s="99">
        <v>0</v>
      </c>
      <c r="EA4" s="99">
        <v>0</v>
      </c>
      <c r="EB4" s="99">
        <v>0</v>
      </c>
      <c r="EC4" s="99">
        <v>0</v>
      </c>
      <c r="ED4" s="99">
        <v>0</v>
      </c>
      <c r="EE4" s="99">
        <v>0</v>
      </c>
      <c r="EF4" s="99">
        <v>0</v>
      </c>
      <c r="EG4" s="99">
        <v>112.25</v>
      </c>
      <c r="EH4" s="99">
        <v>37.1</v>
      </c>
      <c r="EI4" s="99">
        <v>137.25</v>
      </c>
      <c r="EJ4" s="99">
        <v>0.99</v>
      </c>
      <c r="EK4" s="99">
        <v>0.01</v>
      </c>
      <c r="EL4" s="99">
        <v>0.27</v>
      </c>
      <c r="EM4" s="99">
        <v>1.27</v>
      </c>
      <c r="EN4" s="99">
        <v>3.36</v>
      </c>
      <c r="EO4" s="99">
        <v>0</v>
      </c>
      <c r="EP4" s="99">
        <v>0</v>
      </c>
      <c r="EQ4" s="99">
        <v>0</v>
      </c>
      <c r="ER4" s="99">
        <v>0.21</v>
      </c>
      <c r="ES4" s="99">
        <v>0.25</v>
      </c>
      <c r="ET4" s="99">
        <v>0</v>
      </c>
      <c r="EU4" s="99">
        <v>0.1</v>
      </c>
      <c r="EV4" s="99">
        <v>0.1</v>
      </c>
      <c r="EW4" s="99">
        <v>0.05</v>
      </c>
      <c r="EX4" s="99">
        <v>0</v>
      </c>
      <c r="EY4" s="99">
        <v>1.05</v>
      </c>
      <c r="EZ4" s="99">
        <v>1.55</v>
      </c>
      <c r="FA4" s="99">
        <v>1.5</v>
      </c>
      <c r="FB4" s="99">
        <v>9.36</v>
      </c>
      <c r="FC4" s="99">
        <v>3.05</v>
      </c>
      <c r="FD4" s="99">
        <v>12.42</v>
      </c>
      <c r="FE4" s="99">
        <v>0.62</v>
      </c>
      <c r="FF4" s="99">
        <v>13.04</v>
      </c>
      <c r="FG4" s="99">
        <v>14.08</v>
      </c>
      <c r="FH4" s="99">
        <v>14.6</v>
      </c>
      <c r="FI4" s="99">
        <v>0</v>
      </c>
      <c r="FJ4" s="99">
        <v>0</v>
      </c>
      <c r="FK4" s="99">
        <v>1.04</v>
      </c>
      <c r="FL4" s="103">
        <v>0.08</v>
      </c>
      <c r="FM4" s="99">
        <v>1.04</v>
      </c>
      <c r="FN4" s="103">
        <v>0.08</v>
      </c>
      <c r="FO4" s="99">
        <v>1.56</v>
      </c>
      <c r="FP4" s="103">
        <v>0.11999999999999994</v>
      </c>
      <c r="FQ4" s="99">
        <v>1.56</v>
      </c>
      <c r="FR4" s="103">
        <v>0.11999999999999994</v>
      </c>
      <c r="FT4" s="96" t="s">
        <v>23</v>
      </c>
      <c r="FU4" s="96" t="s">
        <v>86</v>
      </c>
      <c r="FV4" s="96" t="s">
        <v>140</v>
      </c>
      <c r="FW4" s="96" t="s">
        <v>39</v>
      </c>
      <c r="FY4" s="96">
        <v>74</v>
      </c>
      <c r="GA4" s="96">
        <v>0.14849999999999999</v>
      </c>
      <c r="GB4" s="96">
        <v>74</v>
      </c>
      <c r="GC4" s="96">
        <v>51.00421343296</v>
      </c>
      <c r="GD4" s="96">
        <v>0</v>
      </c>
      <c r="GE4" s="96">
        <v>10.988999999999999</v>
      </c>
      <c r="GF4" s="96">
        <v>0</v>
      </c>
      <c r="GG4" s="96">
        <v>8.0067865670400007</v>
      </c>
      <c r="GH4" s="96">
        <v>0</v>
      </c>
      <c r="GI4" s="96">
        <v>4</v>
      </c>
    </row>
    <row r="5" spans="1:191" x14ac:dyDescent="0.35">
      <c r="A5" s="96" t="s">
        <v>486</v>
      </c>
      <c r="B5" s="97">
        <v>0.57565972222222217</v>
      </c>
      <c r="C5" s="96">
        <v>91963</v>
      </c>
      <c r="D5" s="96" t="s">
        <v>493</v>
      </c>
      <c r="G5" s="100" t="s">
        <v>488</v>
      </c>
      <c r="H5" s="96" t="s">
        <v>489</v>
      </c>
      <c r="I5" s="96" t="s">
        <v>490</v>
      </c>
      <c r="J5" s="96" t="s">
        <v>492</v>
      </c>
      <c r="K5" s="98"/>
      <c r="L5" s="101">
        <v>26</v>
      </c>
      <c r="M5" s="101">
        <v>28</v>
      </c>
      <c r="N5" s="101">
        <v>26.1</v>
      </c>
      <c r="O5" s="101">
        <v>31.7</v>
      </c>
      <c r="P5" s="102">
        <v>123</v>
      </c>
      <c r="Q5" s="101">
        <v>85.416020005760004</v>
      </c>
      <c r="R5" s="98">
        <v>0</v>
      </c>
      <c r="S5" s="98">
        <v>0</v>
      </c>
      <c r="T5" s="98">
        <v>0</v>
      </c>
      <c r="U5" s="98">
        <v>0</v>
      </c>
      <c r="V5" s="98" t="s">
        <v>24</v>
      </c>
      <c r="W5" s="98">
        <v>0</v>
      </c>
      <c r="X5" s="98">
        <v>0</v>
      </c>
      <c r="Y5" s="98">
        <v>0</v>
      </c>
      <c r="Z5" s="103">
        <v>0.9</v>
      </c>
      <c r="AA5" s="103">
        <v>9.5000000000000001E-2</v>
      </c>
      <c r="AB5" s="103">
        <v>5.0000000000000001E-3</v>
      </c>
      <c r="AC5" s="103">
        <v>0</v>
      </c>
      <c r="AD5" s="103">
        <v>0</v>
      </c>
      <c r="AE5" s="103">
        <v>0</v>
      </c>
      <c r="AF5" s="103">
        <v>0</v>
      </c>
      <c r="AG5" s="101">
        <v>76.874418005184012</v>
      </c>
      <c r="AH5" s="101">
        <v>8.1145219005472011</v>
      </c>
      <c r="AI5" s="101">
        <v>0.42708010002880004</v>
      </c>
      <c r="AJ5" s="101">
        <v>0</v>
      </c>
      <c r="AK5" s="101">
        <v>0</v>
      </c>
      <c r="AL5" s="101">
        <v>0</v>
      </c>
      <c r="AM5" s="101">
        <v>0</v>
      </c>
      <c r="AN5" s="103">
        <v>0</v>
      </c>
      <c r="AO5" s="103">
        <v>0</v>
      </c>
      <c r="AP5" s="103">
        <v>0</v>
      </c>
      <c r="AQ5" s="103">
        <v>0</v>
      </c>
      <c r="AR5" s="103">
        <v>0</v>
      </c>
      <c r="AS5" s="103">
        <v>0</v>
      </c>
      <c r="AT5" s="103">
        <v>0</v>
      </c>
      <c r="AU5" s="101">
        <v>0</v>
      </c>
      <c r="AV5" s="101">
        <v>0</v>
      </c>
      <c r="AW5" s="101">
        <v>0</v>
      </c>
      <c r="AX5" s="101">
        <v>0</v>
      </c>
      <c r="AY5" s="101">
        <v>0</v>
      </c>
      <c r="AZ5" s="101">
        <v>0</v>
      </c>
      <c r="BA5" s="101">
        <v>0</v>
      </c>
      <c r="BB5" s="103">
        <v>0.80640000000000001</v>
      </c>
      <c r="BC5" s="103">
        <v>1.6E-2</v>
      </c>
      <c r="BD5" s="103">
        <v>0.17760000000000001</v>
      </c>
      <c r="BE5" s="101">
        <v>15.374016000000001</v>
      </c>
      <c r="BF5" s="101">
        <v>0.30504000000000003</v>
      </c>
      <c r="BG5" s="101">
        <v>3.3859440000000003</v>
      </c>
      <c r="BH5" s="101">
        <v>2.2000000000000002</v>
      </c>
      <c r="BI5" s="101">
        <v>1.1743292642400001</v>
      </c>
      <c r="BJ5" s="96">
        <v>2</v>
      </c>
      <c r="BK5" s="96">
        <v>0</v>
      </c>
      <c r="BL5" s="96">
        <v>0</v>
      </c>
      <c r="BM5" s="101">
        <v>14.518979994239999</v>
      </c>
      <c r="BN5" s="101">
        <v>0</v>
      </c>
      <c r="BO5" s="101">
        <v>2</v>
      </c>
      <c r="BP5" s="101">
        <v>0</v>
      </c>
      <c r="BQ5" s="101">
        <v>3</v>
      </c>
      <c r="BR5" s="101">
        <v>1</v>
      </c>
      <c r="BS5" s="101">
        <v>4</v>
      </c>
      <c r="BT5" s="104">
        <v>0</v>
      </c>
      <c r="BU5" s="104">
        <v>0</v>
      </c>
      <c r="BV5" s="104">
        <v>0</v>
      </c>
      <c r="BW5" s="104">
        <v>0</v>
      </c>
      <c r="BX5" s="104">
        <v>0</v>
      </c>
      <c r="BY5" s="104">
        <v>0</v>
      </c>
      <c r="BZ5" s="104">
        <v>0</v>
      </c>
      <c r="CA5" s="104">
        <v>0</v>
      </c>
      <c r="CB5" s="104">
        <v>0</v>
      </c>
      <c r="CC5" s="104">
        <v>0</v>
      </c>
      <c r="CD5" s="104">
        <v>0</v>
      </c>
      <c r="CE5" s="104">
        <v>0</v>
      </c>
      <c r="CF5" s="104">
        <v>0</v>
      </c>
      <c r="CG5" s="104">
        <v>0</v>
      </c>
      <c r="CH5" s="104">
        <v>0</v>
      </c>
      <c r="CI5" s="104">
        <v>0</v>
      </c>
      <c r="CJ5" s="104">
        <v>0</v>
      </c>
      <c r="CK5" s="104">
        <v>0</v>
      </c>
      <c r="CL5" s="104">
        <v>0</v>
      </c>
      <c r="CM5" s="104">
        <v>0</v>
      </c>
      <c r="CN5" s="104">
        <v>0</v>
      </c>
      <c r="CO5" s="104">
        <v>0</v>
      </c>
      <c r="CP5" s="98">
        <v>30000</v>
      </c>
      <c r="CQ5" s="96" t="s">
        <v>147</v>
      </c>
      <c r="CR5" s="101">
        <v>153.88235294117646</v>
      </c>
      <c r="CS5" s="101">
        <v>0</v>
      </c>
      <c r="CT5" s="101">
        <v>0</v>
      </c>
      <c r="CU5" s="101">
        <v>0</v>
      </c>
      <c r="CV5" s="101">
        <v>0</v>
      </c>
      <c r="CW5" s="96" t="s">
        <v>369</v>
      </c>
      <c r="CX5" s="96" t="s">
        <v>490</v>
      </c>
      <c r="CY5" s="143">
        <v>61</v>
      </c>
      <c r="CZ5" s="96" t="s">
        <v>369</v>
      </c>
      <c r="DA5" s="143">
        <v>92</v>
      </c>
      <c r="DB5" s="143">
        <v>153</v>
      </c>
      <c r="DC5" s="99">
        <v>94</v>
      </c>
      <c r="DD5" s="99">
        <v>35</v>
      </c>
      <c r="DE5" s="99">
        <v>164.17</v>
      </c>
      <c r="DF5" s="99">
        <v>49.5</v>
      </c>
      <c r="DG5" s="99">
        <v>224</v>
      </c>
      <c r="DH5" s="99">
        <v>103</v>
      </c>
      <c r="DI5" s="99">
        <v>50</v>
      </c>
      <c r="DJ5" s="99">
        <v>7.23</v>
      </c>
      <c r="DK5" s="99">
        <v>0.28000000000000003</v>
      </c>
      <c r="DL5" s="99">
        <v>7.0000000000000007E-2</v>
      </c>
      <c r="DM5" s="99">
        <v>0</v>
      </c>
      <c r="DN5" s="99">
        <v>0</v>
      </c>
      <c r="DO5" s="99">
        <v>0</v>
      </c>
      <c r="DP5" s="99">
        <v>0</v>
      </c>
      <c r="DQ5" s="99">
        <v>7.58</v>
      </c>
      <c r="DR5" s="99">
        <v>94.5</v>
      </c>
      <c r="DS5" s="99">
        <v>35</v>
      </c>
      <c r="DT5" s="99">
        <v>118</v>
      </c>
      <c r="DU5" s="99">
        <v>90</v>
      </c>
      <c r="DV5" s="99">
        <v>54</v>
      </c>
      <c r="DW5" s="99">
        <v>0</v>
      </c>
      <c r="DX5" s="99">
        <v>50</v>
      </c>
      <c r="DY5" s="99">
        <v>0</v>
      </c>
      <c r="DZ5" s="99">
        <v>0</v>
      </c>
      <c r="EA5" s="99">
        <v>0</v>
      </c>
      <c r="EB5" s="99">
        <v>0</v>
      </c>
      <c r="EC5" s="99">
        <v>0</v>
      </c>
      <c r="ED5" s="99">
        <v>0</v>
      </c>
      <c r="EE5" s="99">
        <v>0</v>
      </c>
      <c r="EF5" s="99">
        <v>0</v>
      </c>
      <c r="EG5" s="99">
        <v>112.25</v>
      </c>
      <c r="EH5" s="99">
        <v>37.1</v>
      </c>
      <c r="EI5" s="99">
        <v>137.25</v>
      </c>
      <c r="EJ5" s="99">
        <v>1.73</v>
      </c>
      <c r="EK5" s="99">
        <v>0.01</v>
      </c>
      <c r="EL5" s="99">
        <v>0.46</v>
      </c>
      <c r="EM5" s="99">
        <v>2.2000000000000002</v>
      </c>
      <c r="EN5" s="99">
        <v>6.1</v>
      </c>
      <c r="EO5" s="99">
        <v>0</v>
      </c>
      <c r="EP5" s="99">
        <v>0</v>
      </c>
      <c r="EQ5" s="99">
        <v>0</v>
      </c>
      <c r="ER5" s="99">
        <v>0.21</v>
      </c>
      <c r="ES5" s="99">
        <v>0.25</v>
      </c>
      <c r="ET5" s="99">
        <v>0</v>
      </c>
      <c r="EU5" s="99">
        <v>0.1</v>
      </c>
      <c r="EV5" s="99">
        <v>0.1</v>
      </c>
      <c r="EW5" s="99">
        <v>0.05</v>
      </c>
      <c r="EX5" s="99">
        <v>0</v>
      </c>
      <c r="EY5" s="99">
        <v>1.05</v>
      </c>
      <c r="EZ5" s="99">
        <v>1.55</v>
      </c>
      <c r="FA5" s="99">
        <v>2.52</v>
      </c>
      <c r="FB5" s="99">
        <v>16.09</v>
      </c>
      <c r="FC5" s="99">
        <v>4.07</v>
      </c>
      <c r="FD5" s="99">
        <v>20.149999999999999</v>
      </c>
      <c r="FE5" s="99">
        <v>1.01</v>
      </c>
      <c r="FF5" s="99">
        <v>21.16</v>
      </c>
      <c r="FG5" s="99">
        <v>22.86</v>
      </c>
      <c r="FH5" s="99">
        <v>23.7</v>
      </c>
      <c r="FI5" s="99">
        <v>0</v>
      </c>
      <c r="FJ5" s="99">
        <v>0</v>
      </c>
      <c r="FK5" s="99">
        <v>1.69</v>
      </c>
      <c r="FL5" s="103">
        <v>7.9999999999999946E-2</v>
      </c>
      <c r="FM5" s="99">
        <v>1.69</v>
      </c>
      <c r="FN5" s="103">
        <v>7.9999999999999946E-2</v>
      </c>
      <c r="FO5" s="99">
        <v>2.54</v>
      </c>
      <c r="FP5" s="103">
        <v>0.12</v>
      </c>
      <c r="FQ5" s="99">
        <v>2.54</v>
      </c>
      <c r="FR5" s="103">
        <v>0.12</v>
      </c>
      <c r="FT5" s="96" t="s">
        <v>23</v>
      </c>
      <c r="FU5" s="96" t="s">
        <v>86</v>
      </c>
      <c r="FV5" s="96" t="s">
        <v>140</v>
      </c>
      <c r="FW5" s="96" t="s">
        <v>39</v>
      </c>
      <c r="FY5" s="96">
        <v>123</v>
      </c>
      <c r="GA5" s="96">
        <v>0.155</v>
      </c>
      <c r="GB5" s="96">
        <v>123</v>
      </c>
      <c r="GC5" s="96">
        <v>85.416020005760004</v>
      </c>
      <c r="GD5" s="96">
        <v>0</v>
      </c>
      <c r="GE5" s="96">
        <v>19.065000000000001</v>
      </c>
      <c r="GF5" s="96">
        <v>0</v>
      </c>
      <c r="GG5" s="96">
        <v>14.518979994239999</v>
      </c>
      <c r="GH5" s="96">
        <v>0</v>
      </c>
      <c r="GI5" s="96">
        <v>4</v>
      </c>
    </row>
    <row r="6" spans="1:191" x14ac:dyDescent="0.35">
      <c r="A6" s="96" t="s">
        <v>486</v>
      </c>
      <c r="B6" s="97">
        <v>0.5776041666666667</v>
      </c>
      <c r="C6" s="96">
        <v>91963</v>
      </c>
      <c r="D6" s="96" t="s">
        <v>493</v>
      </c>
      <c r="G6" s="100" t="s">
        <v>488</v>
      </c>
      <c r="H6" s="96" t="s">
        <v>489</v>
      </c>
      <c r="I6" s="96" t="s">
        <v>490</v>
      </c>
      <c r="J6" s="96" t="s">
        <v>494</v>
      </c>
      <c r="K6" s="98"/>
      <c r="L6" s="101">
        <v>22</v>
      </c>
      <c r="M6" s="101">
        <v>35</v>
      </c>
      <c r="N6" s="101">
        <v>22.1</v>
      </c>
      <c r="O6" s="101">
        <v>36.200000000000003</v>
      </c>
      <c r="P6" s="102">
        <v>120</v>
      </c>
      <c r="Q6" s="101">
        <v>99.7</v>
      </c>
      <c r="R6" s="98">
        <v>0</v>
      </c>
      <c r="S6" s="98">
        <v>0</v>
      </c>
      <c r="T6" s="98">
        <v>0</v>
      </c>
      <c r="U6" s="98">
        <v>0</v>
      </c>
      <c r="V6" s="98" t="s">
        <v>24</v>
      </c>
      <c r="W6" s="98">
        <v>0</v>
      </c>
      <c r="X6" s="98">
        <v>0</v>
      </c>
      <c r="Y6" s="98">
        <v>0</v>
      </c>
      <c r="Z6" s="103">
        <v>0.9</v>
      </c>
      <c r="AA6" s="103">
        <v>9.5000000000000001E-2</v>
      </c>
      <c r="AB6" s="103">
        <v>5.0000000000000001E-3</v>
      </c>
      <c r="AC6" s="103">
        <v>0</v>
      </c>
      <c r="AD6" s="103">
        <v>0</v>
      </c>
      <c r="AE6" s="103">
        <v>0</v>
      </c>
      <c r="AF6" s="103">
        <v>0</v>
      </c>
      <c r="AG6" s="101">
        <v>89.73</v>
      </c>
      <c r="AH6" s="101">
        <v>9.4715000000000007</v>
      </c>
      <c r="AI6" s="101">
        <v>0.4985</v>
      </c>
      <c r="AJ6" s="101">
        <v>0</v>
      </c>
      <c r="AK6" s="101">
        <v>0</v>
      </c>
      <c r="AL6" s="101">
        <v>0</v>
      </c>
      <c r="AM6" s="101">
        <v>0</v>
      </c>
      <c r="AN6" s="103">
        <v>0</v>
      </c>
      <c r="AO6" s="103">
        <v>0</v>
      </c>
      <c r="AP6" s="103">
        <v>0</v>
      </c>
      <c r="AQ6" s="103">
        <v>0</v>
      </c>
      <c r="AR6" s="103">
        <v>0</v>
      </c>
      <c r="AS6" s="103">
        <v>0</v>
      </c>
      <c r="AT6" s="103">
        <v>0</v>
      </c>
      <c r="AU6" s="101">
        <v>0</v>
      </c>
      <c r="AV6" s="101">
        <v>0</v>
      </c>
      <c r="AW6" s="101">
        <v>0</v>
      </c>
      <c r="AX6" s="101">
        <v>0</v>
      </c>
      <c r="AY6" s="101">
        <v>0</v>
      </c>
      <c r="AZ6" s="101">
        <v>0</v>
      </c>
      <c r="BA6" s="101">
        <v>0</v>
      </c>
      <c r="BB6" s="103">
        <v>0.80640000000000001</v>
      </c>
      <c r="BC6" s="103">
        <v>1.6E-2</v>
      </c>
      <c r="BD6" s="103">
        <v>0.17760000000000001</v>
      </c>
      <c r="BE6" s="101">
        <v>14.5152</v>
      </c>
      <c r="BF6" s="101">
        <v>0.28800000000000003</v>
      </c>
      <c r="BG6" s="101">
        <v>3.1968000000000001</v>
      </c>
      <c r="BH6" s="101">
        <v>2.2000000000000002</v>
      </c>
      <c r="BI6" s="101">
        <v>1.1355099870400003</v>
      </c>
      <c r="BJ6" s="96">
        <v>0</v>
      </c>
      <c r="BK6" s="96">
        <v>0</v>
      </c>
      <c r="BL6" s="96">
        <v>2</v>
      </c>
      <c r="BM6" s="101">
        <v>0</v>
      </c>
      <c r="BN6" s="101">
        <v>1</v>
      </c>
      <c r="BO6" s="101">
        <v>0</v>
      </c>
      <c r="BP6" s="101">
        <v>0</v>
      </c>
      <c r="BQ6" s="101">
        <v>0</v>
      </c>
      <c r="BR6" s="101">
        <v>1.3</v>
      </c>
      <c r="BS6" s="101">
        <v>1.3</v>
      </c>
      <c r="BT6" s="104">
        <v>0</v>
      </c>
      <c r="BU6" s="104">
        <v>0</v>
      </c>
      <c r="BV6" s="104">
        <v>0</v>
      </c>
      <c r="BW6" s="104">
        <v>0</v>
      </c>
      <c r="BX6" s="104">
        <v>0</v>
      </c>
      <c r="BY6" s="104">
        <v>0</v>
      </c>
      <c r="BZ6" s="104">
        <v>0</v>
      </c>
      <c r="CA6" s="104">
        <v>0</v>
      </c>
      <c r="CB6" s="104">
        <v>0</v>
      </c>
      <c r="CC6" s="104">
        <v>0</v>
      </c>
      <c r="CD6" s="104">
        <v>0</v>
      </c>
      <c r="CE6" s="104">
        <v>0</v>
      </c>
      <c r="CF6" s="104">
        <v>0</v>
      </c>
      <c r="CG6" s="104">
        <v>0</v>
      </c>
      <c r="CH6" s="104">
        <v>0</v>
      </c>
      <c r="CI6" s="104">
        <v>0</v>
      </c>
      <c r="CJ6" s="104">
        <v>0</v>
      </c>
      <c r="CK6" s="104">
        <v>0</v>
      </c>
      <c r="CL6" s="104">
        <v>0</v>
      </c>
      <c r="CM6" s="104">
        <v>0</v>
      </c>
      <c r="CN6" s="104">
        <v>0</v>
      </c>
      <c r="CO6" s="104">
        <v>0</v>
      </c>
      <c r="CP6" s="98">
        <v>30000</v>
      </c>
      <c r="CQ6" s="96" t="s">
        <v>164</v>
      </c>
      <c r="CR6" s="101">
        <v>162.23667820069204</v>
      </c>
      <c r="CS6" s="101">
        <v>0</v>
      </c>
      <c r="CT6" s="101">
        <v>0</v>
      </c>
      <c r="CU6" s="101">
        <v>0</v>
      </c>
      <c r="CV6" s="101">
        <v>0</v>
      </c>
      <c r="CW6" s="96" t="s">
        <v>369</v>
      </c>
      <c r="CX6" s="96" t="s">
        <v>490</v>
      </c>
      <c r="CY6" s="143">
        <v>61</v>
      </c>
      <c r="CZ6" s="143">
        <v>92</v>
      </c>
      <c r="DA6" s="143">
        <v>92</v>
      </c>
      <c r="DB6" s="143">
        <v>122</v>
      </c>
      <c r="DC6" s="99">
        <v>94</v>
      </c>
      <c r="DD6" s="99">
        <v>35</v>
      </c>
      <c r="DE6" s="99">
        <v>164.17</v>
      </c>
      <c r="DF6" s="99">
        <v>49.5</v>
      </c>
      <c r="DG6" s="99">
        <v>224</v>
      </c>
      <c r="DH6" s="99">
        <v>103</v>
      </c>
      <c r="DI6" s="99">
        <v>50</v>
      </c>
      <c r="DJ6" s="99">
        <v>8.43</v>
      </c>
      <c r="DK6" s="99">
        <v>0.33</v>
      </c>
      <c r="DL6" s="99">
        <v>0.08</v>
      </c>
      <c r="DM6" s="99">
        <v>0</v>
      </c>
      <c r="DN6" s="99">
        <v>0</v>
      </c>
      <c r="DO6" s="99">
        <v>0</v>
      </c>
      <c r="DP6" s="99">
        <v>0</v>
      </c>
      <c r="DQ6" s="99">
        <v>8.85</v>
      </c>
      <c r="DR6" s="99">
        <v>94.5</v>
      </c>
      <c r="DS6" s="99">
        <v>35</v>
      </c>
      <c r="DT6" s="99">
        <v>118</v>
      </c>
      <c r="DU6" s="99">
        <v>90</v>
      </c>
      <c r="DV6" s="99">
        <v>54</v>
      </c>
      <c r="DW6" s="99">
        <v>0</v>
      </c>
      <c r="DX6" s="99">
        <v>50</v>
      </c>
      <c r="DY6" s="99">
        <v>0</v>
      </c>
      <c r="DZ6" s="99">
        <v>0</v>
      </c>
      <c r="EA6" s="99">
        <v>0</v>
      </c>
      <c r="EB6" s="99">
        <v>0</v>
      </c>
      <c r="EC6" s="99">
        <v>0</v>
      </c>
      <c r="ED6" s="99">
        <v>0</v>
      </c>
      <c r="EE6" s="99">
        <v>0</v>
      </c>
      <c r="EF6" s="99">
        <v>0</v>
      </c>
      <c r="EG6" s="99">
        <v>112.25</v>
      </c>
      <c r="EH6" s="99">
        <v>37.1</v>
      </c>
      <c r="EI6" s="99">
        <v>137.25</v>
      </c>
      <c r="EJ6" s="99">
        <v>1.63</v>
      </c>
      <c r="EK6" s="99">
        <v>0.01</v>
      </c>
      <c r="EL6" s="99">
        <v>0.44</v>
      </c>
      <c r="EM6" s="99">
        <v>2.08</v>
      </c>
      <c r="EN6" s="99">
        <v>0</v>
      </c>
      <c r="EO6" s="99">
        <v>0</v>
      </c>
      <c r="EP6" s="99">
        <v>0.22</v>
      </c>
      <c r="EQ6" s="99">
        <v>0</v>
      </c>
      <c r="ER6" s="99">
        <v>0.05</v>
      </c>
      <c r="ES6" s="99">
        <v>0.25</v>
      </c>
      <c r="ET6" s="99">
        <v>0.1</v>
      </c>
      <c r="EU6" s="99">
        <v>0.1</v>
      </c>
      <c r="EV6" s="99">
        <v>0.1</v>
      </c>
      <c r="EW6" s="99">
        <v>0.05</v>
      </c>
      <c r="EX6" s="99">
        <v>0</v>
      </c>
      <c r="EY6" s="99">
        <v>0</v>
      </c>
      <c r="EZ6" s="99">
        <v>0.6</v>
      </c>
      <c r="FA6" s="99">
        <v>2.94</v>
      </c>
      <c r="FB6" s="99">
        <v>11.19</v>
      </c>
      <c r="FC6" s="99">
        <v>3.54</v>
      </c>
      <c r="FD6" s="99">
        <v>14.73</v>
      </c>
      <c r="FE6" s="99">
        <v>0.74</v>
      </c>
      <c r="FF6" s="99">
        <v>15.47</v>
      </c>
      <c r="FG6" s="99">
        <v>16.71</v>
      </c>
      <c r="FH6" s="99">
        <v>17.329999999999998</v>
      </c>
      <c r="FI6" s="99">
        <v>0</v>
      </c>
      <c r="FJ6" s="99">
        <v>0</v>
      </c>
      <c r="FK6" s="99">
        <v>1.24</v>
      </c>
      <c r="FL6" s="103">
        <v>8.0000000000000085E-2</v>
      </c>
      <c r="FM6" s="99">
        <v>1.24</v>
      </c>
      <c r="FN6" s="103">
        <v>8.0000000000000085E-2</v>
      </c>
      <c r="FO6" s="99">
        <v>1.86</v>
      </c>
      <c r="FP6" s="103">
        <v>0.12000000000000001</v>
      </c>
      <c r="FQ6" s="99">
        <v>1.86</v>
      </c>
      <c r="FR6" s="103">
        <v>0.12000000000000001</v>
      </c>
      <c r="FT6" s="96" t="s">
        <v>23</v>
      </c>
      <c r="FU6" s="96" t="s">
        <v>22</v>
      </c>
      <c r="FV6" s="96" t="s">
        <v>121</v>
      </c>
      <c r="FW6" s="96" t="s">
        <v>47</v>
      </c>
      <c r="FY6" s="96">
        <v>120</v>
      </c>
      <c r="GA6" s="96">
        <v>0.15</v>
      </c>
      <c r="GB6" s="96">
        <v>120</v>
      </c>
      <c r="GC6" s="96">
        <v>99.7</v>
      </c>
      <c r="GD6" s="96">
        <v>0</v>
      </c>
      <c r="GE6" s="96">
        <v>18</v>
      </c>
      <c r="GF6" s="96">
        <v>1</v>
      </c>
      <c r="GG6" s="96">
        <v>0</v>
      </c>
      <c r="GH6" s="96">
        <v>0</v>
      </c>
      <c r="GI6" s="96">
        <v>1.3</v>
      </c>
    </row>
    <row r="7" spans="1:191" x14ac:dyDescent="0.35">
      <c r="A7" s="96" t="s">
        <v>486</v>
      </c>
      <c r="B7" s="97">
        <v>0.58018518518518514</v>
      </c>
      <c r="C7" s="96">
        <v>91963</v>
      </c>
      <c r="D7" s="96" t="s">
        <v>496</v>
      </c>
      <c r="G7" s="100" t="s">
        <v>488</v>
      </c>
      <c r="H7" s="96" t="s">
        <v>489</v>
      </c>
      <c r="I7" s="96" t="s">
        <v>490</v>
      </c>
      <c r="J7" s="96" t="s">
        <v>495</v>
      </c>
      <c r="K7" s="98"/>
      <c r="L7" s="101">
        <v>24</v>
      </c>
      <c r="M7" s="101">
        <v>48</v>
      </c>
      <c r="N7" s="101">
        <v>24.1</v>
      </c>
      <c r="O7" s="101">
        <v>50.2</v>
      </c>
      <c r="P7" s="102">
        <v>98</v>
      </c>
      <c r="Q7" s="101">
        <v>92.7</v>
      </c>
      <c r="R7" s="98">
        <v>0</v>
      </c>
      <c r="S7" s="98">
        <v>0</v>
      </c>
      <c r="T7" s="98">
        <v>0</v>
      </c>
      <c r="U7" s="98">
        <v>0</v>
      </c>
      <c r="V7" s="98" t="s">
        <v>24</v>
      </c>
      <c r="W7" s="98">
        <v>0</v>
      </c>
      <c r="X7" s="98">
        <v>0</v>
      </c>
      <c r="Y7" s="98">
        <v>0</v>
      </c>
      <c r="Z7" s="103">
        <v>0.52</v>
      </c>
      <c r="AA7" s="103">
        <v>0.46</v>
      </c>
      <c r="AB7" s="103">
        <v>0.02</v>
      </c>
      <c r="AC7" s="103">
        <v>0</v>
      </c>
      <c r="AD7" s="103">
        <v>0</v>
      </c>
      <c r="AE7" s="103">
        <v>0</v>
      </c>
      <c r="AF7" s="103">
        <v>0</v>
      </c>
      <c r="AG7" s="101">
        <v>48.204000000000001</v>
      </c>
      <c r="AH7" s="101">
        <v>42.642000000000003</v>
      </c>
      <c r="AI7" s="101">
        <v>1.8540000000000001</v>
      </c>
      <c r="AJ7" s="101">
        <v>0</v>
      </c>
      <c r="AK7" s="101">
        <v>0</v>
      </c>
      <c r="AL7" s="101">
        <v>0</v>
      </c>
      <c r="AM7" s="101">
        <v>0</v>
      </c>
      <c r="AN7" s="103">
        <v>0</v>
      </c>
      <c r="AO7" s="103">
        <v>0</v>
      </c>
      <c r="AP7" s="103">
        <v>0</v>
      </c>
      <c r="AQ7" s="103">
        <v>0</v>
      </c>
      <c r="AR7" s="103">
        <v>0</v>
      </c>
      <c r="AS7" s="103">
        <v>0</v>
      </c>
      <c r="AT7" s="103">
        <v>0</v>
      </c>
      <c r="AU7" s="101">
        <v>0</v>
      </c>
      <c r="AV7" s="101">
        <v>0</v>
      </c>
      <c r="AW7" s="101">
        <v>0</v>
      </c>
      <c r="AX7" s="101">
        <v>0</v>
      </c>
      <c r="AY7" s="101">
        <v>0</v>
      </c>
      <c r="AZ7" s="101">
        <v>0</v>
      </c>
      <c r="BA7" s="101">
        <v>0</v>
      </c>
      <c r="BB7" s="103">
        <v>0.80640000000000001</v>
      </c>
      <c r="BC7" s="103">
        <v>1.6E-2</v>
      </c>
      <c r="BD7" s="103">
        <v>0.17760000000000001</v>
      </c>
      <c r="BE7" s="101">
        <v>0</v>
      </c>
      <c r="BF7" s="101">
        <v>0</v>
      </c>
      <c r="BG7" s="101">
        <v>0</v>
      </c>
      <c r="BH7" s="101">
        <v>2.2000000000000002</v>
      </c>
      <c r="BI7" s="101">
        <v>1.7171604366400004</v>
      </c>
      <c r="BJ7" s="96">
        <v>0</v>
      </c>
      <c r="BK7" s="96">
        <v>0</v>
      </c>
      <c r="BL7" s="96">
        <v>5</v>
      </c>
      <c r="BM7" s="101">
        <v>0</v>
      </c>
      <c r="BN7" s="101">
        <v>2.5</v>
      </c>
      <c r="BO7" s="101">
        <v>0</v>
      </c>
      <c r="BP7" s="101">
        <v>0</v>
      </c>
      <c r="BQ7" s="101">
        <v>1.5</v>
      </c>
      <c r="BR7" s="101">
        <v>1.3</v>
      </c>
      <c r="BS7" s="101">
        <v>2.8</v>
      </c>
      <c r="BT7" s="104">
        <v>0</v>
      </c>
      <c r="BU7" s="104">
        <v>0</v>
      </c>
      <c r="BV7" s="104">
        <v>0</v>
      </c>
      <c r="BW7" s="104">
        <v>0</v>
      </c>
      <c r="BX7" s="104">
        <v>0</v>
      </c>
      <c r="BY7" s="104">
        <v>0</v>
      </c>
      <c r="BZ7" s="104">
        <v>0</v>
      </c>
      <c r="CA7" s="104">
        <v>0</v>
      </c>
      <c r="CB7" s="104">
        <v>0</v>
      </c>
      <c r="CC7" s="104">
        <v>0</v>
      </c>
      <c r="CD7" s="104">
        <v>0</v>
      </c>
      <c r="CE7" s="104">
        <v>0</v>
      </c>
      <c r="CF7" s="104">
        <v>0</v>
      </c>
      <c r="CG7" s="104">
        <v>0</v>
      </c>
      <c r="CH7" s="104">
        <v>0</v>
      </c>
      <c r="CI7" s="104">
        <v>0</v>
      </c>
      <c r="CJ7" s="104">
        <v>0</v>
      </c>
      <c r="CK7" s="104">
        <v>0</v>
      </c>
      <c r="CL7" s="104">
        <v>0</v>
      </c>
      <c r="CM7" s="104">
        <v>0</v>
      </c>
      <c r="CN7" s="104">
        <v>0</v>
      </c>
      <c r="CO7" s="104">
        <v>0</v>
      </c>
      <c r="CP7" s="98">
        <v>30000</v>
      </c>
      <c r="CQ7" s="96" t="s">
        <v>149</v>
      </c>
      <c r="CR7" s="101">
        <v>159.96816608996539</v>
      </c>
      <c r="CS7" s="101">
        <v>0</v>
      </c>
      <c r="CT7" s="101">
        <v>0</v>
      </c>
      <c r="CU7" s="101">
        <v>0</v>
      </c>
      <c r="CV7" s="101">
        <v>0</v>
      </c>
      <c r="CW7" s="96" t="s">
        <v>369</v>
      </c>
      <c r="CX7" s="96" t="s">
        <v>490</v>
      </c>
      <c r="CY7" s="143">
        <v>61</v>
      </c>
      <c r="CZ7" s="143">
        <v>92</v>
      </c>
      <c r="DA7" s="96" t="s">
        <v>369</v>
      </c>
      <c r="DB7" s="143">
        <v>153</v>
      </c>
      <c r="DC7" s="99">
        <v>94</v>
      </c>
      <c r="DD7" s="99">
        <v>35</v>
      </c>
      <c r="DE7" s="99">
        <v>164.17</v>
      </c>
      <c r="DF7" s="99">
        <v>49.5</v>
      </c>
      <c r="DG7" s="99">
        <v>224</v>
      </c>
      <c r="DH7" s="99">
        <v>103</v>
      </c>
      <c r="DI7" s="99">
        <v>50</v>
      </c>
      <c r="DJ7" s="99">
        <v>4.53</v>
      </c>
      <c r="DK7" s="99">
        <v>1.49</v>
      </c>
      <c r="DL7" s="99">
        <v>0.3</v>
      </c>
      <c r="DM7" s="99">
        <v>0</v>
      </c>
      <c r="DN7" s="99">
        <v>0</v>
      </c>
      <c r="DO7" s="99">
        <v>0</v>
      </c>
      <c r="DP7" s="99">
        <v>0</v>
      </c>
      <c r="DQ7" s="99">
        <v>6.33</v>
      </c>
      <c r="DR7" s="99">
        <v>94.5</v>
      </c>
      <c r="DS7" s="99">
        <v>35</v>
      </c>
      <c r="DT7" s="99">
        <v>118</v>
      </c>
      <c r="DU7" s="99">
        <v>90</v>
      </c>
      <c r="DV7" s="99">
        <v>54</v>
      </c>
      <c r="DW7" s="99">
        <v>0</v>
      </c>
      <c r="DX7" s="99">
        <v>50</v>
      </c>
      <c r="DY7" s="99">
        <v>0</v>
      </c>
      <c r="DZ7" s="99">
        <v>0</v>
      </c>
      <c r="EA7" s="99">
        <v>0</v>
      </c>
      <c r="EB7" s="99">
        <v>0</v>
      </c>
      <c r="EC7" s="99">
        <v>0</v>
      </c>
      <c r="ED7" s="99">
        <v>0</v>
      </c>
      <c r="EE7" s="99">
        <v>0</v>
      </c>
      <c r="EF7" s="99">
        <v>0</v>
      </c>
      <c r="EG7" s="99">
        <v>112.25</v>
      </c>
      <c r="EH7" s="99">
        <v>37.1</v>
      </c>
      <c r="EI7" s="99">
        <v>137.25</v>
      </c>
      <c r="EJ7" s="99">
        <v>0</v>
      </c>
      <c r="EK7" s="99">
        <v>0</v>
      </c>
      <c r="EL7" s="99">
        <v>0</v>
      </c>
      <c r="EM7" s="99">
        <v>0</v>
      </c>
      <c r="EN7" s="99">
        <v>0</v>
      </c>
      <c r="EO7" s="99">
        <v>0</v>
      </c>
      <c r="EP7" s="99">
        <v>0.54</v>
      </c>
      <c r="EQ7" s="99">
        <v>0</v>
      </c>
      <c r="ER7" s="99">
        <v>0.13</v>
      </c>
      <c r="ES7" s="99">
        <v>0.25</v>
      </c>
      <c r="ET7" s="99">
        <v>0.1</v>
      </c>
      <c r="EU7" s="99">
        <v>0.1</v>
      </c>
      <c r="EV7" s="99">
        <v>0.1</v>
      </c>
      <c r="EW7" s="99">
        <v>0.05</v>
      </c>
      <c r="EX7" s="99">
        <v>0.3</v>
      </c>
      <c r="EY7" s="99">
        <v>0</v>
      </c>
      <c r="EZ7" s="99">
        <v>0.9</v>
      </c>
      <c r="FA7" s="99">
        <v>2.73</v>
      </c>
      <c r="FB7" s="99">
        <v>7</v>
      </c>
      <c r="FC7" s="99">
        <v>3.63</v>
      </c>
      <c r="FD7" s="99">
        <v>10.63</v>
      </c>
      <c r="FE7" s="99">
        <v>0.53</v>
      </c>
      <c r="FF7" s="99">
        <v>11.17</v>
      </c>
      <c r="FG7" s="99">
        <v>12.06</v>
      </c>
      <c r="FH7" s="99">
        <v>12.51</v>
      </c>
      <c r="FI7" s="99">
        <v>0</v>
      </c>
      <c r="FJ7" s="99">
        <v>0</v>
      </c>
      <c r="FK7" s="99">
        <v>0.89</v>
      </c>
      <c r="FL7" s="103">
        <v>7.9999999999999974E-2</v>
      </c>
      <c r="FM7" s="99">
        <v>0.89</v>
      </c>
      <c r="FN7" s="103">
        <v>7.9999999999999974E-2</v>
      </c>
      <c r="FO7" s="99">
        <v>1.34</v>
      </c>
      <c r="FP7" s="103">
        <v>0.12000000000000004</v>
      </c>
      <c r="FQ7" s="99">
        <v>1.34</v>
      </c>
      <c r="FR7" s="103">
        <v>0.12000000000000004</v>
      </c>
      <c r="FT7" s="96" t="s">
        <v>23</v>
      </c>
      <c r="FU7" s="96" t="s">
        <v>33</v>
      </c>
      <c r="FV7" s="96" t="s">
        <v>38</v>
      </c>
      <c r="FW7" s="96" t="s">
        <v>47</v>
      </c>
      <c r="FY7" s="96">
        <v>98</v>
      </c>
      <c r="GA7" s="96">
        <v>0.15</v>
      </c>
      <c r="GB7" s="96">
        <v>98</v>
      </c>
      <c r="GC7" s="96">
        <v>92.7</v>
      </c>
      <c r="GD7" s="96">
        <v>0</v>
      </c>
      <c r="GE7" s="96">
        <v>0</v>
      </c>
      <c r="GF7" s="96">
        <v>2.5</v>
      </c>
      <c r="GG7" s="96">
        <v>0</v>
      </c>
      <c r="GH7" s="96">
        <v>0</v>
      </c>
      <c r="GI7" s="96">
        <v>2.8</v>
      </c>
    </row>
    <row r="8" spans="1:191" x14ac:dyDescent="0.35">
      <c r="A8" s="96" t="s">
        <v>486</v>
      </c>
      <c r="B8" s="97">
        <v>0.58305555555555555</v>
      </c>
      <c r="C8" s="96">
        <v>91963</v>
      </c>
      <c r="D8" s="96" t="s">
        <v>498</v>
      </c>
      <c r="G8" s="100" t="s">
        <v>488</v>
      </c>
      <c r="H8" s="96" t="s">
        <v>489</v>
      </c>
      <c r="I8" s="96" t="s">
        <v>490</v>
      </c>
      <c r="J8" s="96" t="s">
        <v>497</v>
      </c>
      <c r="K8" s="98"/>
      <c r="L8" s="101">
        <v>26</v>
      </c>
      <c r="M8" s="101">
        <v>42</v>
      </c>
      <c r="N8" s="101">
        <v>26.1</v>
      </c>
      <c r="O8" s="101">
        <v>44.2</v>
      </c>
      <c r="P8" s="102">
        <v>140.00000000000003</v>
      </c>
      <c r="Q8" s="101">
        <v>89.949870165760018</v>
      </c>
      <c r="R8" s="98">
        <v>0</v>
      </c>
      <c r="S8" s="98">
        <v>0</v>
      </c>
      <c r="T8" s="98">
        <v>0</v>
      </c>
      <c r="U8" s="98">
        <v>0</v>
      </c>
      <c r="V8" s="98" t="s">
        <v>24</v>
      </c>
      <c r="W8" s="98">
        <v>0</v>
      </c>
      <c r="X8" s="98">
        <v>0</v>
      </c>
      <c r="Y8" s="98">
        <v>0</v>
      </c>
      <c r="Z8" s="103">
        <v>0.88</v>
      </c>
      <c r="AA8" s="103">
        <v>0.09</v>
      </c>
      <c r="AB8" s="103">
        <v>0</v>
      </c>
      <c r="AC8" s="103">
        <v>0.02</v>
      </c>
      <c r="AD8" s="103">
        <v>0</v>
      </c>
      <c r="AE8" s="103">
        <v>0.01</v>
      </c>
      <c r="AF8" s="103">
        <v>0</v>
      </c>
      <c r="AG8" s="101">
        <v>79.155885745868815</v>
      </c>
      <c r="AH8" s="101">
        <v>8.095488314918402</v>
      </c>
      <c r="AI8" s="101">
        <v>0</v>
      </c>
      <c r="AJ8" s="101">
        <v>1.7989974033152003</v>
      </c>
      <c r="AK8" s="101">
        <v>0</v>
      </c>
      <c r="AL8" s="101">
        <v>0.89949870165760015</v>
      </c>
      <c r="AM8" s="101">
        <v>0</v>
      </c>
      <c r="AN8" s="103">
        <v>0</v>
      </c>
      <c r="AO8" s="103">
        <v>0</v>
      </c>
      <c r="AP8" s="103">
        <v>0</v>
      </c>
      <c r="AQ8" s="103">
        <v>0</v>
      </c>
      <c r="AR8" s="103">
        <v>0</v>
      </c>
      <c r="AS8" s="103">
        <v>0</v>
      </c>
      <c r="AT8" s="103">
        <v>0</v>
      </c>
      <c r="AU8" s="101">
        <v>0</v>
      </c>
      <c r="AV8" s="101">
        <v>0</v>
      </c>
      <c r="AW8" s="101">
        <v>0</v>
      </c>
      <c r="AX8" s="101">
        <v>0</v>
      </c>
      <c r="AY8" s="101">
        <v>0</v>
      </c>
      <c r="AZ8" s="101">
        <v>0</v>
      </c>
      <c r="BA8" s="101">
        <v>0</v>
      </c>
      <c r="BB8" s="103">
        <v>0.80640000000000001</v>
      </c>
      <c r="BC8" s="103">
        <v>1.6E-2</v>
      </c>
      <c r="BD8" s="103">
        <v>0.17760000000000001</v>
      </c>
      <c r="BE8" s="101">
        <v>21.777638399999997</v>
      </c>
      <c r="BF8" s="101">
        <v>0.43209599999999998</v>
      </c>
      <c r="BG8" s="101">
        <v>4.7962655999999999</v>
      </c>
      <c r="BH8" s="101">
        <v>2.2000000000000002</v>
      </c>
      <c r="BI8" s="101">
        <v>1.6373928542400003</v>
      </c>
      <c r="BJ8" s="96">
        <v>2</v>
      </c>
      <c r="BK8" s="96">
        <v>0</v>
      </c>
      <c r="BL8" s="96">
        <v>0</v>
      </c>
      <c r="BM8" s="101">
        <v>20.244129834239995</v>
      </c>
      <c r="BN8" s="101">
        <v>0</v>
      </c>
      <c r="BO8" s="101">
        <v>0</v>
      </c>
      <c r="BP8" s="101">
        <v>0</v>
      </c>
      <c r="BQ8" s="101">
        <v>1.5</v>
      </c>
      <c r="BR8" s="101">
        <v>1.3</v>
      </c>
      <c r="BS8" s="101">
        <v>2.8</v>
      </c>
      <c r="BT8" s="104">
        <v>0</v>
      </c>
      <c r="BU8" s="104">
        <v>0</v>
      </c>
      <c r="BV8" s="104">
        <v>0</v>
      </c>
      <c r="BW8" s="104">
        <v>0</v>
      </c>
      <c r="BX8" s="104">
        <v>0</v>
      </c>
      <c r="BY8" s="104">
        <v>0</v>
      </c>
      <c r="BZ8" s="104">
        <v>0</v>
      </c>
      <c r="CA8" s="104">
        <v>0</v>
      </c>
      <c r="CB8" s="104">
        <v>0</v>
      </c>
      <c r="CC8" s="104">
        <v>0</v>
      </c>
      <c r="CD8" s="104">
        <v>0</v>
      </c>
      <c r="CE8" s="104">
        <v>0</v>
      </c>
      <c r="CF8" s="104">
        <v>0</v>
      </c>
      <c r="CG8" s="104">
        <v>0</v>
      </c>
      <c r="CH8" s="104">
        <v>0</v>
      </c>
      <c r="CI8" s="104">
        <v>0</v>
      </c>
      <c r="CJ8" s="104">
        <v>0</v>
      </c>
      <c r="CK8" s="104">
        <v>0</v>
      </c>
      <c r="CL8" s="104">
        <v>0</v>
      </c>
      <c r="CM8" s="104">
        <v>0</v>
      </c>
      <c r="CN8" s="104">
        <v>0</v>
      </c>
      <c r="CO8" s="104">
        <v>0</v>
      </c>
      <c r="CP8" s="98">
        <v>30000</v>
      </c>
      <c r="CQ8" s="96" t="s">
        <v>147</v>
      </c>
      <c r="CR8" s="101">
        <v>153.88235294117646</v>
      </c>
      <c r="CS8" s="101">
        <v>0</v>
      </c>
      <c r="CT8" s="101">
        <v>0</v>
      </c>
      <c r="CU8" s="101">
        <v>0</v>
      </c>
      <c r="CV8" s="101">
        <v>0</v>
      </c>
      <c r="CW8" s="96" t="s">
        <v>369</v>
      </c>
      <c r="CX8" s="96" t="s">
        <v>490</v>
      </c>
      <c r="CY8" s="143">
        <v>61</v>
      </c>
      <c r="CZ8" s="96" t="s">
        <v>369</v>
      </c>
      <c r="DA8" s="143">
        <v>92</v>
      </c>
      <c r="DB8" s="143">
        <v>153</v>
      </c>
      <c r="DC8" s="99">
        <v>94</v>
      </c>
      <c r="DD8" s="99">
        <v>35</v>
      </c>
      <c r="DE8" s="99">
        <v>164.17</v>
      </c>
      <c r="DF8" s="99">
        <v>49.5</v>
      </c>
      <c r="DG8" s="99">
        <v>224</v>
      </c>
      <c r="DH8" s="99">
        <v>103</v>
      </c>
      <c r="DI8" s="99">
        <v>50</v>
      </c>
      <c r="DJ8" s="99">
        <v>7.44</v>
      </c>
      <c r="DK8" s="99">
        <v>0.28000000000000003</v>
      </c>
      <c r="DL8" s="99">
        <v>0</v>
      </c>
      <c r="DM8" s="99">
        <v>0.09</v>
      </c>
      <c r="DN8" s="99">
        <v>0</v>
      </c>
      <c r="DO8" s="99">
        <v>0.09</v>
      </c>
      <c r="DP8" s="99">
        <v>0</v>
      </c>
      <c r="DQ8" s="99">
        <v>7.91</v>
      </c>
      <c r="DR8" s="99">
        <v>94.5</v>
      </c>
      <c r="DS8" s="99">
        <v>35</v>
      </c>
      <c r="DT8" s="99">
        <v>118</v>
      </c>
      <c r="DU8" s="99">
        <v>90</v>
      </c>
      <c r="DV8" s="99">
        <v>54</v>
      </c>
      <c r="DW8" s="99">
        <v>0</v>
      </c>
      <c r="DX8" s="99">
        <v>50</v>
      </c>
      <c r="DY8" s="99">
        <v>0</v>
      </c>
      <c r="DZ8" s="99">
        <v>0</v>
      </c>
      <c r="EA8" s="99">
        <v>0</v>
      </c>
      <c r="EB8" s="99">
        <v>0</v>
      </c>
      <c r="EC8" s="99">
        <v>0</v>
      </c>
      <c r="ED8" s="99">
        <v>0</v>
      </c>
      <c r="EE8" s="99">
        <v>0</v>
      </c>
      <c r="EF8" s="99">
        <v>0</v>
      </c>
      <c r="EG8" s="99">
        <v>112.25</v>
      </c>
      <c r="EH8" s="99">
        <v>37.1</v>
      </c>
      <c r="EI8" s="99">
        <v>137.25</v>
      </c>
      <c r="EJ8" s="99">
        <v>2.44</v>
      </c>
      <c r="EK8" s="99">
        <v>0.02</v>
      </c>
      <c r="EL8" s="99">
        <v>0.66</v>
      </c>
      <c r="EM8" s="99">
        <v>3.12</v>
      </c>
      <c r="EN8" s="99">
        <v>8.5</v>
      </c>
      <c r="EO8" s="99">
        <v>0</v>
      </c>
      <c r="EP8" s="99">
        <v>0</v>
      </c>
      <c r="EQ8" s="99">
        <v>0</v>
      </c>
      <c r="ER8" s="99">
        <v>0.13</v>
      </c>
      <c r="ES8" s="99">
        <v>0.25</v>
      </c>
      <c r="ET8" s="99">
        <v>0</v>
      </c>
      <c r="EU8" s="99">
        <v>0.1</v>
      </c>
      <c r="EV8" s="99">
        <v>0.1</v>
      </c>
      <c r="EW8" s="99">
        <v>0.05</v>
      </c>
      <c r="EX8" s="99">
        <v>0</v>
      </c>
      <c r="EY8" s="99">
        <v>0</v>
      </c>
      <c r="EZ8" s="99">
        <v>0.8</v>
      </c>
      <c r="FA8" s="99">
        <v>2.65</v>
      </c>
      <c r="FB8" s="99">
        <v>19.66</v>
      </c>
      <c r="FC8" s="99">
        <v>3.45</v>
      </c>
      <c r="FD8" s="99">
        <v>23.12</v>
      </c>
      <c r="FE8" s="99">
        <v>1.1599999999999999</v>
      </c>
      <c r="FF8" s="99">
        <v>24.27</v>
      </c>
      <c r="FG8" s="99">
        <v>26.21</v>
      </c>
      <c r="FH8" s="99">
        <v>27.18</v>
      </c>
      <c r="FI8" s="99">
        <v>0</v>
      </c>
      <c r="FJ8" s="99">
        <v>0</v>
      </c>
      <c r="FK8" s="99">
        <v>1.94</v>
      </c>
      <c r="FL8" s="103">
        <v>7.9999999999999946E-2</v>
      </c>
      <c r="FM8" s="99">
        <v>1.94</v>
      </c>
      <c r="FN8" s="103">
        <v>7.9999999999999946E-2</v>
      </c>
      <c r="FO8" s="99">
        <v>2.91</v>
      </c>
      <c r="FP8" s="103">
        <v>0.12</v>
      </c>
      <c r="FQ8" s="99">
        <v>2.91</v>
      </c>
      <c r="FR8" s="103">
        <v>0.12</v>
      </c>
      <c r="FT8" s="96" t="s">
        <v>23</v>
      </c>
      <c r="FU8" s="96" t="s">
        <v>86</v>
      </c>
      <c r="FV8" s="96" t="s">
        <v>38</v>
      </c>
      <c r="FW8" s="96" t="s">
        <v>47</v>
      </c>
      <c r="FY8" s="96">
        <v>140</v>
      </c>
      <c r="GA8" s="96">
        <v>0.19289999999999999</v>
      </c>
      <c r="GB8" s="96">
        <v>140.00000000000003</v>
      </c>
      <c r="GC8" s="96">
        <v>89.949870165760018</v>
      </c>
      <c r="GD8" s="96">
        <v>0</v>
      </c>
      <c r="GE8" s="96">
        <v>27.005999999999997</v>
      </c>
      <c r="GF8" s="96">
        <v>0</v>
      </c>
      <c r="GG8" s="96">
        <v>20.244129834239995</v>
      </c>
      <c r="GH8" s="96">
        <v>0</v>
      </c>
      <c r="GI8" s="96">
        <v>2.8</v>
      </c>
    </row>
    <row r="9" spans="1:191" x14ac:dyDescent="0.35">
      <c r="A9" s="96" t="s">
        <v>486</v>
      </c>
      <c r="B9" s="97">
        <v>0.58431712962962967</v>
      </c>
      <c r="C9" s="96">
        <v>91963</v>
      </c>
      <c r="D9" s="96" t="s">
        <v>500</v>
      </c>
      <c r="G9" s="100" t="s">
        <v>488</v>
      </c>
      <c r="H9" s="96" t="s">
        <v>489</v>
      </c>
      <c r="I9" s="96" t="s">
        <v>490</v>
      </c>
      <c r="J9" s="96" t="s">
        <v>499</v>
      </c>
      <c r="K9" s="98"/>
      <c r="L9" s="101">
        <v>26</v>
      </c>
      <c r="M9" s="101">
        <v>42</v>
      </c>
      <c r="N9" s="101">
        <v>26.1</v>
      </c>
      <c r="O9" s="101">
        <v>44.2</v>
      </c>
      <c r="P9" s="102">
        <v>140.00000000000003</v>
      </c>
      <c r="Q9" s="101">
        <v>89.949870165760018</v>
      </c>
      <c r="R9" s="98">
        <v>0</v>
      </c>
      <c r="S9" s="98">
        <v>0</v>
      </c>
      <c r="T9" s="98">
        <v>0</v>
      </c>
      <c r="U9" s="98">
        <v>0</v>
      </c>
      <c r="V9" s="98" t="s">
        <v>24</v>
      </c>
      <c r="W9" s="98">
        <v>0</v>
      </c>
      <c r="X9" s="98">
        <v>0</v>
      </c>
      <c r="Y9" s="98">
        <v>0</v>
      </c>
      <c r="Z9" s="103">
        <v>0.88</v>
      </c>
      <c r="AA9" s="103">
        <v>0.09</v>
      </c>
      <c r="AB9" s="103">
        <v>0</v>
      </c>
      <c r="AC9" s="103">
        <v>0.02</v>
      </c>
      <c r="AD9" s="103">
        <v>0</v>
      </c>
      <c r="AE9" s="103">
        <v>0.01</v>
      </c>
      <c r="AF9" s="103">
        <v>0</v>
      </c>
      <c r="AG9" s="101">
        <v>79.155885745868815</v>
      </c>
      <c r="AH9" s="101">
        <v>8.095488314918402</v>
      </c>
      <c r="AI9" s="101">
        <v>0</v>
      </c>
      <c r="AJ9" s="101">
        <v>1.7989974033152003</v>
      </c>
      <c r="AK9" s="101">
        <v>0</v>
      </c>
      <c r="AL9" s="101">
        <v>0.89949870165760015</v>
      </c>
      <c r="AM9" s="101">
        <v>0</v>
      </c>
      <c r="AN9" s="103">
        <v>0</v>
      </c>
      <c r="AO9" s="103">
        <v>0</v>
      </c>
      <c r="AP9" s="103">
        <v>0</v>
      </c>
      <c r="AQ9" s="103">
        <v>0</v>
      </c>
      <c r="AR9" s="103">
        <v>0</v>
      </c>
      <c r="AS9" s="103">
        <v>0</v>
      </c>
      <c r="AT9" s="103">
        <v>0</v>
      </c>
      <c r="AU9" s="101">
        <v>0</v>
      </c>
      <c r="AV9" s="101">
        <v>0</v>
      </c>
      <c r="AW9" s="101">
        <v>0</v>
      </c>
      <c r="AX9" s="101">
        <v>0</v>
      </c>
      <c r="AY9" s="101">
        <v>0</v>
      </c>
      <c r="AZ9" s="101">
        <v>0</v>
      </c>
      <c r="BA9" s="101">
        <v>0</v>
      </c>
      <c r="BB9" s="103">
        <v>0.80640000000000001</v>
      </c>
      <c r="BC9" s="103">
        <v>1.6E-2</v>
      </c>
      <c r="BD9" s="103">
        <v>0.17760000000000001</v>
      </c>
      <c r="BE9" s="101">
        <v>21.777638399999997</v>
      </c>
      <c r="BF9" s="101">
        <v>0.43209599999999998</v>
      </c>
      <c r="BG9" s="101">
        <v>4.7962655999999999</v>
      </c>
      <c r="BH9" s="101">
        <v>2.2000000000000002</v>
      </c>
      <c r="BI9" s="101">
        <v>1.6373928542400003</v>
      </c>
      <c r="BJ9" s="96">
        <v>2</v>
      </c>
      <c r="BK9" s="96">
        <v>0</v>
      </c>
      <c r="BL9" s="96">
        <v>0</v>
      </c>
      <c r="BM9" s="101">
        <v>20.244129834239995</v>
      </c>
      <c r="BN9" s="101">
        <v>0</v>
      </c>
      <c r="BO9" s="101">
        <v>0</v>
      </c>
      <c r="BP9" s="101">
        <v>0</v>
      </c>
      <c r="BQ9" s="101">
        <v>1.5</v>
      </c>
      <c r="BR9" s="101">
        <v>1.3</v>
      </c>
      <c r="BS9" s="101">
        <v>2.8</v>
      </c>
      <c r="BT9" s="104">
        <v>0</v>
      </c>
      <c r="BU9" s="104">
        <v>0</v>
      </c>
      <c r="BV9" s="104">
        <v>0</v>
      </c>
      <c r="BW9" s="104">
        <v>0</v>
      </c>
      <c r="BX9" s="104">
        <v>0</v>
      </c>
      <c r="BY9" s="104">
        <v>0</v>
      </c>
      <c r="BZ9" s="104">
        <v>0</v>
      </c>
      <c r="CA9" s="104">
        <v>0</v>
      </c>
      <c r="CB9" s="104">
        <v>0</v>
      </c>
      <c r="CC9" s="104">
        <v>0</v>
      </c>
      <c r="CD9" s="104">
        <v>0</v>
      </c>
      <c r="CE9" s="104">
        <v>0</v>
      </c>
      <c r="CF9" s="104">
        <v>0</v>
      </c>
      <c r="CG9" s="104">
        <v>0</v>
      </c>
      <c r="CH9" s="104">
        <v>0</v>
      </c>
      <c r="CI9" s="104">
        <v>0</v>
      </c>
      <c r="CJ9" s="104">
        <v>0</v>
      </c>
      <c r="CK9" s="104">
        <v>0</v>
      </c>
      <c r="CL9" s="104">
        <v>0</v>
      </c>
      <c r="CM9" s="104">
        <v>0</v>
      </c>
      <c r="CN9" s="104">
        <v>0</v>
      </c>
      <c r="CO9" s="104">
        <v>0</v>
      </c>
      <c r="CP9" s="98">
        <v>30000</v>
      </c>
      <c r="CQ9" s="96" t="s">
        <v>147</v>
      </c>
      <c r="CR9" s="101">
        <v>153.88235294117646</v>
      </c>
      <c r="CS9" s="101">
        <v>0</v>
      </c>
      <c r="CT9" s="101">
        <v>0</v>
      </c>
      <c r="CU9" s="101">
        <v>0</v>
      </c>
      <c r="CV9" s="101">
        <v>0</v>
      </c>
      <c r="CW9" s="96" t="s">
        <v>369</v>
      </c>
      <c r="CX9" s="96" t="s">
        <v>490</v>
      </c>
      <c r="CY9" s="143">
        <v>61</v>
      </c>
      <c r="CZ9" s="96" t="s">
        <v>369</v>
      </c>
      <c r="DA9" s="143">
        <v>92</v>
      </c>
      <c r="DB9" s="143">
        <v>153</v>
      </c>
      <c r="DC9" s="99">
        <v>94</v>
      </c>
      <c r="DD9" s="99">
        <v>35</v>
      </c>
      <c r="DE9" s="99">
        <v>164.17</v>
      </c>
      <c r="DF9" s="99">
        <v>49.5</v>
      </c>
      <c r="DG9" s="99">
        <v>224</v>
      </c>
      <c r="DH9" s="99">
        <v>103</v>
      </c>
      <c r="DI9" s="99">
        <v>50</v>
      </c>
      <c r="DJ9" s="99">
        <v>7.44</v>
      </c>
      <c r="DK9" s="99">
        <v>0.28000000000000003</v>
      </c>
      <c r="DL9" s="99">
        <v>0</v>
      </c>
      <c r="DM9" s="99">
        <v>0.09</v>
      </c>
      <c r="DN9" s="99">
        <v>0</v>
      </c>
      <c r="DO9" s="99">
        <v>0.09</v>
      </c>
      <c r="DP9" s="99">
        <v>0</v>
      </c>
      <c r="DQ9" s="99">
        <v>7.91</v>
      </c>
      <c r="DR9" s="99">
        <v>94.5</v>
      </c>
      <c r="DS9" s="99">
        <v>35</v>
      </c>
      <c r="DT9" s="99">
        <v>118</v>
      </c>
      <c r="DU9" s="99">
        <v>90</v>
      </c>
      <c r="DV9" s="99">
        <v>54</v>
      </c>
      <c r="DW9" s="99">
        <v>0</v>
      </c>
      <c r="DX9" s="99">
        <v>50</v>
      </c>
      <c r="DY9" s="99">
        <v>0</v>
      </c>
      <c r="DZ9" s="99">
        <v>0</v>
      </c>
      <c r="EA9" s="99">
        <v>0</v>
      </c>
      <c r="EB9" s="99">
        <v>0</v>
      </c>
      <c r="EC9" s="99">
        <v>0</v>
      </c>
      <c r="ED9" s="99">
        <v>0</v>
      </c>
      <c r="EE9" s="99">
        <v>0</v>
      </c>
      <c r="EF9" s="99">
        <v>0</v>
      </c>
      <c r="EG9" s="99">
        <v>112.25</v>
      </c>
      <c r="EH9" s="99">
        <v>37.1</v>
      </c>
      <c r="EI9" s="99">
        <v>137.25</v>
      </c>
      <c r="EJ9" s="99">
        <v>2.44</v>
      </c>
      <c r="EK9" s="99">
        <v>0.02</v>
      </c>
      <c r="EL9" s="99">
        <v>0.66</v>
      </c>
      <c r="EM9" s="99">
        <v>3.12</v>
      </c>
      <c r="EN9" s="99">
        <v>8.5</v>
      </c>
      <c r="EO9" s="99">
        <v>0</v>
      </c>
      <c r="EP9" s="99">
        <v>0</v>
      </c>
      <c r="EQ9" s="99">
        <v>0</v>
      </c>
      <c r="ER9" s="99">
        <v>0.13</v>
      </c>
      <c r="ES9" s="99">
        <v>0.25</v>
      </c>
      <c r="ET9" s="99">
        <v>0</v>
      </c>
      <c r="EU9" s="99">
        <v>0.1</v>
      </c>
      <c r="EV9" s="99">
        <v>0.1</v>
      </c>
      <c r="EW9" s="99">
        <v>0.05</v>
      </c>
      <c r="EX9" s="99">
        <v>0.3</v>
      </c>
      <c r="EY9" s="99">
        <v>0</v>
      </c>
      <c r="EZ9" s="99">
        <v>0.8</v>
      </c>
      <c r="FA9" s="99">
        <v>2.65</v>
      </c>
      <c r="FB9" s="99">
        <v>19.66</v>
      </c>
      <c r="FC9" s="99">
        <v>3.45</v>
      </c>
      <c r="FD9" s="99">
        <v>23.12</v>
      </c>
      <c r="FE9" s="99">
        <v>1.1599999999999999</v>
      </c>
      <c r="FF9" s="99">
        <v>24.27</v>
      </c>
      <c r="FG9" s="99">
        <v>26.21</v>
      </c>
      <c r="FH9" s="99">
        <v>27.18</v>
      </c>
      <c r="FI9" s="99">
        <v>0</v>
      </c>
      <c r="FJ9" s="99">
        <v>0</v>
      </c>
      <c r="FK9" s="99">
        <v>1.94</v>
      </c>
      <c r="FL9" s="103">
        <v>7.9999999999999946E-2</v>
      </c>
      <c r="FM9" s="99">
        <v>1.94</v>
      </c>
      <c r="FN9" s="103">
        <v>7.9999999999999946E-2</v>
      </c>
      <c r="FO9" s="99">
        <v>2.91</v>
      </c>
      <c r="FP9" s="103">
        <v>0.12</v>
      </c>
      <c r="FQ9" s="99">
        <v>2.91</v>
      </c>
      <c r="FR9" s="103">
        <v>0.12</v>
      </c>
      <c r="FT9" s="96" t="s">
        <v>23</v>
      </c>
      <c r="FU9" s="96" t="s">
        <v>86</v>
      </c>
      <c r="FV9" s="96" t="s">
        <v>38</v>
      </c>
      <c r="FW9" s="96" t="s">
        <v>47</v>
      </c>
      <c r="FY9" s="96">
        <v>140</v>
      </c>
      <c r="GA9" s="96">
        <v>0.19289999999999999</v>
      </c>
      <c r="GB9" s="96">
        <v>140.00000000000003</v>
      </c>
      <c r="GC9" s="96">
        <v>89.949870165760018</v>
      </c>
      <c r="GD9" s="96">
        <v>0</v>
      </c>
      <c r="GE9" s="96">
        <v>27.005999999999997</v>
      </c>
      <c r="GF9" s="96">
        <v>0</v>
      </c>
      <c r="GG9" s="96">
        <v>20.244129834239995</v>
      </c>
      <c r="GH9" s="96">
        <v>0</v>
      </c>
      <c r="GI9" s="96">
        <v>2.8</v>
      </c>
    </row>
    <row r="10" spans="1:191" ht="13.5" customHeight="1" x14ac:dyDescent="0.35">
      <c r="A10" s="96" t="s">
        <v>486</v>
      </c>
      <c r="B10" s="97">
        <v>0.58559027777777772</v>
      </c>
      <c r="C10" s="96">
        <v>91963</v>
      </c>
      <c r="D10" s="96" t="s">
        <v>502</v>
      </c>
      <c r="G10" s="100" t="s">
        <v>488</v>
      </c>
      <c r="H10" s="96" t="s">
        <v>489</v>
      </c>
      <c r="I10" s="96" t="s">
        <v>490</v>
      </c>
      <c r="J10" s="96" t="s">
        <v>501</v>
      </c>
      <c r="K10" s="98"/>
      <c r="L10" s="101">
        <v>26</v>
      </c>
      <c r="M10" s="101">
        <v>46</v>
      </c>
      <c r="N10" s="101">
        <v>26.1</v>
      </c>
      <c r="O10" s="101">
        <v>48.2</v>
      </c>
      <c r="P10" s="102">
        <v>158.00000000000003</v>
      </c>
      <c r="Q10" s="101">
        <v>99.943822216960001</v>
      </c>
      <c r="R10" s="98">
        <v>0</v>
      </c>
      <c r="S10" s="98">
        <v>0</v>
      </c>
      <c r="T10" s="98">
        <v>0</v>
      </c>
      <c r="U10" s="98">
        <v>0</v>
      </c>
      <c r="V10" s="98" t="s">
        <v>24</v>
      </c>
      <c r="W10" s="98">
        <v>0</v>
      </c>
      <c r="X10" s="98">
        <v>0</v>
      </c>
      <c r="Y10" s="98">
        <v>0</v>
      </c>
      <c r="Z10" s="103">
        <v>0.88</v>
      </c>
      <c r="AA10" s="103">
        <v>0.09</v>
      </c>
      <c r="AB10" s="103">
        <v>0</v>
      </c>
      <c r="AC10" s="103">
        <v>0.02</v>
      </c>
      <c r="AD10" s="103">
        <v>0</v>
      </c>
      <c r="AE10" s="103">
        <v>0.01</v>
      </c>
      <c r="AF10" s="103">
        <v>0</v>
      </c>
      <c r="AG10" s="101">
        <v>87.950563550924798</v>
      </c>
      <c r="AH10" s="101">
        <v>8.9949439995264004</v>
      </c>
      <c r="AI10" s="101">
        <v>0</v>
      </c>
      <c r="AJ10" s="101">
        <v>1.9988764443392</v>
      </c>
      <c r="AK10" s="101">
        <v>0</v>
      </c>
      <c r="AL10" s="101">
        <v>0.99943822216959999</v>
      </c>
      <c r="AM10" s="101">
        <v>0</v>
      </c>
      <c r="AN10" s="103">
        <v>0</v>
      </c>
      <c r="AO10" s="103">
        <v>0</v>
      </c>
      <c r="AP10" s="103">
        <v>0</v>
      </c>
      <c r="AQ10" s="103">
        <v>0</v>
      </c>
      <c r="AR10" s="103">
        <v>0</v>
      </c>
      <c r="AS10" s="103">
        <v>0</v>
      </c>
      <c r="AT10" s="103">
        <v>0</v>
      </c>
      <c r="AU10" s="101">
        <v>0</v>
      </c>
      <c r="AV10" s="101">
        <v>0</v>
      </c>
      <c r="AW10" s="101">
        <v>0</v>
      </c>
      <c r="AX10" s="101">
        <v>0</v>
      </c>
      <c r="AY10" s="101">
        <v>0</v>
      </c>
      <c r="AZ10" s="101">
        <v>0</v>
      </c>
      <c r="BA10" s="101">
        <v>0</v>
      </c>
      <c r="BB10" s="103">
        <v>0.80640000000000001</v>
      </c>
      <c r="BC10" s="103">
        <v>1.6E-2</v>
      </c>
      <c r="BD10" s="103">
        <v>0.17760000000000001</v>
      </c>
      <c r="BE10" s="101">
        <v>26.756352</v>
      </c>
      <c r="BF10" s="101">
        <v>0.53088000000000002</v>
      </c>
      <c r="BG10" s="101">
        <v>5.8927680000000002</v>
      </c>
      <c r="BH10" s="101">
        <v>2.2000000000000002</v>
      </c>
      <c r="BI10" s="101">
        <v>1.7855732030400002</v>
      </c>
      <c r="BJ10" s="96">
        <v>2</v>
      </c>
      <c r="BK10" s="96">
        <v>0</v>
      </c>
      <c r="BL10" s="96">
        <v>0</v>
      </c>
      <c r="BM10" s="101">
        <v>22.076177783040002</v>
      </c>
      <c r="BN10" s="101">
        <v>0</v>
      </c>
      <c r="BO10" s="101">
        <v>0</v>
      </c>
      <c r="BP10" s="101">
        <v>0</v>
      </c>
      <c r="BQ10" s="101">
        <v>1.5</v>
      </c>
      <c r="BR10" s="101">
        <v>1.3</v>
      </c>
      <c r="BS10" s="101">
        <v>2.8</v>
      </c>
      <c r="BT10" s="104">
        <v>0</v>
      </c>
      <c r="BU10" s="104">
        <v>0</v>
      </c>
      <c r="BV10" s="104">
        <v>0</v>
      </c>
      <c r="BW10" s="104">
        <v>0</v>
      </c>
      <c r="BX10" s="104">
        <v>0</v>
      </c>
      <c r="BY10" s="104">
        <v>0</v>
      </c>
      <c r="BZ10" s="104">
        <v>0</v>
      </c>
      <c r="CA10" s="104">
        <v>0</v>
      </c>
      <c r="CB10" s="104">
        <v>0</v>
      </c>
      <c r="CC10" s="104">
        <v>0</v>
      </c>
      <c r="CD10" s="104">
        <v>0</v>
      </c>
      <c r="CE10" s="104">
        <v>0</v>
      </c>
      <c r="CF10" s="104">
        <v>0</v>
      </c>
      <c r="CG10" s="104">
        <v>0</v>
      </c>
      <c r="CH10" s="104">
        <v>0</v>
      </c>
      <c r="CI10" s="104">
        <v>0</v>
      </c>
      <c r="CJ10" s="104">
        <v>0</v>
      </c>
      <c r="CK10" s="104">
        <v>0</v>
      </c>
      <c r="CL10" s="104">
        <v>0</v>
      </c>
      <c r="CM10" s="104">
        <v>0</v>
      </c>
      <c r="CN10" s="104">
        <v>0</v>
      </c>
      <c r="CO10" s="104">
        <v>0</v>
      </c>
      <c r="CP10" s="98">
        <v>30000</v>
      </c>
      <c r="CQ10" s="96" t="s">
        <v>147</v>
      </c>
      <c r="CR10" s="101">
        <v>153.88235294117646</v>
      </c>
      <c r="CS10" s="101">
        <v>0</v>
      </c>
      <c r="CT10" s="101">
        <v>0</v>
      </c>
      <c r="CU10" s="101">
        <v>0</v>
      </c>
      <c r="CV10" s="101">
        <v>0</v>
      </c>
      <c r="CW10" s="96" t="s">
        <v>369</v>
      </c>
      <c r="CX10" s="96" t="s">
        <v>490</v>
      </c>
      <c r="CY10" s="143">
        <v>61</v>
      </c>
      <c r="CZ10" s="96" t="s">
        <v>369</v>
      </c>
      <c r="DA10" s="143">
        <v>92</v>
      </c>
      <c r="DB10" s="143">
        <v>153</v>
      </c>
      <c r="DC10" s="99">
        <v>94</v>
      </c>
      <c r="DD10" s="99">
        <v>35</v>
      </c>
      <c r="DE10" s="99">
        <v>164.17</v>
      </c>
      <c r="DF10" s="99">
        <v>49.5</v>
      </c>
      <c r="DG10" s="99">
        <v>224</v>
      </c>
      <c r="DH10" s="99">
        <v>103</v>
      </c>
      <c r="DI10" s="99">
        <v>50</v>
      </c>
      <c r="DJ10" s="99">
        <v>8.27</v>
      </c>
      <c r="DK10" s="99">
        <v>0.31</v>
      </c>
      <c r="DL10" s="99">
        <v>0</v>
      </c>
      <c r="DM10" s="99">
        <v>0.1</v>
      </c>
      <c r="DN10" s="99">
        <v>0</v>
      </c>
      <c r="DO10" s="99">
        <v>0.1</v>
      </c>
      <c r="DP10" s="99">
        <v>0</v>
      </c>
      <c r="DQ10" s="99">
        <v>8.7799999999999994</v>
      </c>
      <c r="DR10" s="99">
        <v>94.5</v>
      </c>
      <c r="DS10" s="99">
        <v>35</v>
      </c>
      <c r="DT10" s="99">
        <v>118</v>
      </c>
      <c r="DU10" s="99">
        <v>90</v>
      </c>
      <c r="DV10" s="99">
        <v>54</v>
      </c>
      <c r="DW10" s="99">
        <v>0</v>
      </c>
      <c r="DX10" s="99">
        <v>50</v>
      </c>
      <c r="DY10" s="99">
        <v>0</v>
      </c>
      <c r="DZ10" s="99">
        <v>0</v>
      </c>
      <c r="EA10" s="99">
        <v>0</v>
      </c>
      <c r="EB10" s="99">
        <v>0</v>
      </c>
      <c r="EC10" s="99">
        <v>0</v>
      </c>
      <c r="ED10" s="99">
        <v>0</v>
      </c>
      <c r="EE10" s="99">
        <v>0</v>
      </c>
      <c r="EF10" s="99">
        <v>0</v>
      </c>
      <c r="EG10" s="99">
        <v>112.25</v>
      </c>
      <c r="EH10" s="99">
        <v>37.1</v>
      </c>
      <c r="EI10" s="99">
        <v>137.25</v>
      </c>
      <c r="EJ10" s="99">
        <v>3</v>
      </c>
      <c r="EK10" s="99">
        <v>0.02</v>
      </c>
      <c r="EL10" s="99">
        <v>0.81</v>
      </c>
      <c r="EM10" s="99">
        <v>3.83</v>
      </c>
      <c r="EN10" s="99">
        <v>9.27</v>
      </c>
      <c r="EO10" s="99">
        <v>0</v>
      </c>
      <c r="EP10" s="99">
        <v>0</v>
      </c>
      <c r="EQ10" s="99">
        <v>0</v>
      </c>
      <c r="ER10" s="99">
        <v>0.13</v>
      </c>
      <c r="ES10" s="99">
        <v>0.25</v>
      </c>
      <c r="ET10" s="99">
        <v>0</v>
      </c>
      <c r="EU10" s="99">
        <v>0.1</v>
      </c>
      <c r="EV10" s="99">
        <v>0.1</v>
      </c>
      <c r="EW10" s="99">
        <v>0.05</v>
      </c>
      <c r="EX10" s="99">
        <v>0.3</v>
      </c>
      <c r="EY10" s="99">
        <v>0</v>
      </c>
      <c r="EZ10" s="99">
        <v>0.8</v>
      </c>
      <c r="FA10" s="99">
        <v>2.95</v>
      </c>
      <c r="FB10" s="99">
        <v>22.02</v>
      </c>
      <c r="FC10" s="99">
        <v>3.75</v>
      </c>
      <c r="FD10" s="99">
        <v>25.77</v>
      </c>
      <c r="FE10" s="99">
        <v>1.29</v>
      </c>
      <c r="FF10" s="99">
        <v>27.06</v>
      </c>
      <c r="FG10" s="99">
        <v>29.22</v>
      </c>
      <c r="FH10" s="99">
        <v>30.31</v>
      </c>
      <c r="FI10" s="99">
        <v>0</v>
      </c>
      <c r="FJ10" s="99">
        <v>0</v>
      </c>
      <c r="FK10" s="99">
        <v>2.16</v>
      </c>
      <c r="FL10" s="103">
        <v>7.9999999999999974E-2</v>
      </c>
      <c r="FM10" s="99">
        <v>2.16</v>
      </c>
      <c r="FN10" s="103">
        <v>7.9999999999999974E-2</v>
      </c>
      <c r="FO10" s="99">
        <v>3.25</v>
      </c>
      <c r="FP10" s="103">
        <v>0.12000000000000002</v>
      </c>
      <c r="FQ10" s="99">
        <v>3.25</v>
      </c>
      <c r="FR10" s="103">
        <v>0.12000000000000002</v>
      </c>
      <c r="FT10" s="96" t="s">
        <v>23</v>
      </c>
      <c r="FU10" s="96" t="s">
        <v>86</v>
      </c>
      <c r="FV10" s="96" t="s">
        <v>38</v>
      </c>
      <c r="FW10" s="96" t="s">
        <v>47</v>
      </c>
      <c r="FY10" s="96">
        <v>158</v>
      </c>
      <c r="GA10" s="96">
        <v>0.21</v>
      </c>
      <c r="GB10" s="96">
        <v>158.00000000000003</v>
      </c>
      <c r="GC10" s="96">
        <v>99.943822216960001</v>
      </c>
      <c r="GD10" s="96">
        <v>0</v>
      </c>
      <c r="GE10" s="96">
        <v>33.18</v>
      </c>
      <c r="GF10" s="96">
        <v>0</v>
      </c>
      <c r="GG10" s="96">
        <v>22.076177783040002</v>
      </c>
      <c r="GH10" s="96">
        <v>0</v>
      </c>
      <c r="GI10" s="96">
        <v>2.8</v>
      </c>
    </row>
    <row r="11" spans="1:191" x14ac:dyDescent="0.35">
      <c r="A11" s="96" t="s">
        <v>486</v>
      </c>
      <c r="B11" s="97">
        <v>0.59075231481481483</v>
      </c>
      <c r="C11" s="96">
        <v>91963</v>
      </c>
      <c r="D11" s="96" t="s">
        <v>498</v>
      </c>
      <c r="G11" s="100" t="s">
        <v>488</v>
      </c>
      <c r="H11" s="96" t="s">
        <v>489</v>
      </c>
      <c r="I11" s="96" t="s">
        <v>490</v>
      </c>
      <c r="J11" s="96" t="s">
        <v>503</v>
      </c>
      <c r="K11" s="98"/>
      <c r="L11" s="101">
        <v>26</v>
      </c>
      <c r="M11" s="101">
        <v>42</v>
      </c>
      <c r="N11" s="101">
        <v>26.1</v>
      </c>
      <c r="O11" s="101">
        <v>44.2</v>
      </c>
      <c r="P11" s="102">
        <v>170</v>
      </c>
      <c r="Q11" s="101">
        <v>91.722116915840004</v>
      </c>
      <c r="R11" s="98">
        <v>0</v>
      </c>
      <c r="S11" s="98">
        <v>0</v>
      </c>
      <c r="T11" s="98">
        <v>0</v>
      </c>
      <c r="U11" s="98">
        <v>0</v>
      </c>
      <c r="V11" s="98" t="s">
        <v>24</v>
      </c>
      <c r="W11" s="98">
        <v>0</v>
      </c>
      <c r="X11" s="98">
        <v>0</v>
      </c>
      <c r="Y11" s="98">
        <v>0</v>
      </c>
      <c r="Z11" s="103">
        <v>0.88</v>
      </c>
      <c r="AA11" s="103">
        <v>0.09</v>
      </c>
      <c r="AB11" s="103">
        <v>0</v>
      </c>
      <c r="AC11" s="103">
        <v>0.02</v>
      </c>
      <c r="AD11" s="103">
        <v>0</v>
      </c>
      <c r="AE11" s="103">
        <v>0.01</v>
      </c>
      <c r="AF11" s="103">
        <v>0</v>
      </c>
      <c r="AG11" s="101">
        <v>80.715462885939203</v>
      </c>
      <c r="AH11" s="101">
        <v>8.2549905224256008</v>
      </c>
      <c r="AI11" s="101">
        <v>0</v>
      </c>
      <c r="AJ11" s="101">
        <v>1.8344423383168</v>
      </c>
      <c r="AK11" s="101">
        <v>0</v>
      </c>
      <c r="AL11" s="101">
        <v>0.91722116915840002</v>
      </c>
      <c r="AM11" s="101">
        <v>0</v>
      </c>
      <c r="AN11" s="103">
        <v>1</v>
      </c>
      <c r="AO11" s="103">
        <v>0</v>
      </c>
      <c r="AP11" s="103">
        <v>0</v>
      </c>
      <c r="AQ11" s="103">
        <v>0</v>
      </c>
      <c r="AR11" s="103">
        <v>0</v>
      </c>
      <c r="AS11" s="103">
        <v>0</v>
      </c>
      <c r="AT11" s="103">
        <v>0</v>
      </c>
      <c r="AU11" s="101">
        <v>30</v>
      </c>
      <c r="AV11" s="101">
        <v>0</v>
      </c>
      <c r="AW11" s="101">
        <v>0</v>
      </c>
      <c r="AX11" s="101">
        <v>0</v>
      </c>
      <c r="AY11" s="101">
        <v>0</v>
      </c>
      <c r="AZ11" s="101">
        <v>0</v>
      </c>
      <c r="BA11" s="101">
        <v>0</v>
      </c>
      <c r="BB11" s="103">
        <v>0.80640000000000001</v>
      </c>
      <c r="BC11" s="103">
        <v>1.6E-2</v>
      </c>
      <c r="BD11" s="103">
        <v>0.17760000000000001</v>
      </c>
      <c r="BE11" s="101">
        <v>21.788927999999999</v>
      </c>
      <c r="BF11" s="101">
        <v>0.43231999999999998</v>
      </c>
      <c r="BG11" s="101">
        <v>4.7987520000000004</v>
      </c>
      <c r="BH11" s="101">
        <v>1</v>
      </c>
      <c r="BI11" s="101">
        <v>0.74426947920000008</v>
      </c>
      <c r="BJ11" s="96">
        <v>2</v>
      </c>
      <c r="BK11" s="96">
        <v>0</v>
      </c>
      <c r="BL11" s="96">
        <v>0</v>
      </c>
      <c r="BM11" s="101">
        <v>18.457883084159995</v>
      </c>
      <c r="BN11" s="101">
        <v>0</v>
      </c>
      <c r="BO11" s="101">
        <v>0</v>
      </c>
      <c r="BP11" s="101">
        <v>0</v>
      </c>
      <c r="BQ11" s="101">
        <v>1.5</v>
      </c>
      <c r="BR11" s="101">
        <v>1.3</v>
      </c>
      <c r="BS11" s="101">
        <v>2.8</v>
      </c>
      <c r="BT11" s="104">
        <v>0</v>
      </c>
      <c r="BU11" s="104">
        <v>0</v>
      </c>
      <c r="BV11" s="104">
        <v>0</v>
      </c>
      <c r="BW11" s="104">
        <v>0</v>
      </c>
      <c r="BX11" s="104">
        <v>0</v>
      </c>
      <c r="BY11" s="104">
        <v>0</v>
      </c>
      <c r="BZ11" s="104">
        <v>0</v>
      </c>
      <c r="CA11" s="104">
        <v>0</v>
      </c>
      <c r="CB11" s="104">
        <v>0</v>
      </c>
      <c r="CC11" s="104">
        <v>0</v>
      </c>
      <c r="CD11" s="104">
        <v>0</v>
      </c>
      <c r="CE11" s="104">
        <v>0</v>
      </c>
      <c r="CF11" s="104">
        <v>0</v>
      </c>
      <c r="CG11" s="104">
        <v>0</v>
      </c>
      <c r="CH11" s="104">
        <v>0</v>
      </c>
      <c r="CI11" s="104">
        <v>0</v>
      </c>
      <c r="CJ11" s="104">
        <v>0</v>
      </c>
      <c r="CK11" s="104">
        <v>0</v>
      </c>
      <c r="CL11" s="104">
        <v>0</v>
      </c>
      <c r="CM11" s="104">
        <v>0</v>
      </c>
      <c r="CN11" s="104">
        <v>0</v>
      </c>
      <c r="CO11" s="104">
        <v>0</v>
      </c>
      <c r="CP11" s="98">
        <v>30000</v>
      </c>
      <c r="CQ11" s="96" t="s">
        <v>147</v>
      </c>
      <c r="CR11" s="101">
        <v>153.88235294117646</v>
      </c>
      <c r="CS11" s="101">
        <v>0</v>
      </c>
      <c r="CT11" s="101">
        <v>0</v>
      </c>
      <c r="CU11" s="101">
        <v>0</v>
      </c>
      <c r="CV11" s="101">
        <v>0</v>
      </c>
      <c r="CW11" s="96" t="s">
        <v>369</v>
      </c>
      <c r="CX11" s="96" t="s">
        <v>490</v>
      </c>
      <c r="CY11" s="143">
        <v>61</v>
      </c>
      <c r="CZ11" s="96" t="s">
        <v>369</v>
      </c>
      <c r="DA11" s="143">
        <v>92</v>
      </c>
      <c r="DB11" s="143">
        <v>153</v>
      </c>
      <c r="DC11" s="99">
        <v>94</v>
      </c>
      <c r="DD11" s="99">
        <v>35</v>
      </c>
      <c r="DE11" s="99">
        <v>164.17</v>
      </c>
      <c r="DF11" s="99">
        <v>49.5</v>
      </c>
      <c r="DG11" s="99">
        <v>224</v>
      </c>
      <c r="DH11" s="99">
        <v>103</v>
      </c>
      <c r="DI11" s="99">
        <v>50</v>
      </c>
      <c r="DJ11" s="99">
        <v>7.59</v>
      </c>
      <c r="DK11" s="99">
        <v>0.28999999999999998</v>
      </c>
      <c r="DL11" s="99">
        <v>0</v>
      </c>
      <c r="DM11" s="99">
        <v>0.09</v>
      </c>
      <c r="DN11" s="99">
        <v>0</v>
      </c>
      <c r="DO11" s="99">
        <v>0.09</v>
      </c>
      <c r="DP11" s="99">
        <v>0</v>
      </c>
      <c r="DQ11" s="99">
        <v>8.06</v>
      </c>
      <c r="DR11" s="99">
        <v>94.5</v>
      </c>
      <c r="DS11" s="99">
        <v>35</v>
      </c>
      <c r="DT11" s="99">
        <v>118</v>
      </c>
      <c r="DU11" s="99">
        <v>90</v>
      </c>
      <c r="DV11" s="99">
        <v>54</v>
      </c>
      <c r="DW11" s="99">
        <v>0</v>
      </c>
      <c r="DX11" s="99">
        <v>50</v>
      </c>
      <c r="DY11" s="99">
        <v>2.84</v>
      </c>
      <c r="DZ11" s="99">
        <v>0</v>
      </c>
      <c r="EA11" s="99">
        <v>0</v>
      </c>
      <c r="EB11" s="99">
        <v>0</v>
      </c>
      <c r="EC11" s="99">
        <v>0</v>
      </c>
      <c r="ED11" s="99">
        <v>0</v>
      </c>
      <c r="EE11" s="99">
        <v>0</v>
      </c>
      <c r="EF11" s="99">
        <v>2.84</v>
      </c>
      <c r="EG11" s="99">
        <v>112.25</v>
      </c>
      <c r="EH11" s="99">
        <v>37.1</v>
      </c>
      <c r="EI11" s="99">
        <v>137.25</v>
      </c>
      <c r="EJ11" s="99">
        <v>2.4500000000000002</v>
      </c>
      <c r="EK11" s="99">
        <v>0.02</v>
      </c>
      <c r="EL11" s="99">
        <v>0.66</v>
      </c>
      <c r="EM11" s="99">
        <v>3.12</v>
      </c>
      <c r="EN11" s="99">
        <v>7.75</v>
      </c>
      <c r="EO11" s="99">
        <v>0</v>
      </c>
      <c r="EP11" s="99">
        <v>0</v>
      </c>
      <c r="EQ11" s="99">
        <v>0</v>
      </c>
      <c r="ER11" s="99">
        <v>0.13</v>
      </c>
      <c r="ES11" s="99">
        <v>0.25</v>
      </c>
      <c r="ET11" s="99">
        <v>0</v>
      </c>
      <c r="EU11" s="99">
        <v>0.1</v>
      </c>
      <c r="EV11" s="99">
        <v>0.1</v>
      </c>
      <c r="EW11" s="99">
        <v>0.05</v>
      </c>
      <c r="EX11" s="99">
        <v>0.3</v>
      </c>
      <c r="EY11" s="99">
        <v>0</v>
      </c>
      <c r="EZ11" s="99">
        <v>0.8</v>
      </c>
      <c r="FA11" s="99">
        <v>2.71</v>
      </c>
      <c r="FB11" s="99">
        <v>21.9</v>
      </c>
      <c r="FC11" s="99">
        <v>3.51</v>
      </c>
      <c r="FD11" s="99">
        <v>25.41</v>
      </c>
      <c r="FE11" s="99">
        <v>1.27</v>
      </c>
      <c r="FF11" s="99">
        <v>26.68</v>
      </c>
      <c r="FG11" s="99">
        <v>28.81</v>
      </c>
      <c r="FH11" s="99">
        <v>29.88</v>
      </c>
      <c r="FI11" s="99">
        <v>0</v>
      </c>
      <c r="FJ11" s="99">
        <v>0</v>
      </c>
      <c r="FK11" s="99">
        <v>2.13</v>
      </c>
      <c r="FL11" s="103">
        <v>7.9999999999999974E-2</v>
      </c>
      <c r="FM11" s="99">
        <v>2.13</v>
      </c>
      <c r="FN11" s="103">
        <v>7.9999999999999974E-2</v>
      </c>
      <c r="FO11" s="99">
        <v>3.2</v>
      </c>
      <c r="FP11" s="103">
        <v>0.11999999999999997</v>
      </c>
      <c r="FQ11" s="99">
        <v>3.2</v>
      </c>
      <c r="FR11" s="103">
        <v>0.11999999999999997</v>
      </c>
      <c r="FT11" s="96" t="s">
        <v>34</v>
      </c>
      <c r="FU11" s="96" t="s">
        <v>86</v>
      </c>
      <c r="FV11" s="96" t="s">
        <v>38</v>
      </c>
      <c r="FW11" s="96" t="s">
        <v>47</v>
      </c>
      <c r="FY11" s="96">
        <v>140</v>
      </c>
      <c r="FZ11" s="96">
        <v>30</v>
      </c>
      <c r="GA11" s="96">
        <v>0.193</v>
      </c>
      <c r="GB11" s="96">
        <v>170</v>
      </c>
      <c r="GC11" s="96">
        <v>91.722116915840004</v>
      </c>
      <c r="GD11" s="96">
        <v>30</v>
      </c>
      <c r="GE11" s="96">
        <v>27.02</v>
      </c>
      <c r="GF11" s="96">
        <v>0</v>
      </c>
      <c r="GG11" s="96">
        <v>18.457883084159995</v>
      </c>
      <c r="GH11" s="96">
        <v>0</v>
      </c>
      <c r="GI11" s="96">
        <v>2.8</v>
      </c>
    </row>
    <row r="12" spans="1:191" x14ac:dyDescent="0.35">
      <c r="A12" s="96" t="s">
        <v>486</v>
      </c>
      <c r="B12" s="97">
        <v>0.60678240740740741</v>
      </c>
      <c r="C12" s="96">
        <v>91963</v>
      </c>
      <c r="D12" s="96" t="s">
        <v>505</v>
      </c>
      <c r="G12" s="100" t="s">
        <v>488</v>
      </c>
      <c r="H12" s="96" t="s">
        <v>489</v>
      </c>
      <c r="I12" s="96" t="s">
        <v>490</v>
      </c>
      <c r="J12" s="96" t="s">
        <v>504</v>
      </c>
      <c r="K12" s="98"/>
      <c r="L12" s="101">
        <v>24</v>
      </c>
      <c r="M12" s="101">
        <v>43</v>
      </c>
      <c r="N12" s="101">
        <v>24.1</v>
      </c>
      <c r="O12" s="101">
        <v>44.2</v>
      </c>
      <c r="P12" s="102">
        <v>95</v>
      </c>
      <c r="Q12" s="101">
        <v>69.16</v>
      </c>
      <c r="R12" s="98">
        <v>0</v>
      </c>
      <c r="S12" s="98">
        <v>0</v>
      </c>
      <c r="T12" s="98">
        <v>0</v>
      </c>
      <c r="U12" s="98">
        <v>0</v>
      </c>
      <c r="V12" s="98" t="s">
        <v>24</v>
      </c>
      <c r="W12" s="98">
        <v>0</v>
      </c>
      <c r="X12" s="98">
        <v>0</v>
      </c>
      <c r="Y12" s="98">
        <v>0</v>
      </c>
      <c r="Z12" s="103">
        <v>0.77</v>
      </c>
      <c r="AA12" s="103">
        <v>0.23</v>
      </c>
      <c r="AB12" s="103">
        <v>0</v>
      </c>
      <c r="AC12" s="103">
        <v>0</v>
      </c>
      <c r="AD12" s="103">
        <v>0</v>
      </c>
      <c r="AE12" s="103">
        <v>0</v>
      </c>
      <c r="AF12" s="103">
        <v>0</v>
      </c>
      <c r="AG12" s="101">
        <v>53.2532</v>
      </c>
      <c r="AH12" s="101">
        <v>15.9068</v>
      </c>
      <c r="AI12" s="101">
        <v>0</v>
      </c>
      <c r="AJ12" s="101">
        <v>0</v>
      </c>
      <c r="AK12" s="101">
        <v>0</v>
      </c>
      <c r="AL12" s="101">
        <v>0</v>
      </c>
      <c r="AM12" s="101">
        <v>0</v>
      </c>
      <c r="AN12" s="103">
        <v>0.73599999999999999</v>
      </c>
      <c r="AO12" s="103">
        <v>0.11700000000000001</v>
      </c>
      <c r="AP12" s="103">
        <v>0.14699999999999999</v>
      </c>
      <c r="AQ12" s="103">
        <v>0</v>
      </c>
      <c r="AR12" s="103">
        <v>0</v>
      </c>
      <c r="AS12" s="103">
        <v>0</v>
      </c>
      <c r="AT12" s="103">
        <v>0</v>
      </c>
      <c r="AU12" s="101">
        <v>0</v>
      </c>
      <c r="AV12" s="101">
        <v>0</v>
      </c>
      <c r="AW12" s="101">
        <v>0</v>
      </c>
      <c r="AX12" s="101">
        <v>0</v>
      </c>
      <c r="AY12" s="101">
        <v>0</v>
      </c>
      <c r="AZ12" s="101">
        <v>0</v>
      </c>
      <c r="BA12" s="101">
        <v>0</v>
      </c>
      <c r="BB12" s="103">
        <v>0.80640000000000001</v>
      </c>
      <c r="BC12" s="103">
        <v>1.6E-2</v>
      </c>
      <c r="BD12" s="103">
        <v>0.17760000000000001</v>
      </c>
      <c r="BE12" s="101">
        <v>17.773056000000004</v>
      </c>
      <c r="BF12" s="101">
        <v>0.35264000000000006</v>
      </c>
      <c r="BG12" s="101">
        <v>3.9143040000000004</v>
      </c>
      <c r="BH12" s="101">
        <v>1</v>
      </c>
      <c r="BI12" s="101">
        <v>0.68723733519999997</v>
      </c>
      <c r="BJ12" s="96">
        <v>0</v>
      </c>
      <c r="BK12" s="96">
        <v>0</v>
      </c>
      <c r="BL12" s="96">
        <v>5</v>
      </c>
      <c r="BM12" s="101">
        <v>0</v>
      </c>
      <c r="BN12" s="101">
        <v>2.5</v>
      </c>
      <c r="BO12" s="101">
        <v>0</v>
      </c>
      <c r="BP12" s="101">
        <v>0</v>
      </c>
      <c r="BQ12" s="101">
        <v>0</v>
      </c>
      <c r="BR12" s="101">
        <v>1.3</v>
      </c>
      <c r="BS12" s="101">
        <v>1.3</v>
      </c>
      <c r="BT12" s="104">
        <v>0</v>
      </c>
      <c r="BU12" s="104">
        <v>0</v>
      </c>
      <c r="BV12" s="104">
        <v>0</v>
      </c>
      <c r="BW12" s="104">
        <v>0</v>
      </c>
      <c r="BX12" s="104">
        <v>0</v>
      </c>
      <c r="BY12" s="104">
        <v>0</v>
      </c>
      <c r="BZ12" s="104">
        <v>0</v>
      </c>
      <c r="CA12" s="104">
        <v>0</v>
      </c>
      <c r="CB12" s="104">
        <v>0</v>
      </c>
      <c r="CC12" s="104">
        <v>0</v>
      </c>
      <c r="CD12" s="104">
        <v>0</v>
      </c>
      <c r="CE12" s="104">
        <v>0</v>
      </c>
      <c r="CF12" s="104">
        <v>0</v>
      </c>
      <c r="CG12" s="104">
        <v>0</v>
      </c>
      <c r="CH12" s="104">
        <v>0</v>
      </c>
      <c r="CI12" s="104">
        <v>0</v>
      </c>
      <c r="CJ12" s="104">
        <v>0</v>
      </c>
      <c r="CK12" s="104">
        <v>0</v>
      </c>
      <c r="CL12" s="104">
        <v>0</v>
      </c>
      <c r="CM12" s="104">
        <v>0</v>
      </c>
      <c r="CN12" s="104">
        <v>0</v>
      </c>
      <c r="CO12" s="104">
        <v>0</v>
      </c>
      <c r="CP12" s="98">
        <v>30000</v>
      </c>
      <c r="CQ12" s="96" t="s">
        <v>164</v>
      </c>
      <c r="CR12" s="101">
        <v>162.23667820069204</v>
      </c>
      <c r="CS12" s="101">
        <v>0</v>
      </c>
      <c r="CT12" s="101">
        <v>0</v>
      </c>
      <c r="CU12" s="101">
        <v>0</v>
      </c>
      <c r="CV12" s="101">
        <v>0</v>
      </c>
      <c r="CW12" s="96" t="s">
        <v>369</v>
      </c>
      <c r="CX12" s="96" t="s">
        <v>490</v>
      </c>
      <c r="CY12" s="143">
        <v>61</v>
      </c>
      <c r="CZ12" s="143">
        <v>92</v>
      </c>
      <c r="DA12" s="143">
        <v>92</v>
      </c>
      <c r="DB12" s="143">
        <v>122</v>
      </c>
      <c r="DC12" s="99">
        <v>94</v>
      </c>
      <c r="DD12" s="99">
        <v>35</v>
      </c>
      <c r="DE12" s="99">
        <v>164.17</v>
      </c>
      <c r="DF12" s="99">
        <v>49.5</v>
      </c>
      <c r="DG12" s="99">
        <v>224</v>
      </c>
      <c r="DH12" s="99">
        <v>103</v>
      </c>
      <c r="DI12" s="99">
        <v>50</v>
      </c>
      <c r="DJ12" s="99">
        <v>5.01</v>
      </c>
      <c r="DK12" s="99">
        <v>0.56000000000000005</v>
      </c>
      <c r="DL12" s="99">
        <v>0</v>
      </c>
      <c r="DM12" s="99">
        <v>0</v>
      </c>
      <c r="DN12" s="99">
        <v>0</v>
      </c>
      <c r="DO12" s="99">
        <v>0</v>
      </c>
      <c r="DP12" s="99">
        <v>0</v>
      </c>
      <c r="DQ12" s="99">
        <v>5.56</v>
      </c>
      <c r="DR12" s="99">
        <v>94.5</v>
      </c>
      <c r="DS12" s="99">
        <v>35</v>
      </c>
      <c r="DT12" s="99">
        <v>118</v>
      </c>
      <c r="DU12" s="99">
        <v>90</v>
      </c>
      <c r="DV12" s="99">
        <v>54</v>
      </c>
      <c r="DW12" s="99">
        <v>0</v>
      </c>
      <c r="DX12" s="99">
        <v>50</v>
      </c>
      <c r="DY12" s="99">
        <v>0</v>
      </c>
      <c r="DZ12" s="99">
        <v>0</v>
      </c>
      <c r="EA12" s="99">
        <v>0</v>
      </c>
      <c r="EB12" s="99">
        <v>0</v>
      </c>
      <c r="EC12" s="99">
        <v>0</v>
      </c>
      <c r="ED12" s="99">
        <v>0</v>
      </c>
      <c r="EE12" s="99">
        <v>0</v>
      </c>
      <c r="EF12" s="99">
        <v>0</v>
      </c>
      <c r="EG12" s="99">
        <v>112.25</v>
      </c>
      <c r="EH12" s="99">
        <v>37.1</v>
      </c>
      <c r="EI12" s="99">
        <v>137.25</v>
      </c>
      <c r="EJ12" s="99">
        <v>2</v>
      </c>
      <c r="EK12" s="99">
        <v>0.01</v>
      </c>
      <c r="EL12" s="99">
        <v>0.54</v>
      </c>
      <c r="EM12" s="99">
        <v>2.5499999999999998</v>
      </c>
      <c r="EN12" s="99">
        <v>0</v>
      </c>
      <c r="EO12" s="99">
        <v>0</v>
      </c>
      <c r="EP12" s="99">
        <v>0.54</v>
      </c>
      <c r="EQ12" s="99">
        <v>0</v>
      </c>
      <c r="ER12" s="99">
        <v>0.05</v>
      </c>
      <c r="ES12" s="99">
        <v>0.25</v>
      </c>
      <c r="ET12" s="99">
        <v>0.1</v>
      </c>
      <c r="EU12" s="99">
        <v>0.1</v>
      </c>
      <c r="EV12" s="99">
        <v>0.1</v>
      </c>
      <c r="EW12" s="99">
        <v>0.05</v>
      </c>
      <c r="EX12" s="99">
        <v>0</v>
      </c>
      <c r="EY12" s="99">
        <v>0</v>
      </c>
      <c r="EZ12" s="99">
        <v>0.6</v>
      </c>
      <c r="FA12" s="99">
        <v>2.04</v>
      </c>
      <c r="FB12" s="99">
        <v>8.6999999999999993</v>
      </c>
      <c r="FC12" s="99">
        <v>2.64</v>
      </c>
      <c r="FD12" s="99">
        <v>11.34</v>
      </c>
      <c r="FE12" s="99">
        <v>0.56999999999999995</v>
      </c>
      <c r="FF12" s="99">
        <v>11.9</v>
      </c>
      <c r="FG12" s="99">
        <v>12.86</v>
      </c>
      <c r="FH12" s="99">
        <v>13.33</v>
      </c>
      <c r="FI12" s="99">
        <v>0</v>
      </c>
      <c r="FJ12" s="99">
        <v>0</v>
      </c>
      <c r="FK12" s="99">
        <v>0.95</v>
      </c>
      <c r="FL12" s="103">
        <v>8.0000000000000029E-2</v>
      </c>
      <c r="FM12" s="99">
        <v>0.95</v>
      </c>
      <c r="FN12" s="103">
        <v>8.0000000000000029E-2</v>
      </c>
      <c r="FO12" s="99">
        <v>1.43</v>
      </c>
      <c r="FP12" s="103">
        <v>0.11999999999999997</v>
      </c>
      <c r="FQ12" s="99">
        <v>1.43</v>
      </c>
      <c r="FR12" s="103">
        <v>0.11999999999999997</v>
      </c>
      <c r="FT12" s="96" t="s">
        <v>23</v>
      </c>
      <c r="FU12" s="96" t="s">
        <v>22</v>
      </c>
      <c r="FV12" s="96" t="s">
        <v>121</v>
      </c>
      <c r="FW12" s="96" t="s">
        <v>47</v>
      </c>
      <c r="FY12" s="96">
        <v>95</v>
      </c>
      <c r="FZ12" s="96">
        <v>0</v>
      </c>
      <c r="GA12" s="96">
        <v>0.23200000000000001</v>
      </c>
      <c r="GB12" s="96">
        <v>95</v>
      </c>
      <c r="GC12" s="96">
        <v>69.16</v>
      </c>
      <c r="GD12" s="96">
        <v>0</v>
      </c>
      <c r="GE12" s="96">
        <v>22.040000000000003</v>
      </c>
      <c r="GF12" s="96">
        <v>2.5</v>
      </c>
      <c r="GG12" s="96">
        <v>0</v>
      </c>
      <c r="GH12" s="96">
        <v>0</v>
      </c>
      <c r="GI12" s="96">
        <v>1.3</v>
      </c>
    </row>
    <row r="13" spans="1:191" x14ac:dyDescent="0.35">
      <c r="A13" s="96" t="s">
        <v>486</v>
      </c>
      <c r="B13" s="97">
        <v>0.60760416666666661</v>
      </c>
      <c r="C13" s="96">
        <v>91963</v>
      </c>
      <c r="D13" s="96" t="s">
        <v>507</v>
      </c>
      <c r="G13" s="100" t="s">
        <v>488</v>
      </c>
      <c r="H13" s="96" t="s">
        <v>489</v>
      </c>
      <c r="I13" s="96" t="s">
        <v>490</v>
      </c>
      <c r="J13" s="96" t="s">
        <v>506</v>
      </c>
      <c r="K13" s="98"/>
      <c r="L13" s="101">
        <v>24</v>
      </c>
      <c r="M13" s="101">
        <v>43</v>
      </c>
      <c r="N13" s="101">
        <v>24.1</v>
      </c>
      <c r="O13" s="101">
        <v>44.2</v>
      </c>
      <c r="P13" s="102">
        <v>95</v>
      </c>
      <c r="Q13" s="101">
        <v>69.16</v>
      </c>
      <c r="R13" s="98">
        <v>0</v>
      </c>
      <c r="S13" s="98">
        <v>0</v>
      </c>
      <c r="T13" s="98">
        <v>0</v>
      </c>
      <c r="U13" s="98">
        <v>0</v>
      </c>
      <c r="V13" s="98" t="s">
        <v>24</v>
      </c>
      <c r="W13" s="98">
        <v>0</v>
      </c>
      <c r="X13" s="98">
        <v>0</v>
      </c>
      <c r="Y13" s="98">
        <v>0</v>
      </c>
      <c r="Z13" s="103">
        <v>0.77</v>
      </c>
      <c r="AA13" s="103">
        <v>0.23</v>
      </c>
      <c r="AB13" s="103">
        <v>0</v>
      </c>
      <c r="AC13" s="103">
        <v>0</v>
      </c>
      <c r="AD13" s="103">
        <v>0</v>
      </c>
      <c r="AE13" s="103">
        <v>0</v>
      </c>
      <c r="AF13" s="103">
        <v>0</v>
      </c>
      <c r="AG13" s="101">
        <v>53.2532</v>
      </c>
      <c r="AH13" s="101">
        <v>15.9068</v>
      </c>
      <c r="AI13" s="101">
        <v>0</v>
      </c>
      <c r="AJ13" s="101">
        <v>0</v>
      </c>
      <c r="AK13" s="101">
        <v>0</v>
      </c>
      <c r="AL13" s="101">
        <v>0</v>
      </c>
      <c r="AM13" s="101">
        <v>0</v>
      </c>
      <c r="AN13" s="103">
        <v>0.73599999999999999</v>
      </c>
      <c r="AO13" s="103">
        <v>0.11700000000000001</v>
      </c>
      <c r="AP13" s="103">
        <v>0.14699999999999999</v>
      </c>
      <c r="AQ13" s="103">
        <v>0</v>
      </c>
      <c r="AR13" s="103">
        <v>0</v>
      </c>
      <c r="AS13" s="103">
        <v>0</v>
      </c>
      <c r="AT13" s="103">
        <v>0</v>
      </c>
      <c r="AU13" s="101">
        <v>0</v>
      </c>
      <c r="AV13" s="101">
        <v>0</v>
      </c>
      <c r="AW13" s="101">
        <v>0</v>
      </c>
      <c r="AX13" s="101">
        <v>0</v>
      </c>
      <c r="AY13" s="101">
        <v>0</v>
      </c>
      <c r="AZ13" s="101">
        <v>0</v>
      </c>
      <c r="BA13" s="101">
        <v>0</v>
      </c>
      <c r="BB13" s="103">
        <v>0.80640000000000001</v>
      </c>
      <c r="BC13" s="103">
        <v>1.6E-2</v>
      </c>
      <c r="BD13" s="103">
        <v>0.17760000000000001</v>
      </c>
      <c r="BE13" s="101">
        <v>17.773056000000004</v>
      </c>
      <c r="BF13" s="101">
        <v>0.35264000000000006</v>
      </c>
      <c r="BG13" s="101">
        <v>3.9143040000000004</v>
      </c>
      <c r="BH13" s="101">
        <v>1</v>
      </c>
      <c r="BI13" s="101">
        <v>0.68723733519999997</v>
      </c>
      <c r="BJ13" s="96">
        <v>0</v>
      </c>
      <c r="BK13" s="96">
        <v>0</v>
      </c>
      <c r="BL13" s="96">
        <v>5</v>
      </c>
      <c r="BM13" s="101">
        <v>0</v>
      </c>
      <c r="BN13" s="101">
        <v>2.5</v>
      </c>
      <c r="BO13" s="101">
        <v>0</v>
      </c>
      <c r="BP13" s="101">
        <v>0</v>
      </c>
      <c r="BQ13" s="101">
        <v>0</v>
      </c>
      <c r="BR13" s="101">
        <v>1.3</v>
      </c>
      <c r="BS13" s="101">
        <v>1.3</v>
      </c>
      <c r="BT13" s="104">
        <v>0</v>
      </c>
      <c r="BU13" s="104">
        <v>0</v>
      </c>
      <c r="BV13" s="104">
        <v>0</v>
      </c>
      <c r="BW13" s="104">
        <v>0</v>
      </c>
      <c r="BX13" s="104">
        <v>0</v>
      </c>
      <c r="BY13" s="104">
        <v>0</v>
      </c>
      <c r="BZ13" s="104">
        <v>0</v>
      </c>
      <c r="CA13" s="104">
        <v>0</v>
      </c>
      <c r="CB13" s="104">
        <v>0</v>
      </c>
      <c r="CC13" s="104">
        <v>0</v>
      </c>
      <c r="CD13" s="104">
        <v>0</v>
      </c>
      <c r="CE13" s="104">
        <v>0</v>
      </c>
      <c r="CF13" s="104">
        <v>0</v>
      </c>
      <c r="CG13" s="104">
        <v>0</v>
      </c>
      <c r="CH13" s="104">
        <v>0</v>
      </c>
      <c r="CI13" s="104">
        <v>0</v>
      </c>
      <c r="CJ13" s="104">
        <v>0</v>
      </c>
      <c r="CK13" s="104">
        <v>0</v>
      </c>
      <c r="CL13" s="104">
        <v>0</v>
      </c>
      <c r="CM13" s="104">
        <v>0</v>
      </c>
      <c r="CN13" s="104">
        <v>0</v>
      </c>
      <c r="CO13" s="104">
        <v>0</v>
      </c>
      <c r="CP13" s="98">
        <v>30000</v>
      </c>
      <c r="CQ13" s="96" t="s">
        <v>164</v>
      </c>
      <c r="CR13" s="101">
        <v>162.23667820069204</v>
      </c>
      <c r="CS13" s="101">
        <v>0</v>
      </c>
      <c r="CT13" s="101">
        <v>0</v>
      </c>
      <c r="CU13" s="101">
        <v>0</v>
      </c>
      <c r="CV13" s="101">
        <v>0</v>
      </c>
      <c r="CW13" s="96" t="s">
        <v>369</v>
      </c>
      <c r="CX13" s="96" t="s">
        <v>490</v>
      </c>
      <c r="CY13" s="143">
        <v>61</v>
      </c>
      <c r="CZ13" s="143">
        <v>92</v>
      </c>
      <c r="DA13" s="143">
        <v>92</v>
      </c>
      <c r="DB13" s="143">
        <v>122</v>
      </c>
      <c r="DC13" s="99">
        <v>94</v>
      </c>
      <c r="DD13" s="99">
        <v>35</v>
      </c>
      <c r="DE13" s="99">
        <v>164.17</v>
      </c>
      <c r="DF13" s="99">
        <v>49.5</v>
      </c>
      <c r="DG13" s="99">
        <v>224</v>
      </c>
      <c r="DH13" s="99">
        <v>103</v>
      </c>
      <c r="DI13" s="99">
        <v>50</v>
      </c>
      <c r="DJ13" s="99">
        <v>5.01</v>
      </c>
      <c r="DK13" s="99">
        <v>0.56000000000000005</v>
      </c>
      <c r="DL13" s="99">
        <v>0</v>
      </c>
      <c r="DM13" s="99">
        <v>0</v>
      </c>
      <c r="DN13" s="99">
        <v>0</v>
      </c>
      <c r="DO13" s="99">
        <v>0</v>
      </c>
      <c r="DP13" s="99">
        <v>0</v>
      </c>
      <c r="DQ13" s="99">
        <v>5.56</v>
      </c>
      <c r="DR13" s="99">
        <v>94.5</v>
      </c>
      <c r="DS13" s="99">
        <v>35</v>
      </c>
      <c r="DT13" s="99">
        <v>118</v>
      </c>
      <c r="DU13" s="99">
        <v>90</v>
      </c>
      <c r="DV13" s="99">
        <v>54</v>
      </c>
      <c r="DW13" s="99">
        <v>0</v>
      </c>
      <c r="DX13" s="99">
        <v>50</v>
      </c>
      <c r="DY13" s="99">
        <v>0</v>
      </c>
      <c r="DZ13" s="99">
        <v>0</v>
      </c>
      <c r="EA13" s="99">
        <v>0</v>
      </c>
      <c r="EB13" s="99">
        <v>0</v>
      </c>
      <c r="EC13" s="99">
        <v>0</v>
      </c>
      <c r="ED13" s="99">
        <v>0</v>
      </c>
      <c r="EE13" s="99">
        <v>0</v>
      </c>
      <c r="EF13" s="99">
        <v>0</v>
      </c>
      <c r="EG13" s="99">
        <v>112.25</v>
      </c>
      <c r="EH13" s="99">
        <v>37.1</v>
      </c>
      <c r="EI13" s="99">
        <v>137.25</v>
      </c>
      <c r="EJ13" s="99">
        <v>2</v>
      </c>
      <c r="EK13" s="99">
        <v>0.01</v>
      </c>
      <c r="EL13" s="99">
        <v>0.54</v>
      </c>
      <c r="EM13" s="99">
        <v>2.5499999999999998</v>
      </c>
      <c r="EN13" s="99">
        <v>0</v>
      </c>
      <c r="EO13" s="99">
        <v>0</v>
      </c>
      <c r="EP13" s="99">
        <v>0.54</v>
      </c>
      <c r="EQ13" s="99">
        <v>0</v>
      </c>
      <c r="ER13" s="99">
        <v>0.05</v>
      </c>
      <c r="ES13" s="99">
        <v>0.25</v>
      </c>
      <c r="ET13" s="99">
        <v>0.1</v>
      </c>
      <c r="EU13" s="99">
        <v>0.1</v>
      </c>
      <c r="EV13" s="99">
        <v>0.1</v>
      </c>
      <c r="EW13" s="99">
        <v>0.05</v>
      </c>
      <c r="EX13" s="99">
        <v>0</v>
      </c>
      <c r="EY13" s="99">
        <v>0</v>
      </c>
      <c r="EZ13" s="99">
        <v>0.6</v>
      </c>
      <c r="FA13" s="99">
        <v>2.04</v>
      </c>
      <c r="FB13" s="99">
        <v>8.6999999999999993</v>
      </c>
      <c r="FC13" s="99">
        <v>2.64</v>
      </c>
      <c r="FD13" s="99">
        <v>11.34</v>
      </c>
      <c r="FE13" s="99">
        <v>0.56999999999999995</v>
      </c>
      <c r="FF13" s="99">
        <v>11.9</v>
      </c>
      <c r="FG13" s="99">
        <v>12.86</v>
      </c>
      <c r="FH13" s="99">
        <v>13.33</v>
      </c>
      <c r="FI13" s="99">
        <v>0</v>
      </c>
      <c r="FJ13" s="99">
        <v>0</v>
      </c>
      <c r="FK13" s="99">
        <v>0.95</v>
      </c>
      <c r="FL13" s="103">
        <v>8.0000000000000029E-2</v>
      </c>
      <c r="FM13" s="99">
        <v>0.95</v>
      </c>
      <c r="FN13" s="103">
        <v>8.0000000000000029E-2</v>
      </c>
      <c r="FO13" s="99">
        <v>1.43</v>
      </c>
      <c r="FP13" s="103">
        <v>0.11999999999999997</v>
      </c>
      <c r="FQ13" s="99">
        <v>1.43</v>
      </c>
      <c r="FR13" s="103">
        <v>0.11999999999999997</v>
      </c>
      <c r="FT13" s="96" t="s">
        <v>23</v>
      </c>
      <c r="FU13" s="96" t="s">
        <v>22</v>
      </c>
      <c r="FV13" s="96" t="s">
        <v>121</v>
      </c>
      <c r="FW13" s="96" t="s">
        <v>47</v>
      </c>
      <c r="FY13" s="96">
        <v>95</v>
      </c>
      <c r="FZ13" s="96">
        <v>0</v>
      </c>
      <c r="GA13" s="96">
        <v>0.23200000000000001</v>
      </c>
      <c r="GB13" s="96">
        <v>95</v>
      </c>
      <c r="GC13" s="96">
        <v>69.16</v>
      </c>
      <c r="GD13" s="96">
        <v>0</v>
      </c>
      <c r="GE13" s="96">
        <v>22.040000000000003</v>
      </c>
      <c r="GF13" s="96">
        <v>2.5</v>
      </c>
      <c r="GG13" s="96">
        <v>0</v>
      </c>
      <c r="GH13" s="96">
        <v>0</v>
      </c>
      <c r="GI13" s="96">
        <v>1.3</v>
      </c>
    </row>
    <row r="14" spans="1:191" x14ac:dyDescent="0.35">
      <c r="A14" s="96" t="s">
        <v>486</v>
      </c>
      <c r="B14" s="97">
        <v>0.60812500000000003</v>
      </c>
      <c r="C14" s="96">
        <v>91963</v>
      </c>
      <c r="D14" s="96" t="s">
        <v>509</v>
      </c>
      <c r="G14" s="100" t="s">
        <v>488</v>
      </c>
      <c r="H14" s="96" t="s">
        <v>489</v>
      </c>
      <c r="I14" s="96" t="s">
        <v>490</v>
      </c>
      <c r="J14" s="96" t="s">
        <v>508</v>
      </c>
      <c r="K14" s="98"/>
      <c r="L14" s="101">
        <v>24</v>
      </c>
      <c r="M14" s="101">
        <v>43</v>
      </c>
      <c r="N14" s="101">
        <v>24.1</v>
      </c>
      <c r="O14" s="101">
        <v>44.2</v>
      </c>
      <c r="P14" s="102">
        <v>95</v>
      </c>
      <c r="Q14" s="101">
        <v>69.16</v>
      </c>
      <c r="R14" s="98">
        <v>0</v>
      </c>
      <c r="S14" s="98">
        <v>0</v>
      </c>
      <c r="T14" s="98">
        <v>0</v>
      </c>
      <c r="U14" s="98">
        <v>0</v>
      </c>
      <c r="V14" s="98" t="s">
        <v>24</v>
      </c>
      <c r="W14" s="98">
        <v>0</v>
      </c>
      <c r="X14" s="98">
        <v>0</v>
      </c>
      <c r="Y14" s="98">
        <v>0</v>
      </c>
      <c r="Z14" s="103">
        <v>0.77</v>
      </c>
      <c r="AA14" s="103">
        <v>0.23</v>
      </c>
      <c r="AB14" s="103">
        <v>0</v>
      </c>
      <c r="AC14" s="103">
        <v>0</v>
      </c>
      <c r="AD14" s="103">
        <v>0</v>
      </c>
      <c r="AE14" s="103">
        <v>0</v>
      </c>
      <c r="AF14" s="103">
        <v>0</v>
      </c>
      <c r="AG14" s="101">
        <v>53.2532</v>
      </c>
      <c r="AH14" s="101">
        <v>15.9068</v>
      </c>
      <c r="AI14" s="101">
        <v>0</v>
      </c>
      <c r="AJ14" s="101">
        <v>0</v>
      </c>
      <c r="AK14" s="101">
        <v>0</v>
      </c>
      <c r="AL14" s="101">
        <v>0</v>
      </c>
      <c r="AM14" s="101">
        <v>0</v>
      </c>
      <c r="AN14" s="103">
        <v>0.73599999999999999</v>
      </c>
      <c r="AO14" s="103">
        <v>0.11700000000000001</v>
      </c>
      <c r="AP14" s="103">
        <v>0.14699999999999999</v>
      </c>
      <c r="AQ14" s="103">
        <v>0</v>
      </c>
      <c r="AR14" s="103">
        <v>0</v>
      </c>
      <c r="AS14" s="103">
        <v>0</v>
      </c>
      <c r="AT14" s="103">
        <v>0</v>
      </c>
      <c r="AU14" s="101">
        <v>0</v>
      </c>
      <c r="AV14" s="101">
        <v>0</v>
      </c>
      <c r="AW14" s="101">
        <v>0</v>
      </c>
      <c r="AX14" s="101">
        <v>0</v>
      </c>
      <c r="AY14" s="101">
        <v>0</v>
      </c>
      <c r="AZ14" s="101">
        <v>0</v>
      </c>
      <c r="BA14" s="101">
        <v>0</v>
      </c>
      <c r="BB14" s="103">
        <v>0.80640000000000001</v>
      </c>
      <c r="BC14" s="103">
        <v>1.6E-2</v>
      </c>
      <c r="BD14" s="103">
        <v>0.17760000000000001</v>
      </c>
      <c r="BE14" s="101">
        <v>17.773056000000004</v>
      </c>
      <c r="BF14" s="101">
        <v>0.35264000000000006</v>
      </c>
      <c r="BG14" s="101">
        <v>3.9143040000000004</v>
      </c>
      <c r="BH14" s="101">
        <v>1</v>
      </c>
      <c r="BI14" s="101">
        <v>0.68723733519999997</v>
      </c>
      <c r="BJ14" s="96">
        <v>0</v>
      </c>
      <c r="BK14" s="96">
        <v>0</v>
      </c>
      <c r="BL14" s="96">
        <v>5</v>
      </c>
      <c r="BM14" s="101">
        <v>0</v>
      </c>
      <c r="BN14" s="101">
        <v>2.5</v>
      </c>
      <c r="BO14" s="101">
        <v>0</v>
      </c>
      <c r="BP14" s="101">
        <v>0</v>
      </c>
      <c r="BQ14" s="101">
        <v>0</v>
      </c>
      <c r="BR14" s="101">
        <v>1.3</v>
      </c>
      <c r="BS14" s="101">
        <v>1.3</v>
      </c>
      <c r="BT14" s="104">
        <v>0</v>
      </c>
      <c r="BU14" s="104">
        <v>0</v>
      </c>
      <c r="BV14" s="104">
        <v>0</v>
      </c>
      <c r="BW14" s="104">
        <v>0</v>
      </c>
      <c r="BX14" s="104">
        <v>0</v>
      </c>
      <c r="BY14" s="104">
        <v>0</v>
      </c>
      <c r="BZ14" s="104">
        <v>0</v>
      </c>
      <c r="CA14" s="104">
        <v>0</v>
      </c>
      <c r="CB14" s="104">
        <v>0</v>
      </c>
      <c r="CC14" s="104">
        <v>0</v>
      </c>
      <c r="CD14" s="104">
        <v>0</v>
      </c>
      <c r="CE14" s="104">
        <v>0</v>
      </c>
      <c r="CF14" s="104">
        <v>0</v>
      </c>
      <c r="CG14" s="104">
        <v>0</v>
      </c>
      <c r="CH14" s="104">
        <v>0</v>
      </c>
      <c r="CI14" s="104">
        <v>0</v>
      </c>
      <c r="CJ14" s="104">
        <v>0</v>
      </c>
      <c r="CK14" s="104">
        <v>0</v>
      </c>
      <c r="CL14" s="104">
        <v>0</v>
      </c>
      <c r="CM14" s="104">
        <v>0</v>
      </c>
      <c r="CN14" s="104">
        <v>0</v>
      </c>
      <c r="CO14" s="104">
        <v>0</v>
      </c>
      <c r="CP14" s="98">
        <v>30000</v>
      </c>
      <c r="CQ14" s="96" t="s">
        <v>164</v>
      </c>
      <c r="CR14" s="101">
        <v>162.23667820069204</v>
      </c>
      <c r="CS14" s="101">
        <v>0</v>
      </c>
      <c r="CT14" s="101">
        <v>0</v>
      </c>
      <c r="CU14" s="101">
        <v>0</v>
      </c>
      <c r="CV14" s="101">
        <v>0</v>
      </c>
      <c r="CW14" s="96" t="s">
        <v>369</v>
      </c>
      <c r="CX14" s="96" t="s">
        <v>490</v>
      </c>
      <c r="CY14" s="143">
        <v>61</v>
      </c>
      <c r="CZ14" s="143">
        <v>92</v>
      </c>
      <c r="DA14" s="143">
        <v>92</v>
      </c>
      <c r="DB14" s="143">
        <v>122</v>
      </c>
      <c r="DC14" s="99">
        <v>94</v>
      </c>
      <c r="DD14" s="99">
        <v>35</v>
      </c>
      <c r="DE14" s="99">
        <v>164.17</v>
      </c>
      <c r="DF14" s="99">
        <v>49.5</v>
      </c>
      <c r="DG14" s="99">
        <v>224</v>
      </c>
      <c r="DH14" s="99">
        <v>103</v>
      </c>
      <c r="DI14" s="99">
        <v>50</v>
      </c>
      <c r="DJ14" s="99">
        <v>5.01</v>
      </c>
      <c r="DK14" s="99">
        <v>0.56000000000000005</v>
      </c>
      <c r="DL14" s="99">
        <v>0</v>
      </c>
      <c r="DM14" s="99">
        <v>0</v>
      </c>
      <c r="DN14" s="99">
        <v>0</v>
      </c>
      <c r="DO14" s="99">
        <v>0</v>
      </c>
      <c r="DP14" s="99">
        <v>0</v>
      </c>
      <c r="DQ14" s="99">
        <v>5.56</v>
      </c>
      <c r="DR14" s="99">
        <v>94.5</v>
      </c>
      <c r="DS14" s="99">
        <v>35</v>
      </c>
      <c r="DT14" s="99">
        <v>118</v>
      </c>
      <c r="DU14" s="99">
        <v>90</v>
      </c>
      <c r="DV14" s="99">
        <v>54</v>
      </c>
      <c r="DW14" s="99">
        <v>0</v>
      </c>
      <c r="DX14" s="99">
        <v>50</v>
      </c>
      <c r="DY14" s="99">
        <v>0</v>
      </c>
      <c r="DZ14" s="99">
        <v>0</v>
      </c>
      <c r="EA14" s="99">
        <v>0</v>
      </c>
      <c r="EB14" s="99">
        <v>0</v>
      </c>
      <c r="EC14" s="99">
        <v>0</v>
      </c>
      <c r="ED14" s="99">
        <v>0</v>
      </c>
      <c r="EE14" s="99">
        <v>0</v>
      </c>
      <c r="EF14" s="99">
        <v>0</v>
      </c>
      <c r="EG14" s="99">
        <v>112.25</v>
      </c>
      <c r="EH14" s="99">
        <v>37.1</v>
      </c>
      <c r="EI14" s="99">
        <v>137.25</v>
      </c>
      <c r="EJ14" s="99">
        <v>2</v>
      </c>
      <c r="EK14" s="99">
        <v>0.01</v>
      </c>
      <c r="EL14" s="99">
        <v>0.54</v>
      </c>
      <c r="EM14" s="99">
        <v>2.5499999999999998</v>
      </c>
      <c r="EN14" s="99">
        <v>0</v>
      </c>
      <c r="EO14" s="99">
        <v>0</v>
      </c>
      <c r="EP14" s="99">
        <v>0.54</v>
      </c>
      <c r="EQ14" s="99">
        <v>0</v>
      </c>
      <c r="ER14" s="99">
        <v>0.05</v>
      </c>
      <c r="ES14" s="99">
        <v>0.25</v>
      </c>
      <c r="ET14" s="99">
        <v>0.1</v>
      </c>
      <c r="EU14" s="99">
        <v>0.1</v>
      </c>
      <c r="EV14" s="99">
        <v>0.1</v>
      </c>
      <c r="EW14" s="99">
        <v>0.05</v>
      </c>
      <c r="EX14" s="99">
        <v>0</v>
      </c>
      <c r="EY14" s="99">
        <v>0</v>
      </c>
      <c r="EZ14" s="99">
        <v>0.6</v>
      </c>
      <c r="FA14" s="99">
        <v>2.04</v>
      </c>
      <c r="FB14" s="99">
        <v>8.6999999999999993</v>
      </c>
      <c r="FC14" s="99">
        <v>2.64</v>
      </c>
      <c r="FD14" s="99">
        <v>11.34</v>
      </c>
      <c r="FE14" s="99">
        <v>0.56999999999999995</v>
      </c>
      <c r="FF14" s="99">
        <v>11.9</v>
      </c>
      <c r="FG14" s="99">
        <v>12.86</v>
      </c>
      <c r="FH14" s="99">
        <v>13.33</v>
      </c>
      <c r="FI14" s="99">
        <v>0</v>
      </c>
      <c r="FJ14" s="99">
        <v>0</v>
      </c>
      <c r="FK14" s="99">
        <v>0.95</v>
      </c>
      <c r="FL14" s="103">
        <v>8.0000000000000029E-2</v>
      </c>
      <c r="FM14" s="99">
        <v>0.95</v>
      </c>
      <c r="FN14" s="103">
        <v>8.0000000000000029E-2</v>
      </c>
      <c r="FO14" s="99">
        <v>1.43</v>
      </c>
      <c r="FP14" s="103">
        <v>0.11999999999999997</v>
      </c>
      <c r="FQ14" s="99">
        <v>1.43</v>
      </c>
      <c r="FR14" s="103">
        <v>0.11999999999999997</v>
      </c>
      <c r="FT14" s="96" t="s">
        <v>23</v>
      </c>
      <c r="FU14" s="96" t="s">
        <v>22</v>
      </c>
      <c r="FV14" s="96" t="s">
        <v>121</v>
      </c>
      <c r="FW14" s="96" t="s">
        <v>47</v>
      </c>
      <c r="FY14" s="96">
        <v>95</v>
      </c>
      <c r="FZ14" s="96">
        <v>0</v>
      </c>
      <c r="GA14" s="96">
        <v>0.23200000000000001</v>
      </c>
      <c r="GB14" s="96">
        <v>95</v>
      </c>
      <c r="GC14" s="96">
        <v>69.16</v>
      </c>
      <c r="GD14" s="96">
        <v>0</v>
      </c>
      <c r="GE14" s="96">
        <v>22.040000000000003</v>
      </c>
      <c r="GF14" s="96">
        <v>2.5</v>
      </c>
      <c r="GG14" s="96">
        <v>0</v>
      </c>
      <c r="GH14" s="96">
        <v>0</v>
      </c>
      <c r="GI14" s="96">
        <v>1.3</v>
      </c>
    </row>
    <row r="15" spans="1:191" x14ac:dyDescent="0.35">
      <c r="A15" s="96" t="s">
        <v>486</v>
      </c>
      <c r="B15" s="97">
        <v>0.6086111111111111</v>
      </c>
      <c r="C15" s="96">
        <v>91963</v>
      </c>
      <c r="D15" s="96" t="s">
        <v>511</v>
      </c>
      <c r="G15" s="100" t="s">
        <v>488</v>
      </c>
      <c r="H15" s="96" t="s">
        <v>489</v>
      </c>
      <c r="I15" s="96" t="s">
        <v>490</v>
      </c>
      <c r="J15" s="96" t="s">
        <v>510</v>
      </c>
      <c r="K15" s="98"/>
      <c r="L15" s="101">
        <v>24</v>
      </c>
      <c r="M15" s="101">
        <v>43</v>
      </c>
      <c r="N15" s="101">
        <v>24.1</v>
      </c>
      <c r="O15" s="101">
        <v>44.2</v>
      </c>
      <c r="P15" s="102">
        <v>95</v>
      </c>
      <c r="Q15" s="101">
        <v>69.16</v>
      </c>
      <c r="R15" s="98">
        <v>0</v>
      </c>
      <c r="S15" s="98">
        <v>0</v>
      </c>
      <c r="T15" s="98">
        <v>0</v>
      </c>
      <c r="U15" s="98">
        <v>0</v>
      </c>
      <c r="V15" s="98" t="s">
        <v>24</v>
      </c>
      <c r="W15" s="98">
        <v>0</v>
      </c>
      <c r="X15" s="98">
        <v>0</v>
      </c>
      <c r="Y15" s="98">
        <v>0</v>
      </c>
      <c r="Z15" s="103">
        <v>0.77</v>
      </c>
      <c r="AA15" s="103">
        <v>0.23</v>
      </c>
      <c r="AB15" s="103">
        <v>0</v>
      </c>
      <c r="AC15" s="103">
        <v>0</v>
      </c>
      <c r="AD15" s="103">
        <v>0</v>
      </c>
      <c r="AE15" s="103">
        <v>0</v>
      </c>
      <c r="AF15" s="103">
        <v>0</v>
      </c>
      <c r="AG15" s="101">
        <v>53.2532</v>
      </c>
      <c r="AH15" s="101">
        <v>15.9068</v>
      </c>
      <c r="AI15" s="101">
        <v>0</v>
      </c>
      <c r="AJ15" s="101">
        <v>0</v>
      </c>
      <c r="AK15" s="101">
        <v>0</v>
      </c>
      <c r="AL15" s="101">
        <v>0</v>
      </c>
      <c r="AM15" s="101">
        <v>0</v>
      </c>
      <c r="AN15" s="103">
        <v>0.73599999999999999</v>
      </c>
      <c r="AO15" s="103">
        <v>0.11700000000000001</v>
      </c>
      <c r="AP15" s="103">
        <v>0.14699999999999999</v>
      </c>
      <c r="AQ15" s="103">
        <v>0</v>
      </c>
      <c r="AR15" s="103">
        <v>0</v>
      </c>
      <c r="AS15" s="103">
        <v>0</v>
      </c>
      <c r="AT15" s="103">
        <v>0</v>
      </c>
      <c r="AU15" s="101">
        <v>0</v>
      </c>
      <c r="AV15" s="101">
        <v>0</v>
      </c>
      <c r="AW15" s="101">
        <v>0</v>
      </c>
      <c r="AX15" s="101">
        <v>0</v>
      </c>
      <c r="AY15" s="101">
        <v>0</v>
      </c>
      <c r="AZ15" s="101">
        <v>0</v>
      </c>
      <c r="BA15" s="101">
        <v>0</v>
      </c>
      <c r="BB15" s="103">
        <v>0.80640000000000001</v>
      </c>
      <c r="BC15" s="103">
        <v>1.6E-2</v>
      </c>
      <c r="BD15" s="103">
        <v>0.17760000000000001</v>
      </c>
      <c r="BE15" s="101">
        <v>17.773056000000004</v>
      </c>
      <c r="BF15" s="101">
        <v>0.35264000000000006</v>
      </c>
      <c r="BG15" s="101">
        <v>3.9143040000000004</v>
      </c>
      <c r="BH15" s="101">
        <v>1</v>
      </c>
      <c r="BI15" s="101">
        <v>0.68723733519999997</v>
      </c>
      <c r="BJ15" s="96">
        <v>0</v>
      </c>
      <c r="BK15" s="96">
        <v>0</v>
      </c>
      <c r="BL15" s="96">
        <v>5</v>
      </c>
      <c r="BM15" s="101">
        <v>0</v>
      </c>
      <c r="BN15" s="101">
        <v>2.5</v>
      </c>
      <c r="BO15" s="101">
        <v>0</v>
      </c>
      <c r="BP15" s="101">
        <v>0</v>
      </c>
      <c r="BQ15" s="101">
        <v>0</v>
      </c>
      <c r="BR15" s="101">
        <v>1.3</v>
      </c>
      <c r="BS15" s="101">
        <v>1.3</v>
      </c>
      <c r="BT15" s="104">
        <v>0</v>
      </c>
      <c r="BU15" s="104">
        <v>0</v>
      </c>
      <c r="BV15" s="104">
        <v>0</v>
      </c>
      <c r="BW15" s="104">
        <v>0</v>
      </c>
      <c r="BX15" s="104">
        <v>0</v>
      </c>
      <c r="BY15" s="104">
        <v>0</v>
      </c>
      <c r="BZ15" s="104">
        <v>0</v>
      </c>
      <c r="CA15" s="104">
        <v>0</v>
      </c>
      <c r="CB15" s="104">
        <v>0</v>
      </c>
      <c r="CC15" s="104">
        <v>0</v>
      </c>
      <c r="CD15" s="104">
        <v>0</v>
      </c>
      <c r="CE15" s="104">
        <v>0</v>
      </c>
      <c r="CF15" s="104">
        <v>0</v>
      </c>
      <c r="CG15" s="104">
        <v>0</v>
      </c>
      <c r="CH15" s="104">
        <v>0</v>
      </c>
      <c r="CI15" s="104">
        <v>0</v>
      </c>
      <c r="CJ15" s="104">
        <v>0</v>
      </c>
      <c r="CK15" s="104">
        <v>0</v>
      </c>
      <c r="CL15" s="104">
        <v>0</v>
      </c>
      <c r="CM15" s="104">
        <v>0</v>
      </c>
      <c r="CN15" s="104">
        <v>0</v>
      </c>
      <c r="CO15" s="104">
        <v>0</v>
      </c>
      <c r="CP15" s="98">
        <v>30000</v>
      </c>
      <c r="CQ15" s="96" t="s">
        <v>164</v>
      </c>
      <c r="CR15" s="101">
        <v>162.23667820069204</v>
      </c>
      <c r="CS15" s="101">
        <v>0</v>
      </c>
      <c r="CT15" s="101">
        <v>0</v>
      </c>
      <c r="CU15" s="101">
        <v>0</v>
      </c>
      <c r="CV15" s="101">
        <v>0</v>
      </c>
      <c r="CW15" s="96" t="s">
        <v>369</v>
      </c>
      <c r="CX15" s="96" t="s">
        <v>490</v>
      </c>
      <c r="CY15" s="143">
        <v>61</v>
      </c>
      <c r="CZ15" s="143">
        <v>92</v>
      </c>
      <c r="DA15" s="143">
        <v>92</v>
      </c>
      <c r="DB15" s="143">
        <v>122</v>
      </c>
      <c r="DC15" s="99">
        <v>94</v>
      </c>
      <c r="DD15" s="99">
        <v>35</v>
      </c>
      <c r="DE15" s="99">
        <v>164.17</v>
      </c>
      <c r="DF15" s="99">
        <v>49.5</v>
      </c>
      <c r="DG15" s="99">
        <v>224</v>
      </c>
      <c r="DH15" s="99">
        <v>103</v>
      </c>
      <c r="DI15" s="99">
        <v>50</v>
      </c>
      <c r="DJ15" s="99">
        <v>5.01</v>
      </c>
      <c r="DK15" s="99">
        <v>0.56000000000000005</v>
      </c>
      <c r="DL15" s="99">
        <v>0</v>
      </c>
      <c r="DM15" s="99">
        <v>0</v>
      </c>
      <c r="DN15" s="99">
        <v>0</v>
      </c>
      <c r="DO15" s="99">
        <v>0</v>
      </c>
      <c r="DP15" s="99">
        <v>0</v>
      </c>
      <c r="DQ15" s="99">
        <v>5.56</v>
      </c>
      <c r="DR15" s="99">
        <v>94.5</v>
      </c>
      <c r="DS15" s="99">
        <v>35</v>
      </c>
      <c r="DT15" s="99">
        <v>118</v>
      </c>
      <c r="DU15" s="99">
        <v>90</v>
      </c>
      <c r="DV15" s="99">
        <v>54</v>
      </c>
      <c r="DW15" s="99">
        <v>0</v>
      </c>
      <c r="DX15" s="99">
        <v>50</v>
      </c>
      <c r="DY15" s="99">
        <v>0</v>
      </c>
      <c r="DZ15" s="99">
        <v>0</v>
      </c>
      <c r="EA15" s="99">
        <v>0</v>
      </c>
      <c r="EB15" s="99">
        <v>0</v>
      </c>
      <c r="EC15" s="99">
        <v>0</v>
      </c>
      <c r="ED15" s="99">
        <v>0</v>
      </c>
      <c r="EE15" s="99">
        <v>0</v>
      </c>
      <c r="EF15" s="99">
        <v>0</v>
      </c>
      <c r="EG15" s="99">
        <v>112.25</v>
      </c>
      <c r="EH15" s="99">
        <v>37.1</v>
      </c>
      <c r="EI15" s="99">
        <v>137.25</v>
      </c>
      <c r="EJ15" s="99">
        <v>2</v>
      </c>
      <c r="EK15" s="99">
        <v>0.01</v>
      </c>
      <c r="EL15" s="99">
        <v>0.54</v>
      </c>
      <c r="EM15" s="99">
        <v>2.5499999999999998</v>
      </c>
      <c r="EN15" s="99">
        <v>0</v>
      </c>
      <c r="EO15" s="99">
        <v>0</v>
      </c>
      <c r="EP15" s="99">
        <v>0.54</v>
      </c>
      <c r="EQ15" s="99">
        <v>0</v>
      </c>
      <c r="ER15" s="99">
        <v>0.05</v>
      </c>
      <c r="ES15" s="99">
        <v>0.25</v>
      </c>
      <c r="ET15" s="99">
        <v>0.1</v>
      </c>
      <c r="EU15" s="99">
        <v>0.1</v>
      </c>
      <c r="EV15" s="99">
        <v>0.1</v>
      </c>
      <c r="EW15" s="99">
        <v>0.05</v>
      </c>
      <c r="EX15" s="99">
        <v>0</v>
      </c>
      <c r="EY15" s="99">
        <v>0</v>
      </c>
      <c r="EZ15" s="99">
        <v>0.6</v>
      </c>
      <c r="FA15" s="99">
        <v>2.04</v>
      </c>
      <c r="FB15" s="99">
        <v>8.6999999999999993</v>
      </c>
      <c r="FC15" s="99">
        <v>2.64</v>
      </c>
      <c r="FD15" s="99">
        <v>11.34</v>
      </c>
      <c r="FE15" s="99">
        <v>0.56999999999999995</v>
      </c>
      <c r="FF15" s="99">
        <v>11.9</v>
      </c>
      <c r="FG15" s="99">
        <v>12.86</v>
      </c>
      <c r="FH15" s="99">
        <v>13.33</v>
      </c>
      <c r="FI15" s="99">
        <v>0</v>
      </c>
      <c r="FJ15" s="99">
        <v>0</v>
      </c>
      <c r="FK15" s="99">
        <v>0.95</v>
      </c>
      <c r="FL15" s="103">
        <v>8.0000000000000029E-2</v>
      </c>
      <c r="FM15" s="99">
        <v>0.95</v>
      </c>
      <c r="FN15" s="103">
        <v>8.0000000000000029E-2</v>
      </c>
      <c r="FO15" s="99">
        <v>1.43</v>
      </c>
      <c r="FP15" s="103">
        <v>0.11999999999999997</v>
      </c>
      <c r="FQ15" s="99">
        <v>1.43</v>
      </c>
      <c r="FR15" s="103">
        <v>0.11999999999999997</v>
      </c>
      <c r="FT15" s="96" t="s">
        <v>23</v>
      </c>
      <c r="FU15" s="96" t="s">
        <v>22</v>
      </c>
      <c r="FV15" s="96" t="s">
        <v>121</v>
      </c>
      <c r="FW15" s="96" t="s">
        <v>47</v>
      </c>
      <c r="FY15" s="96">
        <v>95</v>
      </c>
      <c r="FZ15" s="96">
        <v>0</v>
      </c>
      <c r="GA15" s="96">
        <v>0.23200000000000001</v>
      </c>
      <c r="GB15" s="96">
        <v>95</v>
      </c>
      <c r="GC15" s="96">
        <v>69.16</v>
      </c>
      <c r="GD15" s="96">
        <v>0</v>
      </c>
      <c r="GE15" s="96">
        <v>22.040000000000003</v>
      </c>
      <c r="GF15" s="96">
        <v>2.5</v>
      </c>
      <c r="GG15" s="96">
        <v>0</v>
      </c>
      <c r="GH15" s="96">
        <v>0</v>
      </c>
      <c r="GI15" s="96">
        <v>1.3</v>
      </c>
    </row>
    <row r="16" spans="1:191" x14ac:dyDescent="0.35">
      <c r="A16" s="96" t="s">
        <v>486</v>
      </c>
      <c r="B16" s="97">
        <v>0.61167824074074073</v>
      </c>
      <c r="C16" s="96">
        <v>91963</v>
      </c>
      <c r="D16" s="96" t="s">
        <v>513</v>
      </c>
      <c r="G16" s="100" t="s">
        <v>488</v>
      </c>
      <c r="H16" s="96" t="s">
        <v>489</v>
      </c>
      <c r="I16" s="96" t="s">
        <v>490</v>
      </c>
      <c r="J16" s="96" t="s">
        <v>512</v>
      </c>
      <c r="K16" s="98"/>
      <c r="L16" s="101">
        <v>24</v>
      </c>
      <c r="M16" s="101">
        <v>36</v>
      </c>
      <c r="N16" s="101">
        <v>24.1</v>
      </c>
      <c r="O16" s="101">
        <v>38.200000000000003</v>
      </c>
      <c r="P16" s="102">
        <v>180</v>
      </c>
      <c r="Q16" s="101">
        <v>115.2</v>
      </c>
      <c r="R16" s="98">
        <v>0</v>
      </c>
      <c r="S16" s="98">
        <v>0</v>
      </c>
      <c r="T16" s="98">
        <v>0</v>
      </c>
      <c r="U16" s="98">
        <v>0</v>
      </c>
      <c r="V16" s="98" t="s">
        <v>24</v>
      </c>
      <c r="W16" s="98">
        <v>0</v>
      </c>
      <c r="X16" s="98">
        <v>0</v>
      </c>
      <c r="Y16" s="98">
        <v>0</v>
      </c>
      <c r="Z16" s="103">
        <v>0.93400000000000005</v>
      </c>
      <c r="AA16" s="103">
        <v>4.1000000000000002E-2</v>
      </c>
      <c r="AB16" s="103">
        <v>2.5000000000000001E-2</v>
      </c>
      <c r="AC16" s="103">
        <v>0</v>
      </c>
      <c r="AD16" s="103">
        <v>0</v>
      </c>
      <c r="AE16" s="103">
        <v>0</v>
      </c>
      <c r="AF16" s="103">
        <v>0</v>
      </c>
      <c r="AG16" s="101">
        <v>107.5968</v>
      </c>
      <c r="AH16" s="101">
        <v>4.7232000000000003</v>
      </c>
      <c r="AI16" s="101">
        <v>2.8800000000000003</v>
      </c>
      <c r="AJ16" s="101">
        <v>0</v>
      </c>
      <c r="AK16" s="101">
        <v>0</v>
      </c>
      <c r="AL16" s="101">
        <v>0</v>
      </c>
      <c r="AM16" s="101">
        <v>0</v>
      </c>
      <c r="AN16" s="103">
        <v>0.99</v>
      </c>
      <c r="AO16" s="103">
        <v>0</v>
      </c>
      <c r="AP16" s="103">
        <v>0.01</v>
      </c>
      <c r="AQ16" s="103">
        <v>0</v>
      </c>
      <c r="AR16" s="103">
        <v>0</v>
      </c>
      <c r="AS16" s="103">
        <v>0</v>
      </c>
      <c r="AT16" s="103">
        <v>0</v>
      </c>
      <c r="AU16" s="101">
        <v>58.41</v>
      </c>
      <c r="AV16" s="101">
        <v>0</v>
      </c>
      <c r="AW16" s="101">
        <v>0.59</v>
      </c>
      <c r="AX16" s="101">
        <v>0</v>
      </c>
      <c r="AY16" s="101">
        <v>0</v>
      </c>
      <c r="AZ16" s="101">
        <v>0</v>
      </c>
      <c r="BA16" s="101">
        <v>0</v>
      </c>
      <c r="BB16" s="103">
        <v>0.80640000000000001</v>
      </c>
      <c r="BC16" s="103">
        <v>1.6E-2</v>
      </c>
      <c r="BD16" s="103">
        <v>0.17760000000000001</v>
      </c>
      <c r="BE16" s="101">
        <v>0</v>
      </c>
      <c r="BF16" s="101">
        <v>0</v>
      </c>
      <c r="BG16" s="101">
        <v>0</v>
      </c>
      <c r="BH16" s="101">
        <v>1</v>
      </c>
      <c r="BI16" s="101">
        <v>0.59394719920000005</v>
      </c>
      <c r="BJ16" s="96">
        <v>0</v>
      </c>
      <c r="BK16" s="96">
        <v>0</v>
      </c>
      <c r="BL16" s="96">
        <v>6</v>
      </c>
      <c r="BM16" s="101">
        <v>0</v>
      </c>
      <c r="BN16" s="101">
        <v>3</v>
      </c>
      <c r="BO16" s="101">
        <v>0</v>
      </c>
      <c r="BP16" s="101">
        <v>0</v>
      </c>
      <c r="BQ16" s="101">
        <v>1.5</v>
      </c>
      <c r="BR16" s="101">
        <v>1.3</v>
      </c>
      <c r="BS16" s="101">
        <v>2.8</v>
      </c>
      <c r="BT16" s="104">
        <v>0</v>
      </c>
      <c r="BU16" s="104">
        <v>0</v>
      </c>
      <c r="BV16" s="104">
        <v>0</v>
      </c>
      <c r="BW16" s="104">
        <v>0</v>
      </c>
      <c r="BX16" s="104">
        <v>0</v>
      </c>
      <c r="BY16" s="104">
        <v>0</v>
      </c>
      <c r="BZ16" s="104">
        <v>0</v>
      </c>
      <c r="CA16" s="104">
        <v>0</v>
      </c>
      <c r="CB16" s="104">
        <v>0</v>
      </c>
      <c r="CC16" s="104">
        <v>0</v>
      </c>
      <c r="CD16" s="104">
        <v>0</v>
      </c>
      <c r="CE16" s="104">
        <v>0</v>
      </c>
      <c r="CF16" s="104">
        <v>0</v>
      </c>
      <c r="CG16" s="104">
        <v>0</v>
      </c>
      <c r="CH16" s="104">
        <v>0</v>
      </c>
      <c r="CI16" s="104">
        <v>0</v>
      </c>
      <c r="CJ16" s="104">
        <v>0</v>
      </c>
      <c r="CK16" s="104">
        <v>0</v>
      </c>
      <c r="CL16" s="104">
        <v>0</v>
      </c>
      <c r="CM16" s="104">
        <v>0</v>
      </c>
      <c r="CN16" s="104">
        <v>0</v>
      </c>
      <c r="CO16" s="104">
        <v>0</v>
      </c>
      <c r="CP16" s="98">
        <v>30000</v>
      </c>
      <c r="CQ16" s="96" t="s">
        <v>149</v>
      </c>
      <c r="CR16" s="101">
        <v>159.96816608996539</v>
      </c>
      <c r="CS16" s="101">
        <v>0</v>
      </c>
      <c r="CT16" s="101">
        <v>0</v>
      </c>
      <c r="CU16" s="101">
        <v>0</v>
      </c>
      <c r="CV16" s="101">
        <v>0</v>
      </c>
      <c r="CW16" s="96" t="s">
        <v>369</v>
      </c>
      <c r="CX16" s="96" t="s">
        <v>490</v>
      </c>
      <c r="CY16" s="143">
        <v>61</v>
      </c>
      <c r="CZ16" s="143">
        <v>92</v>
      </c>
      <c r="DA16" s="96" t="s">
        <v>369</v>
      </c>
      <c r="DB16" s="143">
        <v>153</v>
      </c>
      <c r="DC16" s="99">
        <v>94</v>
      </c>
      <c r="DD16" s="99">
        <v>35</v>
      </c>
      <c r="DE16" s="99">
        <v>164.17</v>
      </c>
      <c r="DF16" s="99">
        <v>49.5</v>
      </c>
      <c r="DG16" s="99">
        <v>224</v>
      </c>
      <c r="DH16" s="99">
        <v>103</v>
      </c>
      <c r="DI16" s="99">
        <v>50</v>
      </c>
      <c r="DJ16" s="99">
        <v>10.11</v>
      </c>
      <c r="DK16" s="99">
        <v>0.17</v>
      </c>
      <c r="DL16" s="99">
        <v>0.47</v>
      </c>
      <c r="DM16" s="99">
        <v>0</v>
      </c>
      <c r="DN16" s="99">
        <v>0</v>
      </c>
      <c r="DO16" s="99">
        <v>0</v>
      </c>
      <c r="DP16" s="99">
        <v>0</v>
      </c>
      <c r="DQ16" s="99">
        <v>10.75</v>
      </c>
      <c r="DR16" s="99">
        <v>94.5</v>
      </c>
      <c r="DS16" s="99">
        <v>35</v>
      </c>
      <c r="DT16" s="99">
        <v>118</v>
      </c>
      <c r="DU16" s="99">
        <v>90</v>
      </c>
      <c r="DV16" s="99">
        <v>54</v>
      </c>
      <c r="DW16" s="99">
        <v>0</v>
      </c>
      <c r="DX16" s="99">
        <v>50</v>
      </c>
      <c r="DY16" s="99">
        <v>5.52</v>
      </c>
      <c r="DZ16" s="99">
        <v>0</v>
      </c>
      <c r="EA16" s="99">
        <v>7.0000000000000007E-2</v>
      </c>
      <c r="EB16" s="99">
        <v>0</v>
      </c>
      <c r="EC16" s="99">
        <v>0</v>
      </c>
      <c r="ED16" s="99">
        <v>0</v>
      </c>
      <c r="EE16" s="99">
        <v>0</v>
      </c>
      <c r="EF16" s="99">
        <v>5.59</v>
      </c>
      <c r="EG16" s="99">
        <v>112.25</v>
      </c>
      <c r="EH16" s="99">
        <v>37.1</v>
      </c>
      <c r="EI16" s="99">
        <v>137.25</v>
      </c>
      <c r="EJ16" s="99">
        <v>0</v>
      </c>
      <c r="EK16" s="99">
        <v>0</v>
      </c>
      <c r="EL16" s="99">
        <v>0</v>
      </c>
      <c r="EM16" s="99">
        <v>0</v>
      </c>
      <c r="EN16" s="99">
        <v>0</v>
      </c>
      <c r="EO16" s="99">
        <v>0</v>
      </c>
      <c r="EP16" s="99">
        <v>0.65</v>
      </c>
      <c r="EQ16" s="99">
        <v>0</v>
      </c>
      <c r="ER16" s="99">
        <v>0.13</v>
      </c>
      <c r="ES16" s="99">
        <v>0.25</v>
      </c>
      <c r="ET16" s="99">
        <v>0.1</v>
      </c>
      <c r="EU16" s="99">
        <v>0.15</v>
      </c>
      <c r="EV16" s="99">
        <v>0.2</v>
      </c>
      <c r="EW16" s="99">
        <v>0.05</v>
      </c>
      <c r="EX16" s="99">
        <v>0.3</v>
      </c>
      <c r="EY16" s="99">
        <v>0</v>
      </c>
      <c r="EZ16" s="99">
        <v>1.05</v>
      </c>
      <c r="FA16" s="99">
        <v>3.4</v>
      </c>
      <c r="FB16" s="99">
        <v>17.12</v>
      </c>
      <c r="FC16" s="99">
        <v>4.45</v>
      </c>
      <c r="FD16" s="99">
        <v>21.57</v>
      </c>
      <c r="FE16" s="99">
        <v>1.08</v>
      </c>
      <c r="FF16" s="99">
        <v>22.65</v>
      </c>
      <c r="FG16" s="99">
        <v>24.46</v>
      </c>
      <c r="FH16" s="99">
        <v>25.37</v>
      </c>
      <c r="FI16" s="99">
        <v>0</v>
      </c>
      <c r="FJ16" s="99">
        <v>0</v>
      </c>
      <c r="FK16" s="99">
        <v>1.81</v>
      </c>
      <c r="FL16" s="103">
        <v>0.08</v>
      </c>
      <c r="FM16" s="99">
        <v>1.81</v>
      </c>
      <c r="FN16" s="103">
        <v>0.08</v>
      </c>
      <c r="FO16" s="99">
        <v>2.72</v>
      </c>
      <c r="FP16" s="103">
        <v>0.12</v>
      </c>
      <c r="FQ16" s="99">
        <v>2.72</v>
      </c>
      <c r="FR16" s="103">
        <v>0.12</v>
      </c>
      <c r="FT16" s="96" t="s">
        <v>34</v>
      </c>
      <c r="FU16" s="96" t="s">
        <v>33</v>
      </c>
      <c r="FV16" s="96" t="s">
        <v>38</v>
      </c>
      <c r="FW16" s="96" t="s">
        <v>47</v>
      </c>
      <c r="FY16" s="96">
        <v>121</v>
      </c>
      <c r="FZ16" s="96">
        <v>59</v>
      </c>
      <c r="GA16" s="96">
        <v>0.23200000000000001</v>
      </c>
      <c r="GB16" s="96">
        <v>180</v>
      </c>
      <c r="GC16" s="96">
        <v>115.2</v>
      </c>
      <c r="GD16" s="96">
        <v>59</v>
      </c>
      <c r="GE16" s="96">
        <v>0</v>
      </c>
      <c r="GF16" s="96">
        <v>3</v>
      </c>
      <c r="GG16" s="96">
        <v>0</v>
      </c>
      <c r="GH16" s="96">
        <v>0</v>
      </c>
      <c r="GI16" s="96">
        <v>2.8</v>
      </c>
    </row>
    <row r="17" spans="1:191" x14ac:dyDescent="0.35">
      <c r="A17" s="96" t="s">
        <v>486</v>
      </c>
      <c r="B17" s="97">
        <v>0.61466435185185186</v>
      </c>
      <c r="C17" s="96">
        <v>91963</v>
      </c>
      <c r="D17" s="96" t="s">
        <v>515</v>
      </c>
      <c r="G17" s="100" t="s">
        <v>488</v>
      </c>
      <c r="H17" s="96" t="s">
        <v>489</v>
      </c>
      <c r="I17" s="96" t="s">
        <v>490</v>
      </c>
      <c r="J17" s="96" t="s">
        <v>514</v>
      </c>
      <c r="K17" s="98"/>
      <c r="L17" s="101">
        <v>26</v>
      </c>
      <c r="M17" s="101">
        <v>42</v>
      </c>
      <c r="N17" s="101">
        <v>26.1</v>
      </c>
      <c r="O17" s="101">
        <v>44.2</v>
      </c>
      <c r="P17" s="102">
        <v>150</v>
      </c>
      <c r="Q17" s="101">
        <v>96.792116915840012</v>
      </c>
      <c r="R17" s="98">
        <v>0</v>
      </c>
      <c r="S17" s="98">
        <v>0</v>
      </c>
      <c r="T17" s="98">
        <v>0</v>
      </c>
      <c r="U17" s="98">
        <v>0</v>
      </c>
      <c r="V17" s="98" t="s">
        <v>24</v>
      </c>
      <c r="W17" s="98">
        <v>0</v>
      </c>
      <c r="X17" s="98">
        <v>0</v>
      </c>
      <c r="Y17" s="98">
        <v>0</v>
      </c>
      <c r="Z17" s="103">
        <v>0.77</v>
      </c>
      <c r="AA17" s="103">
        <v>0.22</v>
      </c>
      <c r="AB17" s="103">
        <v>0</v>
      </c>
      <c r="AC17" s="103">
        <v>0</v>
      </c>
      <c r="AD17" s="103">
        <v>0</v>
      </c>
      <c r="AE17" s="103">
        <v>0.01</v>
      </c>
      <c r="AF17" s="103">
        <v>0</v>
      </c>
      <c r="AG17" s="101">
        <v>74.529930025196805</v>
      </c>
      <c r="AH17" s="101">
        <v>21.294265721484802</v>
      </c>
      <c r="AI17" s="101">
        <v>0</v>
      </c>
      <c r="AJ17" s="101">
        <v>0</v>
      </c>
      <c r="AK17" s="101">
        <v>0</v>
      </c>
      <c r="AL17" s="101">
        <v>0.9679211691584001</v>
      </c>
      <c r="AM17" s="101">
        <v>0</v>
      </c>
      <c r="AN17" s="103">
        <v>0.99</v>
      </c>
      <c r="AO17" s="103">
        <v>0</v>
      </c>
      <c r="AP17" s="103">
        <v>0.01</v>
      </c>
      <c r="AQ17" s="103">
        <v>0</v>
      </c>
      <c r="AR17" s="103">
        <v>0</v>
      </c>
      <c r="AS17" s="103">
        <v>0</v>
      </c>
      <c r="AT17" s="103">
        <v>0</v>
      </c>
      <c r="AU17" s="101">
        <v>0</v>
      </c>
      <c r="AV17" s="101">
        <v>0</v>
      </c>
      <c r="AW17" s="101">
        <v>0</v>
      </c>
      <c r="AX17" s="101">
        <v>0</v>
      </c>
      <c r="AY17" s="101">
        <v>0</v>
      </c>
      <c r="AZ17" s="101">
        <v>0</v>
      </c>
      <c r="BA17" s="101">
        <v>0</v>
      </c>
      <c r="BB17" s="103">
        <v>0.79359999999999997</v>
      </c>
      <c r="BC17" s="103">
        <v>3.1800000000000002E-2</v>
      </c>
      <c r="BD17" s="103">
        <v>0.17460000000000001</v>
      </c>
      <c r="BE17" s="101">
        <v>22.974719999999998</v>
      </c>
      <c r="BF17" s="101">
        <v>0.92061000000000004</v>
      </c>
      <c r="BG17" s="101">
        <v>5.0546699999999998</v>
      </c>
      <c r="BH17" s="101">
        <v>1</v>
      </c>
      <c r="BI17" s="101">
        <v>0.74426947920000008</v>
      </c>
      <c r="BJ17" s="96">
        <v>2</v>
      </c>
      <c r="BK17" s="96">
        <v>0</v>
      </c>
      <c r="BL17" s="96">
        <v>6</v>
      </c>
      <c r="BM17" s="101">
        <v>18.457883084159995</v>
      </c>
      <c r="BN17" s="101">
        <v>3</v>
      </c>
      <c r="BO17" s="101">
        <v>0</v>
      </c>
      <c r="BP17" s="101">
        <v>0</v>
      </c>
      <c r="BQ17" s="101">
        <v>1.5</v>
      </c>
      <c r="BR17" s="101">
        <v>1.3</v>
      </c>
      <c r="BS17" s="101">
        <v>2.8</v>
      </c>
      <c r="BT17" s="104">
        <v>0</v>
      </c>
      <c r="BU17" s="104">
        <v>0</v>
      </c>
      <c r="BV17" s="104">
        <v>0</v>
      </c>
      <c r="BW17" s="104">
        <v>0</v>
      </c>
      <c r="BX17" s="104">
        <v>0</v>
      </c>
      <c r="BY17" s="104">
        <v>0</v>
      </c>
      <c r="BZ17" s="104">
        <v>0</v>
      </c>
      <c r="CA17" s="104">
        <v>0</v>
      </c>
      <c r="CB17" s="104">
        <v>0</v>
      </c>
      <c r="CC17" s="104">
        <v>0</v>
      </c>
      <c r="CD17" s="104">
        <v>0</v>
      </c>
      <c r="CE17" s="104">
        <v>0</v>
      </c>
      <c r="CF17" s="104">
        <v>0</v>
      </c>
      <c r="CG17" s="104">
        <v>0</v>
      </c>
      <c r="CH17" s="104">
        <v>0</v>
      </c>
      <c r="CI17" s="104">
        <v>0</v>
      </c>
      <c r="CJ17" s="104">
        <v>0</v>
      </c>
      <c r="CK17" s="104">
        <v>0</v>
      </c>
      <c r="CL17" s="104">
        <v>0</v>
      </c>
      <c r="CM17" s="104">
        <v>0</v>
      </c>
      <c r="CN17" s="104">
        <v>0</v>
      </c>
      <c r="CO17" s="104">
        <v>0</v>
      </c>
      <c r="CP17" s="98">
        <v>30000</v>
      </c>
      <c r="CQ17" s="96" t="s">
        <v>516</v>
      </c>
      <c r="CR17" s="101"/>
      <c r="CS17" s="101">
        <v>0</v>
      </c>
      <c r="CT17" s="101">
        <v>0</v>
      </c>
      <c r="CU17" s="101">
        <v>0</v>
      </c>
      <c r="CV17" s="101">
        <v>0</v>
      </c>
      <c r="CW17" s="96" t="s">
        <v>369</v>
      </c>
      <c r="CX17" s="96" t="s">
        <v>490</v>
      </c>
      <c r="CY17" s="143">
        <v>61</v>
      </c>
      <c r="CZ17" s="143">
        <v>92</v>
      </c>
      <c r="DA17" s="143">
        <v>92</v>
      </c>
      <c r="DB17" s="96" t="s">
        <v>369</v>
      </c>
      <c r="DC17" s="99">
        <v>94</v>
      </c>
      <c r="DD17" s="99">
        <v>35</v>
      </c>
      <c r="DE17" s="99">
        <v>164.17</v>
      </c>
      <c r="DF17" s="99">
        <v>49.5</v>
      </c>
      <c r="DG17" s="99">
        <v>224</v>
      </c>
      <c r="DH17" s="99">
        <v>103</v>
      </c>
      <c r="DI17" s="99">
        <v>50</v>
      </c>
      <c r="DJ17" s="99">
        <v>7.01</v>
      </c>
      <c r="DK17" s="99">
        <v>0.75</v>
      </c>
      <c r="DL17" s="99">
        <v>0</v>
      </c>
      <c r="DM17" s="99">
        <v>0</v>
      </c>
      <c r="DN17" s="99">
        <v>0</v>
      </c>
      <c r="DO17" s="99">
        <v>0.1</v>
      </c>
      <c r="DP17" s="99">
        <v>0</v>
      </c>
      <c r="DQ17" s="99">
        <v>7.85</v>
      </c>
      <c r="DR17" s="99">
        <v>94.5</v>
      </c>
      <c r="DS17" s="99">
        <v>35</v>
      </c>
      <c r="DT17" s="99">
        <v>118</v>
      </c>
      <c r="DU17" s="99">
        <v>90</v>
      </c>
      <c r="DV17" s="99">
        <v>54</v>
      </c>
      <c r="DW17" s="99">
        <v>0</v>
      </c>
      <c r="DX17" s="99">
        <v>50</v>
      </c>
      <c r="DY17" s="99">
        <v>0</v>
      </c>
      <c r="DZ17" s="99">
        <v>0</v>
      </c>
      <c r="EA17" s="99">
        <v>0</v>
      </c>
      <c r="EB17" s="99">
        <v>0</v>
      </c>
      <c r="EC17" s="99">
        <v>0</v>
      </c>
      <c r="ED17" s="99">
        <v>0</v>
      </c>
      <c r="EE17" s="99">
        <v>0</v>
      </c>
      <c r="EF17" s="99">
        <v>0</v>
      </c>
      <c r="EG17" s="99">
        <v>112.25</v>
      </c>
      <c r="EH17" s="99">
        <v>37.1</v>
      </c>
      <c r="EI17" s="99">
        <v>137.25</v>
      </c>
      <c r="EJ17" s="99">
        <v>2.58</v>
      </c>
      <c r="EK17" s="99">
        <v>0.03</v>
      </c>
      <c r="EL17" s="99">
        <v>0.69</v>
      </c>
      <c r="EM17" s="99">
        <v>3.31</v>
      </c>
      <c r="EN17" s="99">
        <v>7.75</v>
      </c>
      <c r="EO17" s="99">
        <v>0</v>
      </c>
      <c r="EP17" s="99">
        <v>0.65</v>
      </c>
      <c r="EQ17" s="99">
        <v>0</v>
      </c>
      <c r="ER17" s="99">
        <v>0.13</v>
      </c>
      <c r="ES17" s="99">
        <v>0.25</v>
      </c>
      <c r="ET17" s="99">
        <v>0.1</v>
      </c>
      <c r="EU17" s="99">
        <v>0.1</v>
      </c>
      <c r="EV17" s="99">
        <v>0.1</v>
      </c>
      <c r="EW17" s="99">
        <v>0.05</v>
      </c>
      <c r="EX17" s="99">
        <v>0.3</v>
      </c>
      <c r="EY17" s="99">
        <v>0</v>
      </c>
      <c r="EZ17" s="99">
        <v>0.9</v>
      </c>
      <c r="FA17" s="99">
        <v>2.86</v>
      </c>
      <c r="FB17" s="99">
        <v>19.690000000000001</v>
      </c>
      <c r="FC17" s="99">
        <v>3.76</v>
      </c>
      <c r="FD17" s="99">
        <v>23.44</v>
      </c>
      <c r="FE17" s="99">
        <v>1.17</v>
      </c>
      <c r="FF17" s="99">
        <v>24.62</v>
      </c>
      <c r="FG17" s="99">
        <v>26.59</v>
      </c>
      <c r="FH17" s="99">
        <v>27.57</v>
      </c>
      <c r="FI17" s="99">
        <v>0</v>
      </c>
      <c r="FJ17" s="99">
        <v>0</v>
      </c>
      <c r="FK17" s="99">
        <v>1.97</v>
      </c>
      <c r="FL17" s="103">
        <v>0.08</v>
      </c>
      <c r="FM17" s="99">
        <v>1.97</v>
      </c>
      <c r="FN17" s="103">
        <v>0.08</v>
      </c>
      <c r="FO17" s="99">
        <v>2.95</v>
      </c>
      <c r="FP17" s="103">
        <v>0.12</v>
      </c>
      <c r="FQ17" s="99">
        <v>2.95</v>
      </c>
      <c r="FR17" s="103">
        <v>0.12</v>
      </c>
      <c r="FT17" s="96" t="s">
        <v>23</v>
      </c>
      <c r="FU17" s="96" t="s">
        <v>86</v>
      </c>
      <c r="FV17" s="96" t="s">
        <v>38</v>
      </c>
      <c r="FW17" s="96" t="s">
        <v>47</v>
      </c>
      <c r="FY17" s="96">
        <v>150</v>
      </c>
      <c r="FZ17" s="96">
        <v>0</v>
      </c>
      <c r="GA17" s="96">
        <v>0.193</v>
      </c>
      <c r="GB17" s="96">
        <v>150</v>
      </c>
      <c r="GC17" s="96">
        <v>96.792116915840012</v>
      </c>
      <c r="GD17" s="96">
        <v>0</v>
      </c>
      <c r="GE17" s="96">
        <v>28.95</v>
      </c>
      <c r="GF17" s="96">
        <v>3</v>
      </c>
      <c r="GG17" s="96">
        <v>18.457883084159995</v>
      </c>
      <c r="GH17" s="96">
        <v>0</v>
      </c>
      <c r="GI17" s="96">
        <v>2.8</v>
      </c>
    </row>
    <row r="18" spans="1:191" x14ac:dyDescent="0.35">
      <c r="A18" s="96" t="s">
        <v>486</v>
      </c>
      <c r="B18" s="97">
        <v>0.61679398148148146</v>
      </c>
      <c r="C18" s="96">
        <v>91963</v>
      </c>
      <c r="D18" s="96" t="s">
        <v>515</v>
      </c>
      <c r="G18" s="100" t="s">
        <v>488</v>
      </c>
      <c r="H18" s="96" t="s">
        <v>489</v>
      </c>
      <c r="I18" s="96" t="s">
        <v>490</v>
      </c>
      <c r="J18" s="96" t="s">
        <v>517</v>
      </c>
      <c r="K18" s="98"/>
      <c r="L18" s="101">
        <v>26</v>
      </c>
      <c r="M18" s="101">
        <v>42</v>
      </c>
      <c r="N18" s="101">
        <v>26.1</v>
      </c>
      <c r="O18" s="101">
        <v>43.2</v>
      </c>
      <c r="P18" s="102">
        <v>140.00000000000003</v>
      </c>
      <c r="Q18" s="101">
        <v>88.679716080640006</v>
      </c>
      <c r="R18" s="98">
        <v>0</v>
      </c>
      <c r="S18" s="98">
        <v>0</v>
      </c>
      <c r="T18" s="98">
        <v>0</v>
      </c>
      <c r="U18" s="98">
        <v>0</v>
      </c>
      <c r="V18" s="98" t="s">
        <v>24</v>
      </c>
      <c r="W18" s="98">
        <v>0</v>
      </c>
      <c r="X18" s="98">
        <v>0</v>
      </c>
      <c r="Y18" s="98">
        <v>0</v>
      </c>
      <c r="Z18" s="103">
        <v>0.77</v>
      </c>
      <c r="AA18" s="103">
        <v>0.22</v>
      </c>
      <c r="AB18" s="103">
        <v>0</v>
      </c>
      <c r="AC18" s="103">
        <v>0</v>
      </c>
      <c r="AD18" s="103">
        <v>0</v>
      </c>
      <c r="AE18" s="103">
        <v>0.01</v>
      </c>
      <c r="AF18" s="103">
        <v>0</v>
      </c>
      <c r="AG18" s="101">
        <v>68.283381382092813</v>
      </c>
      <c r="AH18" s="101">
        <v>19.509537537740801</v>
      </c>
      <c r="AI18" s="101">
        <v>0</v>
      </c>
      <c r="AJ18" s="101">
        <v>0</v>
      </c>
      <c r="AK18" s="101">
        <v>0</v>
      </c>
      <c r="AL18" s="101">
        <v>0.88679716080640003</v>
      </c>
      <c r="AM18" s="101">
        <v>0</v>
      </c>
      <c r="AN18" s="103">
        <v>0.99</v>
      </c>
      <c r="AO18" s="103">
        <v>0</v>
      </c>
      <c r="AP18" s="103">
        <v>0.01</v>
      </c>
      <c r="AQ18" s="103">
        <v>0</v>
      </c>
      <c r="AR18" s="103">
        <v>0</v>
      </c>
      <c r="AS18" s="103">
        <v>0</v>
      </c>
      <c r="AT18" s="103">
        <v>0</v>
      </c>
      <c r="AU18" s="101">
        <v>0</v>
      </c>
      <c r="AV18" s="101">
        <v>0</v>
      </c>
      <c r="AW18" s="101">
        <v>0</v>
      </c>
      <c r="AX18" s="101">
        <v>0</v>
      </c>
      <c r="AY18" s="101">
        <v>0</v>
      </c>
      <c r="AZ18" s="101">
        <v>0</v>
      </c>
      <c r="BA18" s="101">
        <v>0</v>
      </c>
      <c r="BB18" s="103">
        <v>0.79359999999999997</v>
      </c>
      <c r="BC18" s="103">
        <v>3.1800000000000002E-2</v>
      </c>
      <c r="BD18" s="103">
        <v>0.17460000000000001</v>
      </c>
      <c r="BE18" s="101">
        <v>22.998527999999997</v>
      </c>
      <c r="BF18" s="101">
        <v>0.92156399999999994</v>
      </c>
      <c r="BG18" s="101">
        <v>5.0599079999999992</v>
      </c>
      <c r="BH18" s="101">
        <v>1</v>
      </c>
      <c r="BI18" s="101">
        <v>0.72743080320000009</v>
      </c>
      <c r="BJ18" s="96">
        <v>2</v>
      </c>
      <c r="BK18" s="96">
        <v>0</v>
      </c>
      <c r="BL18" s="96">
        <v>6</v>
      </c>
      <c r="BM18" s="101">
        <v>18.04028391936</v>
      </c>
      <c r="BN18" s="101">
        <v>3</v>
      </c>
      <c r="BO18" s="101">
        <v>0</v>
      </c>
      <c r="BP18" s="101">
        <v>0</v>
      </c>
      <c r="BQ18" s="101">
        <v>0</v>
      </c>
      <c r="BR18" s="101">
        <v>1.3</v>
      </c>
      <c r="BS18" s="101">
        <v>1.3</v>
      </c>
      <c r="BT18" s="104">
        <v>0</v>
      </c>
      <c r="BU18" s="104">
        <v>0</v>
      </c>
      <c r="BV18" s="104">
        <v>0</v>
      </c>
      <c r="BW18" s="104">
        <v>0</v>
      </c>
      <c r="BX18" s="104">
        <v>0</v>
      </c>
      <c r="BY18" s="104">
        <v>0</v>
      </c>
      <c r="BZ18" s="104">
        <v>0</v>
      </c>
      <c r="CA18" s="104">
        <v>0</v>
      </c>
      <c r="CB18" s="104">
        <v>0</v>
      </c>
      <c r="CC18" s="104">
        <v>0</v>
      </c>
      <c r="CD18" s="104">
        <v>0</v>
      </c>
      <c r="CE18" s="104">
        <v>0</v>
      </c>
      <c r="CF18" s="104">
        <v>0</v>
      </c>
      <c r="CG18" s="104">
        <v>0</v>
      </c>
      <c r="CH18" s="104">
        <v>0</v>
      </c>
      <c r="CI18" s="104">
        <v>0</v>
      </c>
      <c r="CJ18" s="104">
        <v>0</v>
      </c>
      <c r="CK18" s="104">
        <v>0</v>
      </c>
      <c r="CL18" s="104">
        <v>0</v>
      </c>
      <c r="CM18" s="104">
        <v>0</v>
      </c>
      <c r="CN18" s="104">
        <v>0</v>
      </c>
      <c r="CO18" s="104">
        <v>0</v>
      </c>
      <c r="CP18" s="98">
        <v>30000</v>
      </c>
      <c r="CQ18" s="96" t="s">
        <v>516</v>
      </c>
      <c r="CR18" s="101"/>
      <c r="CS18" s="101">
        <v>0</v>
      </c>
      <c r="CT18" s="101">
        <v>0</v>
      </c>
      <c r="CU18" s="101">
        <v>0</v>
      </c>
      <c r="CV18" s="101">
        <v>0</v>
      </c>
      <c r="CW18" s="96" t="s">
        <v>369</v>
      </c>
      <c r="CX18" s="96" t="s">
        <v>490</v>
      </c>
      <c r="CY18" s="143">
        <v>61</v>
      </c>
      <c r="CZ18" s="143">
        <v>92</v>
      </c>
      <c r="DA18" s="143">
        <v>92</v>
      </c>
      <c r="DB18" s="96" t="s">
        <v>369</v>
      </c>
      <c r="DC18" s="99">
        <v>94</v>
      </c>
      <c r="DD18" s="99">
        <v>35</v>
      </c>
      <c r="DE18" s="99">
        <v>164.17</v>
      </c>
      <c r="DF18" s="99">
        <v>49.5</v>
      </c>
      <c r="DG18" s="99">
        <v>224</v>
      </c>
      <c r="DH18" s="99">
        <v>103</v>
      </c>
      <c r="DI18" s="99">
        <v>50</v>
      </c>
      <c r="DJ18" s="99">
        <v>6.42</v>
      </c>
      <c r="DK18" s="99">
        <v>0.68</v>
      </c>
      <c r="DL18" s="99">
        <v>0</v>
      </c>
      <c r="DM18" s="99">
        <v>0</v>
      </c>
      <c r="DN18" s="99">
        <v>0</v>
      </c>
      <c r="DO18" s="99">
        <v>0.09</v>
      </c>
      <c r="DP18" s="99">
        <v>0</v>
      </c>
      <c r="DQ18" s="99">
        <v>7.19</v>
      </c>
      <c r="DR18" s="99">
        <v>94.5</v>
      </c>
      <c r="DS18" s="99">
        <v>35</v>
      </c>
      <c r="DT18" s="99">
        <v>118</v>
      </c>
      <c r="DU18" s="99">
        <v>90</v>
      </c>
      <c r="DV18" s="99">
        <v>54</v>
      </c>
      <c r="DW18" s="99">
        <v>0</v>
      </c>
      <c r="DX18" s="99">
        <v>50</v>
      </c>
      <c r="DY18" s="99">
        <v>0</v>
      </c>
      <c r="DZ18" s="99">
        <v>0</v>
      </c>
      <c r="EA18" s="99">
        <v>0</v>
      </c>
      <c r="EB18" s="99">
        <v>0</v>
      </c>
      <c r="EC18" s="99">
        <v>0</v>
      </c>
      <c r="ED18" s="99">
        <v>0</v>
      </c>
      <c r="EE18" s="99">
        <v>0</v>
      </c>
      <c r="EF18" s="99">
        <v>0</v>
      </c>
      <c r="EG18" s="99">
        <v>112.25</v>
      </c>
      <c r="EH18" s="99">
        <v>37.1</v>
      </c>
      <c r="EI18" s="99">
        <v>137.25</v>
      </c>
      <c r="EJ18" s="99">
        <v>2.58</v>
      </c>
      <c r="EK18" s="99">
        <v>0.03</v>
      </c>
      <c r="EL18" s="99">
        <v>0.69</v>
      </c>
      <c r="EM18" s="99">
        <v>3.31</v>
      </c>
      <c r="EN18" s="99">
        <v>7.58</v>
      </c>
      <c r="EO18" s="99">
        <v>0</v>
      </c>
      <c r="EP18" s="99">
        <v>0.65</v>
      </c>
      <c r="EQ18" s="99">
        <v>0</v>
      </c>
      <c r="ER18" s="99">
        <v>0.05</v>
      </c>
      <c r="ES18" s="99">
        <v>0.25</v>
      </c>
      <c r="ET18" s="99">
        <v>0.1</v>
      </c>
      <c r="EU18" s="99">
        <v>0.1</v>
      </c>
      <c r="EV18" s="99">
        <v>0.1</v>
      </c>
      <c r="EW18" s="99">
        <v>0.05</v>
      </c>
      <c r="EX18" s="99">
        <v>0</v>
      </c>
      <c r="EY18" s="99">
        <v>0</v>
      </c>
      <c r="EZ18" s="99">
        <v>0.6</v>
      </c>
      <c r="FA18" s="99">
        <v>2.62</v>
      </c>
      <c r="FB18" s="99">
        <v>18.78</v>
      </c>
      <c r="FC18" s="99">
        <v>3.22</v>
      </c>
      <c r="FD18" s="99">
        <v>21.99</v>
      </c>
      <c r="FE18" s="99">
        <v>1.1000000000000001</v>
      </c>
      <c r="FF18" s="99">
        <v>23.09</v>
      </c>
      <c r="FG18" s="99">
        <v>24.94</v>
      </c>
      <c r="FH18" s="99">
        <v>25.86</v>
      </c>
      <c r="FI18" s="99">
        <v>0</v>
      </c>
      <c r="FJ18" s="99">
        <v>0</v>
      </c>
      <c r="FK18" s="99">
        <v>1.85</v>
      </c>
      <c r="FL18" s="103">
        <v>7.999999999999996E-2</v>
      </c>
      <c r="FM18" s="99">
        <v>1.85</v>
      </c>
      <c r="FN18" s="103">
        <v>7.999999999999996E-2</v>
      </c>
      <c r="FO18" s="99">
        <v>2.77</v>
      </c>
      <c r="FP18" s="103">
        <v>0.12000000000000001</v>
      </c>
      <c r="FQ18" s="99">
        <v>2.77</v>
      </c>
      <c r="FR18" s="103">
        <v>0.12000000000000001</v>
      </c>
      <c r="FT18" s="96" t="s">
        <v>23</v>
      </c>
      <c r="FU18" s="96" t="s">
        <v>86</v>
      </c>
      <c r="FV18" s="96" t="s">
        <v>121</v>
      </c>
      <c r="FW18" s="96" t="s">
        <v>47</v>
      </c>
      <c r="FY18" s="96">
        <v>140</v>
      </c>
      <c r="FZ18" s="96">
        <v>0</v>
      </c>
      <c r="GA18" s="96">
        <v>0.20699999999999999</v>
      </c>
      <c r="GB18" s="96">
        <v>140.00000000000003</v>
      </c>
      <c r="GC18" s="96">
        <v>88.679716080640006</v>
      </c>
      <c r="GD18" s="96">
        <v>0</v>
      </c>
      <c r="GE18" s="96">
        <v>28.979999999999997</v>
      </c>
      <c r="GF18" s="96">
        <v>3</v>
      </c>
      <c r="GG18" s="96">
        <v>18.04028391936</v>
      </c>
      <c r="GH18" s="96">
        <v>0</v>
      </c>
      <c r="GI18" s="96">
        <v>1.3</v>
      </c>
    </row>
    <row r="19" spans="1:191" x14ac:dyDescent="0.35">
      <c r="A19" s="96" t="s">
        <v>486</v>
      </c>
      <c r="B19" s="97">
        <v>0.61754629629629632</v>
      </c>
      <c r="C19" s="96">
        <v>91963</v>
      </c>
      <c r="D19" s="96" t="s">
        <v>505</v>
      </c>
      <c r="G19" s="100" t="s">
        <v>488</v>
      </c>
      <c r="H19" s="96" t="s">
        <v>489</v>
      </c>
      <c r="I19" s="96" t="s">
        <v>490</v>
      </c>
      <c r="J19" s="96" t="s">
        <v>518</v>
      </c>
      <c r="K19" s="98"/>
      <c r="L19" s="101">
        <v>26</v>
      </c>
      <c r="M19" s="101">
        <v>42</v>
      </c>
      <c r="N19" s="101">
        <v>26.1</v>
      </c>
      <c r="O19" s="101">
        <v>43.2</v>
      </c>
      <c r="P19" s="102">
        <v>140.00000000000003</v>
      </c>
      <c r="Q19" s="101">
        <v>88.679716080640006</v>
      </c>
      <c r="R19" s="98">
        <v>0</v>
      </c>
      <c r="S19" s="98">
        <v>0</v>
      </c>
      <c r="T19" s="98">
        <v>0</v>
      </c>
      <c r="U19" s="98">
        <v>0</v>
      </c>
      <c r="V19" s="98" t="s">
        <v>24</v>
      </c>
      <c r="W19" s="98">
        <v>0</v>
      </c>
      <c r="X19" s="98">
        <v>0</v>
      </c>
      <c r="Y19" s="98">
        <v>0</v>
      </c>
      <c r="Z19" s="103">
        <v>0.77</v>
      </c>
      <c r="AA19" s="103">
        <v>0.22</v>
      </c>
      <c r="AB19" s="103">
        <v>0</v>
      </c>
      <c r="AC19" s="103">
        <v>0</v>
      </c>
      <c r="AD19" s="103">
        <v>0</v>
      </c>
      <c r="AE19" s="103">
        <v>0.01</v>
      </c>
      <c r="AF19" s="103">
        <v>0</v>
      </c>
      <c r="AG19" s="101">
        <v>68.283381382092813</v>
      </c>
      <c r="AH19" s="101">
        <v>19.509537537740801</v>
      </c>
      <c r="AI19" s="101">
        <v>0</v>
      </c>
      <c r="AJ19" s="101">
        <v>0</v>
      </c>
      <c r="AK19" s="101">
        <v>0</v>
      </c>
      <c r="AL19" s="101">
        <v>0.88679716080640003</v>
      </c>
      <c r="AM19" s="101">
        <v>0</v>
      </c>
      <c r="AN19" s="103">
        <v>0.99</v>
      </c>
      <c r="AO19" s="103">
        <v>0</v>
      </c>
      <c r="AP19" s="103">
        <v>0.01</v>
      </c>
      <c r="AQ19" s="103">
        <v>0</v>
      </c>
      <c r="AR19" s="103">
        <v>0</v>
      </c>
      <c r="AS19" s="103">
        <v>0</v>
      </c>
      <c r="AT19" s="103">
        <v>0</v>
      </c>
      <c r="AU19" s="101">
        <v>0</v>
      </c>
      <c r="AV19" s="101">
        <v>0</v>
      </c>
      <c r="AW19" s="101">
        <v>0</v>
      </c>
      <c r="AX19" s="101">
        <v>0</v>
      </c>
      <c r="AY19" s="101">
        <v>0</v>
      </c>
      <c r="AZ19" s="101">
        <v>0</v>
      </c>
      <c r="BA19" s="101">
        <v>0</v>
      </c>
      <c r="BB19" s="103">
        <v>0.79359999999999997</v>
      </c>
      <c r="BC19" s="103">
        <v>3.1800000000000002E-2</v>
      </c>
      <c r="BD19" s="103">
        <v>0.17460000000000001</v>
      </c>
      <c r="BE19" s="101">
        <v>22.998527999999997</v>
      </c>
      <c r="BF19" s="101">
        <v>0.92156399999999994</v>
      </c>
      <c r="BG19" s="101">
        <v>5.0599079999999992</v>
      </c>
      <c r="BH19" s="101">
        <v>1</v>
      </c>
      <c r="BI19" s="101">
        <v>0.72743080320000009</v>
      </c>
      <c r="BJ19" s="96">
        <v>2</v>
      </c>
      <c r="BK19" s="96">
        <v>0</v>
      </c>
      <c r="BL19" s="96">
        <v>6</v>
      </c>
      <c r="BM19" s="101">
        <v>18.04028391936</v>
      </c>
      <c r="BN19" s="101">
        <v>3</v>
      </c>
      <c r="BO19" s="101">
        <v>0</v>
      </c>
      <c r="BP19" s="101">
        <v>0</v>
      </c>
      <c r="BQ19" s="101">
        <v>0</v>
      </c>
      <c r="BR19" s="101">
        <v>1.3</v>
      </c>
      <c r="BS19" s="101">
        <v>1.3</v>
      </c>
      <c r="BT19" s="104">
        <v>0</v>
      </c>
      <c r="BU19" s="104">
        <v>0</v>
      </c>
      <c r="BV19" s="104">
        <v>0</v>
      </c>
      <c r="BW19" s="104">
        <v>0</v>
      </c>
      <c r="BX19" s="104">
        <v>0</v>
      </c>
      <c r="BY19" s="104">
        <v>0</v>
      </c>
      <c r="BZ19" s="104">
        <v>0</v>
      </c>
      <c r="CA19" s="104">
        <v>0</v>
      </c>
      <c r="CB19" s="104">
        <v>0</v>
      </c>
      <c r="CC19" s="104">
        <v>0</v>
      </c>
      <c r="CD19" s="104">
        <v>0</v>
      </c>
      <c r="CE19" s="104">
        <v>0</v>
      </c>
      <c r="CF19" s="104">
        <v>0</v>
      </c>
      <c r="CG19" s="104">
        <v>0</v>
      </c>
      <c r="CH19" s="104">
        <v>0</v>
      </c>
      <c r="CI19" s="104">
        <v>0</v>
      </c>
      <c r="CJ19" s="104">
        <v>0</v>
      </c>
      <c r="CK19" s="104">
        <v>0</v>
      </c>
      <c r="CL19" s="104">
        <v>0</v>
      </c>
      <c r="CM19" s="104">
        <v>0</v>
      </c>
      <c r="CN19" s="104">
        <v>0</v>
      </c>
      <c r="CO19" s="104">
        <v>0</v>
      </c>
      <c r="CP19" s="98">
        <v>30000</v>
      </c>
      <c r="CQ19" s="96" t="s">
        <v>516</v>
      </c>
      <c r="CR19" s="101"/>
      <c r="CS19" s="101">
        <v>0</v>
      </c>
      <c r="CT19" s="101">
        <v>0</v>
      </c>
      <c r="CU19" s="101">
        <v>0</v>
      </c>
      <c r="CV19" s="101">
        <v>0</v>
      </c>
      <c r="CW19" s="96" t="s">
        <v>369</v>
      </c>
      <c r="CX19" s="96" t="s">
        <v>490</v>
      </c>
      <c r="CY19" s="143">
        <v>61</v>
      </c>
      <c r="CZ19" s="143">
        <v>92</v>
      </c>
      <c r="DA19" s="143">
        <v>92</v>
      </c>
      <c r="DB19" s="96" t="s">
        <v>369</v>
      </c>
      <c r="DC19" s="99">
        <v>94</v>
      </c>
      <c r="DD19" s="99">
        <v>35</v>
      </c>
      <c r="DE19" s="99">
        <v>164.17</v>
      </c>
      <c r="DF19" s="99">
        <v>49.5</v>
      </c>
      <c r="DG19" s="99">
        <v>224</v>
      </c>
      <c r="DH19" s="99">
        <v>103</v>
      </c>
      <c r="DI19" s="99">
        <v>50</v>
      </c>
      <c r="DJ19" s="99">
        <v>6.42</v>
      </c>
      <c r="DK19" s="99">
        <v>0.68</v>
      </c>
      <c r="DL19" s="99">
        <v>0</v>
      </c>
      <c r="DM19" s="99">
        <v>0</v>
      </c>
      <c r="DN19" s="99">
        <v>0</v>
      </c>
      <c r="DO19" s="99">
        <v>0.09</v>
      </c>
      <c r="DP19" s="99">
        <v>0</v>
      </c>
      <c r="DQ19" s="99">
        <v>7.19</v>
      </c>
      <c r="DR19" s="99">
        <v>94.5</v>
      </c>
      <c r="DS19" s="99">
        <v>35</v>
      </c>
      <c r="DT19" s="99">
        <v>118</v>
      </c>
      <c r="DU19" s="99">
        <v>90</v>
      </c>
      <c r="DV19" s="99">
        <v>54</v>
      </c>
      <c r="DW19" s="99">
        <v>0</v>
      </c>
      <c r="DX19" s="99">
        <v>50</v>
      </c>
      <c r="DY19" s="99">
        <v>0</v>
      </c>
      <c r="DZ19" s="99">
        <v>0</v>
      </c>
      <c r="EA19" s="99">
        <v>0</v>
      </c>
      <c r="EB19" s="99">
        <v>0</v>
      </c>
      <c r="EC19" s="99">
        <v>0</v>
      </c>
      <c r="ED19" s="99">
        <v>0</v>
      </c>
      <c r="EE19" s="99">
        <v>0</v>
      </c>
      <c r="EF19" s="99">
        <v>0</v>
      </c>
      <c r="EG19" s="99">
        <v>112.25</v>
      </c>
      <c r="EH19" s="99">
        <v>37.1</v>
      </c>
      <c r="EI19" s="99">
        <v>137.25</v>
      </c>
      <c r="EJ19" s="99">
        <v>2.58</v>
      </c>
      <c r="EK19" s="99">
        <v>0.03</v>
      </c>
      <c r="EL19" s="99">
        <v>0.69</v>
      </c>
      <c r="EM19" s="99">
        <v>3.31</v>
      </c>
      <c r="EN19" s="99">
        <v>7.58</v>
      </c>
      <c r="EO19" s="99">
        <v>0</v>
      </c>
      <c r="EP19" s="99">
        <v>0.65</v>
      </c>
      <c r="EQ19" s="99">
        <v>0</v>
      </c>
      <c r="ER19" s="99">
        <v>0.05</v>
      </c>
      <c r="ES19" s="99">
        <v>0.25</v>
      </c>
      <c r="ET19" s="99">
        <v>0.1</v>
      </c>
      <c r="EU19" s="99">
        <v>0.1</v>
      </c>
      <c r="EV19" s="99">
        <v>0.1</v>
      </c>
      <c r="EW19" s="99">
        <v>0.05</v>
      </c>
      <c r="EX19" s="99">
        <v>0</v>
      </c>
      <c r="EY19" s="99">
        <v>0</v>
      </c>
      <c r="EZ19" s="99">
        <v>0.6</v>
      </c>
      <c r="FA19" s="99">
        <v>2.62</v>
      </c>
      <c r="FB19" s="99">
        <v>18.78</v>
      </c>
      <c r="FC19" s="99">
        <v>3.22</v>
      </c>
      <c r="FD19" s="99">
        <v>21.99</v>
      </c>
      <c r="FE19" s="99">
        <v>1.1000000000000001</v>
      </c>
      <c r="FF19" s="99">
        <v>23.09</v>
      </c>
      <c r="FG19" s="99">
        <v>24.94</v>
      </c>
      <c r="FH19" s="99">
        <v>25.86</v>
      </c>
      <c r="FI19" s="99">
        <v>0</v>
      </c>
      <c r="FJ19" s="99">
        <v>0</v>
      </c>
      <c r="FK19" s="99">
        <v>1.85</v>
      </c>
      <c r="FL19" s="103">
        <v>7.999999999999996E-2</v>
      </c>
      <c r="FM19" s="99">
        <v>1.85</v>
      </c>
      <c r="FN19" s="103">
        <v>7.999999999999996E-2</v>
      </c>
      <c r="FO19" s="99">
        <v>2.77</v>
      </c>
      <c r="FP19" s="103">
        <v>0.12000000000000001</v>
      </c>
      <c r="FQ19" s="99">
        <v>2.77</v>
      </c>
      <c r="FR19" s="103">
        <v>0.12000000000000001</v>
      </c>
      <c r="FT19" s="96" t="s">
        <v>23</v>
      </c>
      <c r="FU19" s="96" t="s">
        <v>86</v>
      </c>
      <c r="FV19" s="96" t="s">
        <v>121</v>
      </c>
      <c r="FW19" s="96" t="s">
        <v>47</v>
      </c>
      <c r="FY19" s="96">
        <v>140</v>
      </c>
      <c r="FZ19" s="96">
        <v>0</v>
      </c>
      <c r="GA19" s="96">
        <v>0.20699999999999999</v>
      </c>
      <c r="GB19" s="96">
        <v>140.00000000000003</v>
      </c>
      <c r="GC19" s="96">
        <v>88.679716080640006</v>
      </c>
      <c r="GD19" s="96">
        <v>0</v>
      </c>
      <c r="GE19" s="96">
        <v>28.979999999999997</v>
      </c>
      <c r="GF19" s="96">
        <v>3</v>
      </c>
      <c r="GG19" s="96">
        <v>18.04028391936</v>
      </c>
      <c r="GH19" s="96">
        <v>0</v>
      </c>
      <c r="GI19" s="96">
        <v>1.3</v>
      </c>
    </row>
    <row r="20" spans="1:191" x14ac:dyDescent="0.35">
      <c r="A20" s="96" t="s">
        <v>486</v>
      </c>
      <c r="B20" s="97">
        <v>0.64947916666666672</v>
      </c>
      <c r="C20" s="96">
        <v>91963</v>
      </c>
      <c r="D20" s="96" t="s">
        <v>520</v>
      </c>
      <c r="G20" s="100" t="s">
        <v>488</v>
      </c>
      <c r="H20" s="96" t="s">
        <v>489</v>
      </c>
      <c r="I20" s="96" t="s">
        <v>490</v>
      </c>
      <c r="J20" s="96" t="s">
        <v>519</v>
      </c>
      <c r="K20" s="98"/>
      <c r="L20" s="101">
        <v>16</v>
      </c>
      <c r="M20" s="101">
        <v>39.369999999999997</v>
      </c>
      <c r="N20" s="101">
        <v>16.100000000000001</v>
      </c>
      <c r="O20" s="101">
        <v>39.369999999999997</v>
      </c>
      <c r="P20" s="102">
        <v>51</v>
      </c>
      <c r="Q20" s="101">
        <v>51</v>
      </c>
      <c r="R20" s="98">
        <v>0</v>
      </c>
      <c r="S20" s="98">
        <v>0</v>
      </c>
      <c r="T20" s="98">
        <v>0</v>
      </c>
      <c r="U20" s="98">
        <v>0</v>
      </c>
      <c r="V20" s="98" t="s">
        <v>24</v>
      </c>
      <c r="W20" s="98">
        <v>0</v>
      </c>
      <c r="X20" s="98">
        <v>0</v>
      </c>
      <c r="Y20" s="98">
        <v>0</v>
      </c>
      <c r="Z20" s="103">
        <v>0.65</v>
      </c>
      <c r="AA20" s="103">
        <v>0.35</v>
      </c>
      <c r="AB20" s="103">
        <v>0</v>
      </c>
      <c r="AC20" s="103">
        <v>0</v>
      </c>
      <c r="AD20" s="103">
        <v>0</v>
      </c>
      <c r="AE20" s="103">
        <v>0</v>
      </c>
      <c r="AF20" s="103">
        <v>0</v>
      </c>
      <c r="AG20" s="101">
        <v>33.15</v>
      </c>
      <c r="AH20" s="101">
        <v>17.849999999999998</v>
      </c>
      <c r="AI20" s="101">
        <v>0</v>
      </c>
      <c r="AJ20" s="101">
        <v>0</v>
      </c>
      <c r="AK20" s="101">
        <v>0</v>
      </c>
      <c r="AL20" s="101">
        <v>0</v>
      </c>
      <c r="AM20" s="101">
        <v>0</v>
      </c>
      <c r="AN20" s="103">
        <v>0</v>
      </c>
      <c r="AO20" s="103">
        <v>0</v>
      </c>
      <c r="AP20" s="103">
        <v>0</v>
      </c>
      <c r="AQ20" s="103">
        <v>0</v>
      </c>
      <c r="AR20" s="103">
        <v>0</v>
      </c>
      <c r="AS20" s="103">
        <v>0</v>
      </c>
      <c r="AT20" s="103">
        <v>0</v>
      </c>
      <c r="AU20" s="101">
        <v>0</v>
      </c>
      <c r="AV20" s="101">
        <v>0</v>
      </c>
      <c r="AW20" s="101">
        <v>0</v>
      </c>
      <c r="AX20" s="101">
        <v>0</v>
      </c>
      <c r="AY20" s="101">
        <v>0</v>
      </c>
      <c r="AZ20" s="101">
        <v>0</v>
      </c>
      <c r="BA20" s="101">
        <v>0</v>
      </c>
      <c r="BB20" s="103">
        <v>0</v>
      </c>
      <c r="BC20" s="103">
        <v>0</v>
      </c>
      <c r="BD20" s="103">
        <v>0</v>
      </c>
      <c r="BE20" s="101">
        <v>0</v>
      </c>
      <c r="BF20" s="101">
        <v>0</v>
      </c>
      <c r="BG20" s="101">
        <v>0</v>
      </c>
      <c r="BH20" s="101">
        <v>2.2000000000000002</v>
      </c>
      <c r="BI20" s="101">
        <v>0.89966620066400005</v>
      </c>
      <c r="BJ20" s="96">
        <v>0</v>
      </c>
      <c r="BK20" s="96">
        <v>0</v>
      </c>
      <c r="BL20" s="96">
        <v>0</v>
      </c>
      <c r="BM20" s="101">
        <v>0</v>
      </c>
      <c r="BN20" s="101">
        <v>0</v>
      </c>
      <c r="BO20" s="101">
        <v>0</v>
      </c>
      <c r="BP20" s="101">
        <v>0</v>
      </c>
      <c r="BQ20" s="101">
        <v>0</v>
      </c>
      <c r="BR20" s="101">
        <v>0</v>
      </c>
      <c r="BS20" s="101">
        <v>0</v>
      </c>
      <c r="BT20" s="104">
        <v>0</v>
      </c>
      <c r="BU20" s="104">
        <v>0</v>
      </c>
      <c r="BV20" s="104">
        <v>0</v>
      </c>
      <c r="BW20" s="104">
        <v>0</v>
      </c>
      <c r="BX20" s="104">
        <v>0</v>
      </c>
      <c r="BY20" s="104">
        <v>0</v>
      </c>
      <c r="BZ20" s="104">
        <v>0</v>
      </c>
      <c r="CA20" s="104">
        <v>0</v>
      </c>
      <c r="CB20" s="104">
        <v>0</v>
      </c>
      <c r="CC20" s="104">
        <v>0</v>
      </c>
      <c r="CD20" s="104">
        <v>0</v>
      </c>
      <c r="CE20" s="104">
        <v>0</v>
      </c>
      <c r="CF20" s="104">
        <v>0</v>
      </c>
      <c r="CG20" s="104">
        <v>0</v>
      </c>
      <c r="CH20" s="104">
        <v>0</v>
      </c>
      <c r="CI20" s="104">
        <v>0</v>
      </c>
      <c r="CJ20" s="104">
        <v>0</v>
      </c>
      <c r="CK20" s="104">
        <v>0</v>
      </c>
      <c r="CL20" s="104">
        <v>0</v>
      </c>
      <c r="CM20" s="104">
        <v>0</v>
      </c>
      <c r="CN20" s="104">
        <v>0</v>
      </c>
      <c r="CO20" s="104">
        <v>0</v>
      </c>
      <c r="CP20" s="98">
        <v>30000</v>
      </c>
      <c r="CQ20" s="96" t="s">
        <v>516</v>
      </c>
      <c r="CR20" s="101"/>
      <c r="CS20" s="101">
        <v>0</v>
      </c>
      <c r="CT20" s="101">
        <v>0</v>
      </c>
      <c r="CU20" s="101">
        <v>0</v>
      </c>
      <c r="CV20" s="101">
        <v>0</v>
      </c>
      <c r="CW20" s="96" t="s">
        <v>369</v>
      </c>
      <c r="CX20" s="96" t="s">
        <v>490</v>
      </c>
      <c r="CY20" s="143">
        <v>61</v>
      </c>
      <c r="CZ20" s="96" t="s">
        <v>369</v>
      </c>
      <c r="DA20" s="96" t="s">
        <v>369</v>
      </c>
      <c r="DB20" s="96" t="s">
        <v>369</v>
      </c>
      <c r="DC20" s="99">
        <v>94</v>
      </c>
      <c r="DD20" s="99">
        <v>35</v>
      </c>
      <c r="DE20" s="99">
        <v>164.17</v>
      </c>
      <c r="DF20" s="99">
        <v>49.5</v>
      </c>
      <c r="DG20" s="99">
        <v>224</v>
      </c>
      <c r="DH20" s="99">
        <v>103</v>
      </c>
      <c r="DI20" s="99">
        <v>50</v>
      </c>
      <c r="DJ20" s="99">
        <v>3.12</v>
      </c>
      <c r="DK20" s="99">
        <v>0.62</v>
      </c>
      <c r="DL20" s="99">
        <v>0</v>
      </c>
      <c r="DM20" s="99">
        <v>0</v>
      </c>
      <c r="DN20" s="99">
        <v>0</v>
      </c>
      <c r="DO20" s="99">
        <v>0</v>
      </c>
      <c r="DP20" s="99">
        <v>0</v>
      </c>
      <c r="DQ20" s="99">
        <v>3.74</v>
      </c>
      <c r="DR20" s="99">
        <v>94.5</v>
      </c>
      <c r="DS20" s="99">
        <v>35</v>
      </c>
      <c r="DT20" s="99">
        <v>118</v>
      </c>
      <c r="DU20" s="99">
        <v>90</v>
      </c>
      <c r="DV20" s="99">
        <v>54</v>
      </c>
      <c r="DW20" s="99">
        <v>0</v>
      </c>
      <c r="DX20" s="99">
        <v>50</v>
      </c>
      <c r="DY20" s="99">
        <v>0</v>
      </c>
      <c r="DZ20" s="99">
        <v>0</v>
      </c>
      <c r="EA20" s="99">
        <v>0</v>
      </c>
      <c r="EB20" s="99">
        <v>0</v>
      </c>
      <c r="EC20" s="99">
        <v>0</v>
      </c>
      <c r="ED20" s="99">
        <v>0</v>
      </c>
      <c r="EE20" s="99">
        <v>0</v>
      </c>
      <c r="EF20" s="99">
        <v>0</v>
      </c>
      <c r="EG20" s="99">
        <v>112.25</v>
      </c>
      <c r="EH20" s="99">
        <v>37.1</v>
      </c>
      <c r="EI20" s="99">
        <v>137.25</v>
      </c>
      <c r="EJ20" s="99">
        <v>0</v>
      </c>
      <c r="EK20" s="99">
        <v>0</v>
      </c>
      <c r="EL20" s="99">
        <v>0</v>
      </c>
      <c r="EM20" s="99">
        <v>0</v>
      </c>
      <c r="EN20" s="99">
        <v>0</v>
      </c>
      <c r="EO20" s="99">
        <v>0</v>
      </c>
      <c r="EP20" s="99">
        <v>0</v>
      </c>
      <c r="EQ20" s="99">
        <v>0</v>
      </c>
      <c r="ER20" s="99">
        <v>0</v>
      </c>
      <c r="ES20" s="99">
        <v>0.25</v>
      </c>
      <c r="ET20" s="99">
        <v>0</v>
      </c>
      <c r="EU20" s="99">
        <v>0.1</v>
      </c>
      <c r="EV20" s="99">
        <v>0.1</v>
      </c>
      <c r="EW20" s="99">
        <v>0.05</v>
      </c>
      <c r="EX20" s="99">
        <v>0</v>
      </c>
      <c r="EY20" s="99">
        <v>0</v>
      </c>
      <c r="EZ20" s="99">
        <v>0.5</v>
      </c>
      <c r="FA20" s="99">
        <v>1.5</v>
      </c>
      <c r="FB20" s="99">
        <v>3.74</v>
      </c>
      <c r="FC20" s="99">
        <v>2</v>
      </c>
      <c r="FD20" s="99">
        <v>5.75</v>
      </c>
      <c r="FE20" s="99">
        <v>0.28999999999999998</v>
      </c>
      <c r="FF20" s="99">
        <v>6.03</v>
      </c>
      <c r="FG20" s="99">
        <v>6.52</v>
      </c>
      <c r="FH20" s="99">
        <v>6.76</v>
      </c>
      <c r="FI20" s="99">
        <v>0</v>
      </c>
      <c r="FJ20" s="99">
        <v>0</v>
      </c>
      <c r="FK20" s="99">
        <v>0.48</v>
      </c>
      <c r="FL20" s="103">
        <v>8.0000000000000043E-2</v>
      </c>
      <c r="FM20" s="99">
        <v>0.48</v>
      </c>
      <c r="FN20" s="103">
        <v>8.0000000000000043E-2</v>
      </c>
      <c r="FO20" s="99">
        <v>0.72</v>
      </c>
      <c r="FP20" s="103">
        <v>0.11999999999999998</v>
      </c>
      <c r="FQ20" s="99">
        <v>0.72</v>
      </c>
      <c r="FR20" s="103">
        <v>0.11999999999999998</v>
      </c>
      <c r="FT20" s="96" t="s">
        <v>23</v>
      </c>
      <c r="FU20" s="96" t="s">
        <v>33</v>
      </c>
      <c r="FY20" s="96">
        <v>51</v>
      </c>
      <c r="GA20" s="96">
        <v>0</v>
      </c>
      <c r="GB20" s="96">
        <v>51</v>
      </c>
      <c r="GC20" s="96">
        <v>51</v>
      </c>
      <c r="GD20" s="96">
        <v>0</v>
      </c>
      <c r="GE20" s="96">
        <v>0</v>
      </c>
      <c r="GF20" s="96">
        <v>0</v>
      </c>
      <c r="GG20" s="96">
        <v>0</v>
      </c>
      <c r="GH20" s="96">
        <v>0</v>
      </c>
      <c r="GI20" s="96">
        <v>0</v>
      </c>
    </row>
    <row r="21" spans="1:191" x14ac:dyDescent="0.35">
      <c r="A21" s="96" t="s">
        <v>486</v>
      </c>
      <c r="B21" s="97">
        <v>0.65218750000000003</v>
      </c>
      <c r="C21" s="96">
        <v>91963</v>
      </c>
      <c r="D21" s="96" t="s">
        <v>520</v>
      </c>
      <c r="G21" s="100" t="s">
        <v>488</v>
      </c>
      <c r="H21" s="96" t="s">
        <v>489</v>
      </c>
      <c r="I21" s="96" t="s">
        <v>490</v>
      </c>
      <c r="J21" s="96" t="s">
        <v>521</v>
      </c>
      <c r="K21" s="98"/>
      <c r="L21" s="101">
        <v>16</v>
      </c>
      <c r="M21" s="101">
        <v>39.369999999999997</v>
      </c>
      <c r="N21" s="101">
        <v>16.100000000000001</v>
      </c>
      <c r="O21" s="101">
        <v>39.369999999999997</v>
      </c>
      <c r="P21" s="102">
        <v>96</v>
      </c>
      <c r="Q21" s="101">
        <v>96</v>
      </c>
      <c r="R21" s="98">
        <v>0</v>
      </c>
      <c r="S21" s="98">
        <v>0</v>
      </c>
      <c r="T21" s="98">
        <v>0</v>
      </c>
      <c r="U21" s="98">
        <v>0</v>
      </c>
      <c r="V21" s="98" t="s">
        <v>24</v>
      </c>
      <c r="W21" s="98">
        <v>0</v>
      </c>
      <c r="X21" s="98">
        <v>0</v>
      </c>
      <c r="Y21" s="98">
        <v>0</v>
      </c>
      <c r="Z21" s="103">
        <v>0.59</v>
      </c>
      <c r="AA21" s="103">
        <v>0.41</v>
      </c>
      <c r="AB21" s="103">
        <v>0</v>
      </c>
      <c r="AC21" s="103">
        <v>0</v>
      </c>
      <c r="AD21" s="103">
        <v>0</v>
      </c>
      <c r="AE21" s="103">
        <v>0</v>
      </c>
      <c r="AF21" s="103">
        <v>0</v>
      </c>
      <c r="AG21" s="101">
        <v>56.64</v>
      </c>
      <c r="AH21" s="101">
        <v>39.36</v>
      </c>
      <c r="AI21" s="101">
        <v>0</v>
      </c>
      <c r="AJ21" s="101">
        <v>0</v>
      </c>
      <c r="AK21" s="101">
        <v>0</v>
      </c>
      <c r="AL21" s="101">
        <v>0</v>
      </c>
      <c r="AM21" s="101">
        <v>0</v>
      </c>
      <c r="AN21" s="103">
        <v>0</v>
      </c>
      <c r="AO21" s="103">
        <v>0</v>
      </c>
      <c r="AP21" s="103">
        <v>0</v>
      </c>
      <c r="AQ21" s="103">
        <v>0</v>
      </c>
      <c r="AR21" s="103">
        <v>0</v>
      </c>
      <c r="AS21" s="103">
        <v>0</v>
      </c>
      <c r="AT21" s="103">
        <v>0</v>
      </c>
      <c r="AU21" s="101">
        <v>0</v>
      </c>
      <c r="AV21" s="101">
        <v>0</v>
      </c>
      <c r="AW21" s="101">
        <v>0</v>
      </c>
      <c r="AX21" s="101">
        <v>0</v>
      </c>
      <c r="AY21" s="101">
        <v>0</v>
      </c>
      <c r="AZ21" s="101">
        <v>0</v>
      </c>
      <c r="BA21" s="101">
        <v>0</v>
      </c>
      <c r="BB21" s="103">
        <v>0</v>
      </c>
      <c r="BC21" s="103">
        <v>0</v>
      </c>
      <c r="BD21" s="103">
        <v>0</v>
      </c>
      <c r="BE21" s="101">
        <v>0</v>
      </c>
      <c r="BF21" s="101">
        <v>0</v>
      </c>
      <c r="BG21" s="101">
        <v>0</v>
      </c>
      <c r="BH21" s="101">
        <v>2.2000000000000002</v>
      </c>
      <c r="BI21" s="101">
        <v>0.89966620066400005</v>
      </c>
      <c r="BJ21" s="96">
        <v>0</v>
      </c>
      <c r="BK21" s="96">
        <v>0</v>
      </c>
      <c r="BL21" s="96">
        <v>0</v>
      </c>
      <c r="BM21" s="101">
        <v>0</v>
      </c>
      <c r="BN21" s="101">
        <v>0</v>
      </c>
      <c r="BO21" s="101">
        <v>0</v>
      </c>
      <c r="BP21" s="101">
        <v>0</v>
      </c>
      <c r="BQ21" s="101">
        <v>0</v>
      </c>
      <c r="BR21" s="101">
        <v>0</v>
      </c>
      <c r="BS21" s="101">
        <v>0</v>
      </c>
      <c r="BT21" s="104">
        <v>0</v>
      </c>
      <c r="BU21" s="104">
        <v>0</v>
      </c>
      <c r="BV21" s="104">
        <v>0</v>
      </c>
      <c r="BW21" s="104">
        <v>0</v>
      </c>
      <c r="BX21" s="104">
        <v>0</v>
      </c>
      <c r="BY21" s="104">
        <v>0</v>
      </c>
      <c r="BZ21" s="104">
        <v>0</v>
      </c>
      <c r="CA21" s="104">
        <v>0</v>
      </c>
      <c r="CB21" s="104">
        <v>0</v>
      </c>
      <c r="CC21" s="104">
        <v>0</v>
      </c>
      <c r="CD21" s="104">
        <v>0</v>
      </c>
      <c r="CE21" s="104">
        <v>0</v>
      </c>
      <c r="CF21" s="104">
        <v>0</v>
      </c>
      <c r="CG21" s="104">
        <v>0</v>
      </c>
      <c r="CH21" s="104">
        <v>0</v>
      </c>
      <c r="CI21" s="104">
        <v>0</v>
      </c>
      <c r="CJ21" s="104">
        <v>0</v>
      </c>
      <c r="CK21" s="104">
        <v>0</v>
      </c>
      <c r="CL21" s="104">
        <v>0</v>
      </c>
      <c r="CM21" s="104">
        <v>0</v>
      </c>
      <c r="CN21" s="104">
        <v>0</v>
      </c>
      <c r="CO21" s="104">
        <v>0</v>
      </c>
      <c r="CP21" s="98">
        <v>30000</v>
      </c>
      <c r="CQ21" s="96" t="s">
        <v>516</v>
      </c>
      <c r="CR21" s="101"/>
      <c r="CS21" s="101">
        <v>0</v>
      </c>
      <c r="CT21" s="101">
        <v>0</v>
      </c>
      <c r="CU21" s="101">
        <v>0</v>
      </c>
      <c r="CV21" s="101">
        <v>0</v>
      </c>
      <c r="CW21" s="96" t="s">
        <v>369</v>
      </c>
      <c r="CX21" s="96" t="s">
        <v>490</v>
      </c>
      <c r="CY21" s="143">
        <v>61</v>
      </c>
      <c r="CZ21" s="96" t="s">
        <v>369</v>
      </c>
      <c r="DA21" s="96" t="s">
        <v>369</v>
      </c>
      <c r="DB21" s="96" t="s">
        <v>369</v>
      </c>
      <c r="DC21" s="99">
        <v>94</v>
      </c>
      <c r="DD21" s="99">
        <v>35</v>
      </c>
      <c r="DE21" s="99">
        <v>164.17</v>
      </c>
      <c r="DF21" s="99">
        <v>49.5</v>
      </c>
      <c r="DG21" s="99">
        <v>224</v>
      </c>
      <c r="DH21" s="99">
        <v>103</v>
      </c>
      <c r="DI21" s="99">
        <v>50</v>
      </c>
      <c r="DJ21" s="99">
        <v>5.32</v>
      </c>
      <c r="DK21" s="99">
        <v>1.38</v>
      </c>
      <c r="DL21" s="99">
        <v>0</v>
      </c>
      <c r="DM21" s="99">
        <v>0</v>
      </c>
      <c r="DN21" s="99">
        <v>0</v>
      </c>
      <c r="DO21" s="99">
        <v>0</v>
      </c>
      <c r="DP21" s="99">
        <v>0</v>
      </c>
      <c r="DQ21" s="99">
        <v>6.7</v>
      </c>
      <c r="DR21" s="99">
        <v>94.5</v>
      </c>
      <c r="DS21" s="99">
        <v>35</v>
      </c>
      <c r="DT21" s="99">
        <v>118</v>
      </c>
      <c r="DU21" s="99">
        <v>90</v>
      </c>
      <c r="DV21" s="99">
        <v>54</v>
      </c>
      <c r="DW21" s="99">
        <v>0</v>
      </c>
      <c r="DX21" s="99">
        <v>50</v>
      </c>
      <c r="DY21" s="99">
        <v>0</v>
      </c>
      <c r="DZ21" s="99">
        <v>0</v>
      </c>
      <c r="EA21" s="99">
        <v>0</v>
      </c>
      <c r="EB21" s="99">
        <v>0</v>
      </c>
      <c r="EC21" s="99">
        <v>0</v>
      </c>
      <c r="ED21" s="99">
        <v>0</v>
      </c>
      <c r="EE21" s="99">
        <v>0</v>
      </c>
      <c r="EF21" s="99">
        <v>0</v>
      </c>
      <c r="EG21" s="99">
        <v>112.25</v>
      </c>
      <c r="EH21" s="99">
        <v>37.1</v>
      </c>
      <c r="EI21" s="99">
        <v>137.25</v>
      </c>
      <c r="EJ21" s="99">
        <v>0</v>
      </c>
      <c r="EK21" s="99">
        <v>0</v>
      </c>
      <c r="EL21" s="99">
        <v>0</v>
      </c>
      <c r="EM21" s="99">
        <v>0</v>
      </c>
      <c r="EN21" s="99">
        <v>0</v>
      </c>
      <c r="EO21" s="99">
        <v>0</v>
      </c>
      <c r="EP21" s="99">
        <v>0</v>
      </c>
      <c r="EQ21" s="99">
        <v>0</v>
      </c>
      <c r="ER21" s="99">
        <v>0</v>
      </c>
      <c r="ES21" s="99">
        <v>0.25</v>
      </c>
      <c r="ET21" s="99">
        <v>0</v>
      </c>
      <c r="EU21" s="99">
        <v>0.1</v>
      </c>
      <c r="EV21" s="99">
        <v>0.1</v>
      </c>
      <c r="EW21" s="99">
        <v>0.05</v>
      </c>
      <c r="EX21" s="99">
        <v>0</v>
      </c>
      <c r="EY21" s="99">
        <v>0</v>
      </c>
      <c r="EZ21" s="99">
        <v>0.5</v>
      </c>
      <c r="FA21" s="99">
        <v>2.83</v>
      </c>
      <c r="FB21" s="99">
        <v>6.7</v>
      </c>
      <c r="FC21" s="99">
        <v>3.33</v>
      </c>
      <c r="FD21" s="99">
        <v>10.029999999999999</v>
      </c>
      <c r="FE21" s="99">
        <v>0.5</v>
      </c>
      <c r="FF21" s="99">
        <v>10.54</v>
      </c>
      <c r="FG21" s="99">
        <v>11.38</v>
      </c>
      <c r="FH21" s="99">
        <v>11.8</v>
      </c>
      <c r="FI21" s="99">
        <v>0</v>
      </c>
      <c r="FJ21" s="99">
        <v>0</v>
      </c>
      <c r="FK21" s="99">
        <v>0.84</v>
      </c>
      <c r="FL21" s="103">
        <v>7.9999999999999932E-2</v>
      </c>
      <c r="FM21" s="99">
        <v>0.84</v>
      </c>
      <c r="FN21" s="103">
        <v>7.9999999999999932E-2</v>
      </c>
      <c r="FO21" s="99">
        <v>1.26</v>
      </c>
      <c r="FP21" s="103">
        <v>0.12000000000000006</v>
      </c>
      <c r="FQ21" s="99">
        <v>1.26</v>
      </c>
      <c r="FR21" s="103">
        <v>0.12000000000000006</v>
      </c>
      <c r="FT21" s="96" t="s">
        <v>23</v>
      </c>
      <c r="FU21" s="96" t="s">
        <v>33</v>
      </c>
      <c r="FY21" s="96">
        <v>96</v>
      </c>
      <c r="GA21" s="96">
        <v>0</v>
      </c>
      <c r="GB21" s="96">
        <v>96</v>
      </c>
      <c r="GC21" s="96">
        <v>96</v>
      </c>
      <c r="GD21" s="96">
        <v>0</v>
      </c>
      <c r="GE21" s="96">
        <v>0</v>
      </c>
      <c r="GF21" s="96">
        <v>0</v>
      </c>
      <c r="GG21" s="96">
        <v>0</v>
      </c>
      <c r="GH21" s="96">
        <v>0</v>
      </c>
      <c r="GI21" s="96">
        <v>0</v>
      </c>
    </row>
    <row r="22" spans="1:191" x14ac:dyDescent="0.35">
      <c r="A22" s="96" t="s">
        <v>486</v>
      </c>
      <c r="B22" s="97">
        <v>0.65384259259259259</v>
      </c>
      <c r="C22" s="96">
        <v>91963</v>
      </c>
      <c r="D22" s="96" t="s">
        <v>520</v>
      </c>
      <c r="G22" s="100" t="s">
        <v>488</v>
      </c>
      <c r="H22" s="96" t="s">
        <v>489</v>
      </c>
      <c r="I22" s="96" t="s">
        <v>490</v>
      </c>
      <c r="J22" s="96" t="s">
        <v>522</v>
      </c>
      <c r="K22" s="98"/>
      <c r="L22" s="101">
        <v>18</v>
      </c>
      <c r="M22" s="101">
        <v>39.369999999999997</v>
      </c>
      <c r="N22" s="101">
        <v>18.100000000000001</v>
      </c>
      <c r="O22" s="101">
        <v>39.369999999999997</v>
      </c>
      <c r="P22" s="102">
        <v>108</v>
      </c>
      <c r="Q22" s="101">
        <v>108</v>
      </c>
      <c r="R22" s="98">
        <v>0</v>
      </c>
      <c r="S22" s="98">
        <v>0</v>
      </c>
      <c r="T22" s="98">
        <v>0</v>
      </c>
      <c r="U22" s="98">
        <v>0</v>
      </c>
      <c r="V22" s="98" t="s">
        <v>24</v>
      </c>
      <c r="W22" s="98">
        <v>0</v>
      </c>
      <c r="X22" s="98">
        <v>0</v>
      </c>
      <c r="Y22" s="98">
        <v>0</v>
      </c>
      <c r="Z22" s="103">
        <v>0.59</v>
      </c>
      <c r="AA22" s="103">
        <v>0.41</v>
      </c>
      <c r="AB22" s="103">
        <v>0</v>
      </c>
      <c r="AC22" s="103">
        <v>0</v>
      </c>
      <c r="AD22" s="103">
        <v>0</v>
      </c>
      <c r="AE22" s="103">
        <v>0</v>
      </c>
      <c r="AF22" s="103">
        <v>0</v>
      </c>
      <c r="AG22" s="101">
        <v>63.72</v>
      </c>
      <c r="AH22" s="101">
        <v>44.279999999999994</v>
      </c>
      <c r="AI22" s="101">
        <v>0</v>
      </c>
      <c r="AJ22" s="101">
        <v>0</v>
      </c>
      <c r="AK22" s="101">
        <v>0</v>
      </c>
      <c r="AL22" s="101">
        <v>0</v>
      </c>
      <c r="AM22" s="101">
        <v>0</v>
      </c>
      <c r="AN22" s="103">
        <v>0</v>
      </c>
      <c r="AO22" s="103">
        <v>0</v>
      </c>
      <c r="AP22" s="103">
        <v>0</v>
      </c>
      <c r="AQ22" s="103">
        <v>0</v>
      </c>
      <c r="AR22" s="103">
        <v>0</v>
      </c>
      <c r="AS22" s="103">
        <v>0</v>
      </c>
      <c r="AT22" s="103">
        <v>0</v>
      </c>
      <c r="AU22" s="101">
        <v>0</v>
      </c>
      <c r="AV22" s="101">
        <v>0</v>
      </c>
      <c r="AW22" s="101">
        <v>0</v>
      </c>
      <c r="AX22" s="101">
        <v>0</v>
      </c>
      <c r="AY22" s="101">
        <v>0</v>
      </c>
      <c r="AZ22" s="101">
        <v>0</v>
      </c>
      <c r="BA22" s="101">
        <v>0</v>
      </c>
      <c r="BB22" s="103">
        <v>0</v>
      </c>
      <c r="BC22" s="103">
        <v>0</v>
      </c>
      <c r="BD22" s="103">
        <v>0</v>
      </c>
      <c r="BE22" s="101">
        <v>0</v>
      </c>
      <c r="BF22" s="101">
        <v>0</v>
      </c>
      <c r="BG22" s="101">
        <v>0</v>
      </c>
      <c r="BH22" s="101">
        <v>2.2000000000000002</v>
      </c>
      <c r="BI22" s="101">
        <v>1.011425977144</v>
      </c>
      <c r="BJ22" s="96">
        <v>0</v>
      </c>
      <c r="BK22" s="96">
        <v>0</v>
      </c>
      <c r="BL22" s="96">
        <v>0</v>
      </c>
      <c r="BM22" s="101">
        <v>0</v>
      </c>
      <c r="BN22" s="101">
        <v>0</v>
      </c>
      <c r="BO22" s="101">
        <v>0</v>
      </c>
      <c r="BP22" s="101">
        <v>0</v>
      </c>
      <c r="BQ22" s="101">
        <v>0</v>
      </c>
      <c r="BR22" s="101">
        <v>0</v>
      </c>
      <c r="BS22" s="101">
        <v>0</v>
      </c>
      <c r="BT22" s="104">
        <v>0</v>
      </c>
      <c r="BU22" s="104">
        <v>0</v>
      </c>
      <c r="BV22" s="104">
        <v>0</v>
      </c>
      <c r="BW22" s="104">
        <v>0</v>
      </c>
      <c r="BX22" s="104">
        <v>0</v>
      </c>
      <c r="BY22" s="104">
        <v>0</v>
      </c>
      <c r="BZ22" s="104">
        <v>0</v>
      </c>
      <c r="CA22" s="104">
        <v>0</v>
      </c>
      <c r="CB22" s="104">
        <v>0</v>
      </c>
      <c r="CC22" s="104">
        <v>0</v>
      </c>
      <c r="CD22" s="104">
        <v>0</v>
      </c>
      <c r="CE22" s="104">
        <v>0</v>
      </c>
      <c r="CF22" s="104">
        <v>0</v>
      </c>
      <c r="CG22" s="104">
        <v>0</v>
      </c>
      <c r="CH22" s="104">
        <v>0</v>
      </c>
      <c r="CI22" s="104">
        <v>0</v>
      </c>
      <c r="CJ22" s="104">
        <v>0</v>
      </c>
      <c r="CK22" s="104">
        <v>0</v>
      </c>
      <c r="CL22" s="104">
        <v>0</v>
      </c>
      <c r="CM22" s="104">
        <v>0</v>
      </c>
      <c r="CN22" s="104">
        <v>0</v>
      </c>
      <c r="CO22" s="104">
        <v>0</v>
      </c>
      <c r="CP22" s="98">
        <v>30000</v>
      </c>
      <c r="CQ22" s="96" t="s">
        <v>516</v>
      </c>
      <c r="CR22" s="101"/>
      <c r="CS22" s="101">
        <v>0</v>
      </c>
      <c r="CT22" s="101">
        <v>0</v>
      </c>
      <c r="CU22" s="101">
        <v>0</v>
      </c>
      <c r="CV22" s="101">
        <v>0</v>
      </c>
      <c r="CW22" s="96" t="s">
        <v>369</v>
      </c>
      <c r="CX22" s="96" t="s">
        <v>490</v>
      </c>
      <c r="CY22" s="143">
        <v>61</v>
      </c>
      <c r="CZ22" s="96" t="s">
        <v>369</v>
      </c>
      <c r="DA22" s="96" t="s">
        <v>369</v>
      </c>
      <c r="DB22" s="96" t="s">
        <v>369</v>
      </c>
      <c r="DC22" s="99">
        <v>94</v>
      </c>
      <c r="DD22" s="99">
        <v>35</v>
      </c>
      <c r="DE22" s="99">
        <v>164.17</v>
      </c>
      <c r="DF22" s="99">
        <v>49.5</v>
      </c>
      <c r="DG22" s="99">
        <v>224</v>
      </c>
      <c r="DH22" s="99">
        <v>103</v>
      </c>
      <c r="DI22" s="99">
        <v>50</v>
      </c>
      <c r="DJ22" s="99">
        <v>5.99</v>
      </c>
      <c r="DK22" s="99">
        <v>1.55</v>
      </c>
      <c r="DL22" s="99">
        <v>0</v>
      </c>
      <c r="DM22" s="99">
        <v>0</v>
      </c>
      <c r="DN22" s="99">
        <v>0</v>
      </c>
      <c r="DO22" s="99">
        <v>0</v>
      </c>
      <c r="DP22" s="99">
        <v>0</v>
      </c>
      <c r="DQ22" s="99">
        <v>7.54</v>
      </c>
      <c r="DR22" s="99">
        <v>94.5</v>
      </c>
      <c r="DS22" s="99">
        <v>35</v>
      </c>
      <c r="DT22" s="99">
        <v>118</v>
      </c>
      <c r="DU22" s="99">
        <v>90</v>
      </c>
      <c r="DV22" s="99">
        <v>54</v>
      </c>
      <c r="DW22" s="99">
        <v>0</v>
      </c>
      <c r="DX22" s="99">
        <v>50</v>
      </c>
      <c r="DY22" s="99">
        <v>0</v>
      </c>
      <c r="DZ22" s="99">
        <v>0</v>
      </c>
      <c r="EA22" s="99">
        <v>0</v>
      </c>
      <c r="EB22" s="99">
        <v>0</v>
      </c>
      <c r="EC22" s="99">
        <v>0</v>
      </c>
      <c r="ED22" s="99">
        <v>0</v>
      </c>
      <c r="EE22" s="99">
        <v>0</v>
      </c>
      <c r="EF22" s="99">
        <v>0</v>
      </c>
      <c r="EG22" s="99">
        <v>112.25</v>
      </c>
      <c r="EH22" s="99">
        <v>37.1</v>
      </c>
      <c r="EI22" s="99">
        <v>137.25</v>
      </c>
      <c r="EJ22" s="99">
        <v>0</v>
      </c>
      <c r="EK22" s="99">
        <v>0</v>
      </c>
      <c r="EL22" s="99">
        <v>0</v>
      </c>
      <c r="EM22" s="99">
        <v>0</v>
      </c>
      <c r="EN22" s="99">
        <v>0</v>
      </c>
      <c r="EO22" s="99">
        <v>0</v>
      </c>
      <c r="EP22" s="99">
        <v>0</v>
      </c>
      <c r="EQ22" s="99">
        <v>0</v>
      </c>
      <c r="ER22" s="99">
        <v>0</v>
      </c>
      <c r="ES22" s="99">
        <v>0.25</v>
      </c>
      <c r="ET22" s="99">
        <v>0</v>
      </c>
      <c r="EU22" s="99">
        <v>0.1</v>
      </c>
      <c r="EV22" s="99">
        <v>0.1</v>
      </c>
      <c r="EW22" s="99">
        <v>0.05</v>
      </c>
      <c r="EX22" s="99">
        <v>0</v>
      </c>
      <c r="EY22" s="99">
        <v>0</v>
      </c>
      <c r="EZ22" s="99">
        <v>0.5</v>
      </c>
      <c r="FA22" s="99">
        <v>3.19</v>
      </c>
      <c r="FB22" s="99">
        <v>7.54</v>
      </c>
      <c r="FC22" s="99">
        <v>3.69</v>
      </c>
      <c r="FD22" s="99">
        <v>11.23</v>
      </c>
      <c r="FE22" s="99">
        <v>0.56000000000000005</v>
      </c>
      <c r="FF22" s="99">
        <v>11.79</v>
      </c>
      <c r="FG22" s="99">
        <v>12.73</v>
      </c>
      <c r="FH22" s="99">
        <v>13.2</v>
      </c>
      <c r="FI22" s="99">
        <v>0</v>
      </c>
      <c r="FJ22" s="99">
        <v>0</v>
      </c>
      <c r="FK22" s="99">
        <v>0.94</v>
      </c>
      <c r="FL22" s="103">
        <v>0.08</v>
      </c>
      <c r="FM22" s="99">
        <v>0.94</v>
      </c>
      <c r="FN22" s="103">
        <v>0.08</v>
      </c>
      <c r="FO22" s="99">
        <v>1.41</v>
      </c>
      <c r="FP22" s="103">
        <v>0.11999999999999994</v>
      </c>
      <c r="FQ22" s="99">
        <v>1.41</v>
      </c>
      <c r="FR22" s="103">
        <v>0.11999999999999994</v>
      </c>
      <c r="FT22" s="96" t="s">
        <v>23</v>
      </c>
      <c r="FU22" s="96" t="s">
        <v>33</v>
      </c>
      <c r="FY22" s="96">
        <v>108</v>
      </c>
      <c r="GA22" s="96">
        <v>0</v>
      </c>
      <c r="GB22" s="96">
        <v>108</v>
      </c>
      <c r="GC22" s="96">
        <v>108</v>
      </c>
      <c r="GD22" s="96">
        <v>0</v>
      </c>
      <c r="GE22" s="96">
        <v>0</v>
      </c>
      <c r="GF22" s="96">
        <v>0</v>
      </c>
      <c r="GG22" s="96">
        <v>0</v>
      </c>
      <c r="GH22" s="96">
        <v>0</v>
      </c>
      <c r="GI22" s="96">
        <v>0</v>
      </c>
    </row>
    <row r="23" spans="1:191" x14ac:dyDescent="0.35">
      <c r="A23" s="96" t="s">
        <v>486</v>
      </c>
      <c r="B23" s="97">
        <v>0.65457175925925926</v>
      </c>
      <c r="C23" s="96">
        <v>91963</v>
      </c>
      <c r="D23" s="96" t="s">
        <v>520</v>
      </c>
      <c r="G23" s="100" t="s">
        <v>488</v>
      </c>
      <c r="H23" s="96" t="s">
        <v>489</v>
      </c>
      <c r="I23" s="96" t="s">
        <v>490</v>
      </c>
      <c r="J23" s="96" t="s">
        <v>523</v>
      </c>
      <c r="K23" s="98"/>
      <c r="L23" s="101">
        <v>19</v>
      </c>
      <c r="M23" s="101">
        <v>39.369999999999997</v>
      </c>
      <c r="N23" s="101">
        <v>19.100000000000001</v>
      </c>
      <c r="O23" s="101">
        <v>39.369999999999997</v>
      </c>
      <c r="P23" s="102">
        <v>61</v>
      </c>
      <c r="Q23" s="101">
        <v>61</v>
      </c>
      <c r="R23" s="98">
        <v>0</v>
      </c>
      <c r="S23" s="98">
        <v>0</v>
      </c>
      <c r="T23" s="98">
        <v>0</v>
      </c>
      <c r="U23" s="98">
        <v>0</v>
      </c>
      <c r="V23" s="98" t="s">
        <v>24</v>
      </c>
      <c r="W23" s="98">
        <v>0</v>
      </c>
      <c r="X23" s="98">
        <v>0</v>
      </c>
      <c r="Y23" s="98">
        <v>0</v>
      </c>
      <c r="Z23" s="103">
        <v>0.65</v>
      </c>
      <c r="AA23" s="103">
        <v>0.35</v>
      </c>
      <c r="AB23" s="103">
        <v>0</v>
      </c>
      <c r="AC23" s="103">
        <v>0</v>
      </c>
      <c r="AD23" s="103">
        <v>0</v>
      </c>
      <c r="AE23" s="103">
        <v>0</v>
      </c>
      <c r="AF23" s="103">
        <v>0</v>
      </c>
      <c r="AG23" s="101">
        <v>39.65</v>
      </c>
      <c r="AH23" s="101">
        <v>21.349999999999998</v>
      </c>
      <c r="AI23" s="101">
        <v>0</v>
      </c>
      <c r="AJ23" s="101">
        <v>0</v>
      </c>
      <c r="AK23" s="101">
        <v>0</v>
      </c>
      <c r="AL23" s="101">
        <v>0</v>
      </c>
      <c r="AM23" s="101">
        <v>0</v>
      </c>
      <c r="AN23" s="103">
        <v>0</v>
      </c>
      <c r="AO23" s="103">
        <v>0</v>
      </c>
      <c r="AP23" s="103">
        <v>0</v>
      </c>
      <c r="AQ23" s="103">
        <v>0</v>
      </c>
      <c r="AR23" s="103">
        <v>0</v>
      </c>
      <c r="AS23" s="103">
        <v>0</v>
      </c>
      <c r="AT23" s="103">
        <v>0</v>
      </c>
      <c r="AU23" s="101">
        <v>0</v>
      </c>
      <c r="AV23" s="101">
        <v>0</v>
      </c>
      <c r="AW23" s="101">
        <v>0</v>
      </c>
      <c r="AX23" s="101">
        <v>0</v>
      </c>
      <c r="AY23" s="101">
        <v>0</v>
      </c>
      <c r="AZ23" s="101">
        <v>0</v>
      </c>
      <c r="BA23" s="101">
        <v>0</v>
      </c>
      <c r="BB23" s="103">
        <v>0</v>
      </c>
      <c r="BC23" s="103">
        <v>0</v>
      </c>
      <c r="BD23" s="103">
        <v>0</v>
      </c>
      <c r="BE23" s="101">
        <v>0</v>
      </c>
      <c r="BF23" s="101">
        <v>0</v>
      </c>
      <c r="BG23" s="101">
        <v>0</v>
      </c>
      <c r="BH23" s="101">
        <v>2.2000000000000002</v>
      </c>
      <c r="BI23" s="101">
        <v>1.0673058653840002</v>
      </c>
      <c r="BJ23" s="96">
        <v>0</v>
      </c>
      <c r="BK23" s="96">
        <v>0</v>
      </c>
      <c r="BL23" s="96">
        <v>0</v>
      </c>
      <c r="BM23" s="101">
        <v>0</v>
      </c>
      <c r="BN23" s="101">
        <v>0</v>
      </c>
      <c r="BO23" s="101">
        <v>0</v>
      </c>
      <c r="BP23" s="101">
        <v>0</v>
      </c>
      <c r="BQ23" s="101">
        <v>0</v>
      </c>
      <c r="BR23" s="101">
        <v>0</v>
      </c>
      <c r="BS23" s="101">
        <v>0</v>
      </c>
      <c r="BT23" s="104">
        <v>0</v>
      </c>
      <c r="BU23" s="104">
        <v>0</v>
      </c>
      <c r="BV23" s="104">
        <v>0</v>
      </c>
      <c r="BW23" s="104">
        <v>0</v>
      </c>
      <c r="BX23" s="104">
        <v>0</v>
      </c>
      <c r="BY23" s="104">
        <v>0</v>
      </c>
      <c r="BZ23" s="104">
        <v>0</v>
      </c>
      <c r="CA23" s="104">
        <v>0</v>
      </c>
      <c r="CB23" s="104">
        <v>0</v>
      </c>
      <c r="CC23" s="104">
        <v>0</v>
      </c>
      <c r="CD23" s="104">
        <v>0</v>
      </c>
      <c r="CE23" s="104">
        <v>0</v>
      </c>
      <c r="CF23" s="104">
        <v>0</v>
      </c>
      <c r="CG23" s="104">
        <v>0</v>
      </c>
      <c r="CH23" s="104">
        <v>0</v>
      </c>
      <c r="CI23" s="104">
        <v>0</v>
      </c>
      <c r="CJ23" s="104">
        <v>0</v>
      </c>
      <c r="CK23" s="104">
        <v>0</v>
      </c>
      <c r="CL23" s="104">
        <v>0</v>
      </c>
      <c r="CM23" s="104">
        <v>0</v>
      </c>
      <c r="CN23" s="104">
        <v>0</v>
      </c>
      <c r="CO23" s="104">
        <v>0</v>
      </c>
      <c r="CP23" s="98">
        <v>30000</v>
      </c>
      <c r="CQ23" s="96" t="s">
        <v>516</v>
      </c>
      <c r="CR23" s="101"/>
      <c r="CS23" s="101">
        <v>0</v>
      </c>
      <c r="CT23" s="101">
        <v>0</v>
      </c>
      <c r="CU23" s="101">
        <v>0</v>
      </c>
      <c r="CV23" s="101">
        <v>0</v>
      </c>
      <c r="CW23" s="96" t="s">
        <v>369</v>
      </c>
      <c r="CX23" s="96" t="s">
        <v>490</v>
      </c>
      <c r="CY23" s="143">
        <v>61</v>
      </c>
      <c r="CZ23" s="96" t="s">
        <v>369</v>
      </c>
      <c r="DA23" s="96" t="s">
        <v>369</v>
      </c>
      <c r="DB23" s="96" t="s">
        <v>369</v>
      </c>
      <c r="DC23" s="99">
        <v>94</v>
      </c>
      <c r="DD23" s="99">
        <v>35</v>
      </c>
      <c r="DE23" s="99">
        <v>164.17</v>
      </c>
      <c r="DF23" s="99">
        <v>49.5</v>
      </c>
      <c r="DG23" s="99">
        <v>224</v>
      </c>
      <c r="DH23" s="99">
        <v>103</v>
      </c>
      <c r="DI23" s="99">
        <v>50</v>
      </c>
      <c r="DJ23" s="99">
        <v>3.73</v>
      </c>
      <c r="DK23" s="99">
        <v>0.75</v>
      </c>
      <c r="DL23" s="99">
        <v>0</v>
      </c>
      <c r="DM23" s="99">
        <v>0</v>
      </c>
      <c r="DN23" s="99">
        <v>0</v>
      </c>
      <c r="DO23" s="99">
        <v>0</v>
      </c>
      <c r="DP23" s="99">
        <v>0</v>
      </c>
      <c r="DQ23" s="99">
        <v>4.47</v>
      </c>
      <c r="DR23" s="99">
        <v>94.5</v>
      </c>
      <c r="DS23" s="99">
        <v>35</v>
      </c>
      <c r="DT23" s="99">
        <v>118</v>
      </c>
      <c r="DU23" s="99">
        <v>90</v>
      </c>
      <c r="DV23" s="99">
        <v>54</v>
      </c>
      <c r="DW23" s="99">
        <v>0</v>
      </c>
      <c r="DX23" s="99">
        <v>50</v>
      </c>
      <c r="DY23" s="99">
        <v>0</v>
      </c>
      <c r="DZ23" s="99">
        <v>0</v>
      </c>
      <c r="EA23" s="99">
        <v>0</v>
      </c>
      <c r="EB23" s="99">
        <v>0</v>
      </c>
      <c r="EC23" s="99">
        <v>0</v>
      </c>
      <c r="ED23" s="99">
        <v>0</v>
      </c>
      <c r="EE23" s="99">
        <v>0</v>
      </c>
      <c r="EF23" s="99">
        <v>0</v>
      </c>
      <c r="EG23" s="99">
        <v>112.25</v>
      </c>
      <c r="EH23" s="99">
        <v>37.1</v>
      </c>
      <c r="EI23" s="99">
        <v>137.25</v>
      </c>
      <c r="EJ23" s="99">
        <v>0</v>
      </c>
      <c r="EK23" s="99">
        <v>0</v>
      </c>
      <c r="EL23" s="99">
        <v>0</v>
      </c>
      <c r="EM23" s="99">
        <v>0</v>
      </c>
      <c r="EN23" s="99">
        <v>0</v>
      </c>
      <c r="EO23" s="99">
        <v>0</v>
      </c>
      <c r="EP23" s="99">
        <v>0</v>
      </c>
      <c r="EQ23" s="99">
        <v>0</v>
      </c>
      <c r="ER23" s="99">
        <v>0</v>
      </c>
      <c r="ES23" s="99">
        <v>0.25</v>
      </c>
      <c r="ET23" s="99">
        <v>0</v>
      </c>
      <c r="EU23" s="99">
        <v>0.1</v>
      </c>
      <c r="EV23" s="99">
        <v>0.1</v>
      </c>
      <c r="EW23" s="99">
        <v>0.05</v>
      </c>
      <c r="EX23" s="99">
        <v>0</v>
      </c>
      <c r="EY23" s="99">
        <v>0</v>
      </c>
      <c r="EZ23" s="99">
        <v>0.5</v>
      </c>
      <c r="FA23" s="99">
        <v>1.8</v>
      </c>
      <c r="FB23" s="99">
        <v>4.47</v>
      </c>
      <c r="FC23" s="99">
        <v>2.2999999999999998</v>
      </c>
      <c r="FD23" s="99">
        <v>6.77</v>
      </c>
      <c r="FE23" s="99">
        <v>0.34</v>
      </c>
      <c r="FF23" s="99">
        <v>7.11</v>
      </c>
      <c r="FG23" s="99">
        <v>7.68</v>
      </c>
      <c r="FH23" s="99">
        <v>7.97</v>
      </c>
      <c r="FI23" s="99">
        <v>0</v>
      </c>
      <c r="FJ23" s="99">
        <v>0</v>
      </c>
      <c r="FK23" s="99">
        <v>0.56999999999999995</v>
      </c>
      <c r="FL23" s="103">
        <v>7.9999999999999974E-2</v>
      </c>
      <c r="FM23" s="99">
        <v>0.56999999999999995</v>
      </c>
      <c r="FN23" s="103">
        <v>7.9999999999999974E-2</v>
      </c>
      <c r="FO23" s="99">
        <v>0.85</v>
      </c>
      <c r="FP23" s="103">
        <v>0.11999999999999995</v>
      </c>
      <c r="FQ23" s="99">
        <v>0.85</v>
      </c>
      <c r="FR23" s="103">
        <v>0.11999999999999995</v>
      </c>
      <c r="FT23" s="96" t="s">
        <v>23</v>
      </c>
      <c r="FU23" s="96" t="s">
        <v>33</v>
      </c>
      <c r="FY23" s="96">
        <v>61</v>
      </c>
      <c r="GA23" s="96">
        <v>0</v>
      </c>
      <c r="GB23" s="96">
        <v>61</v>
      </c>
      <c r="GC23" s="96">
        <v>61</v>
      </c>
      <c r="GD23" s="96">
        <v>0</v>
      </c>
      <c r="GE23" s="96">
        <v>0</v>
      </c>
      <c r="GF23" s="96">
        <v>0</v>
      </c>
      <c r="GG23" s="96">
        <v>0</v>
      </c>
      <c r="GH23" s="96">
        <v>0</v>
      </c>
      <c r="GI23" s="96">
        <v>0</v>
      </c>
    </row>
    <row r="24" spans="1:191" x14ac:dyDescent="0.35">
      <c r="A24" s="96" t="s">
        <v>486</v>
      </c>
      <c r="B24" s="97">
        <v>0.6551851851851852</v>
      </c>
      <c r="C24" s="96">
        <v>91963</v>
      </c>
      <c r="D24" s="96" t="s">
        <v>520</v>
      </c>
      <c r="G24" s="100" t="s">
        <v>488</v>
      </c>
      <c r="H24" s="96" t="s">
        <v>489</v>
      </c>
      <c r="I24" s="96" t="s">
        <v>490</v>
      </c>
      <c r="J24" s="96" t="s">
        <v>524</v>
      </c>
      <c r="K24" s="98"/>
      <c r="L24" s="101">
        <v>19</v>
      </c>
      <c r="M24" s="101">
        <v>39.369999999999997</v>
      </c>
      <c r="N24" s="101">
        <v>19.100000000000001</v>
      </c>
      <c r="O24" s="101">
        <v>39.369999999999997</v>
      </c>
      <c r="P24" s="102">
        <v>76</v>
      </c>
      <c r="Q24" s="101">
        <v>76</v>
      </c>
      <c r="R24" s="98">
        <v>0</v>
      </c>
      <c r="S24" s="98">
        <v>0</v>
      </c>
      <c r="T24" s="98">
        <v>0</v>
      </c>
      <c r="U24" s="98">
        <v>0</v>
      </c>
      <c r="V24" s="98" t="s">
        <v>24</v>
      </c>
      <c r="W24" s="98">
        <v>0</v>
      </c>
      <c r="X24" s="98">
        <v>0</v>
      </c>
      <c r="Y24" s="98">
        <v>0</v>
      </c>
      <c r="Z24" s="103">
        <v>0.64</v>
      </c>
      <c r="AA24" s="103">
        <v>0.36</v>
      </c>
      <c r="AB24" s="103">
        <v>0</v>
      </c>
      <c r="AC24" s="103">
        <v>0</v>
      </c>
      <c r="AD24" s="103">
        <v>0</v>
      </c>
      <c r="AE24" s="103">
        <v>0</v>
      </c>
      <c r="AF24" s="103">
        <v>0</v>
      </c>
      <c r="AG24" s="101">
        <v>48.64</v>
      </c>
      <c r="AH24" s="101">
        <v>27.36</v>
      </c>
      <c r="AI24" s="101">
        <v>0</v>
      </c>
      <c r="AJ24" s="101">
        <v>0</v>
      </c>
      <c r="AK24" s="101">
        <v>0</v>
      </c>
      <c r="AL24" s="101">
        <v>0</v>
      </c>
      <c r="AM24" s="101">
        <v>0</v>
      </c>
      <c r="AN24" s="103">
        <v>0</v>
      </c>
      <c r="AO24" s="103">
        <v>0</v>
      </c>
      <c r="AP24" s="103">
        <v>0</v>
      </c>
      <c r="AQ24" s="103">
        <v>0</v>
      </c>
      <c r="AR24" s="103">
        <v>0</v>
      </c>
      <c r="AS24" s="103">
        <v>0</v>
      </c>
      <c r="AT24" s="103">
        <v>0</v>
      </c>
      <c r="AU24" s="101">
        <v>0</v>
      </c>
      <c r="AV24" s="101">
        <v>0</v>
      </c>
      <c r="AW24" s="101">
        <v>0</v>
      </c>
      <c r="AX24" s="101">
        <v>0</v>
      </c>
      <c r="AY24" s="101">
        <v>0</v>
      </c>
      <c r="AZ24" s="101">
        <v>0</v>
      </c>
      <c r="BA24" s="101">
        <v>0</v>
      </c>
      <c r="BB24" s="103">
        <v>0</v>
      </c>
      <c r="BC24" s="103">
        <v>0</v>
      </c>
      <c r="BD24" s="103">
        <v>0</v>
      </c>
      <c r="BE24" s="101">
        <v>0</v>
      </c>
      <c r="BF24" s="101">
        <v>0</v>
      </c>
      <c r="BG24" s="101">
        <v>0</v>
      </c>
      <c r="BH24" s="101">
        <v>2.2000000000000002</v>
      </c>
      <c r="BI24" s="101">
        <v>1.0673058653840002</v>
      </c>
      <c r="BJ24" s="96">
        <v>0</v>
      </c>
      <c r="BK24" s="96">
        <v>0</v>
      </c>
      <c r="BL24" s="96">
        <v>0</v>
      </c>
      <c r="BM24" s="101">
        <v>0</v>
      </c>
      <c r="BN24" s="101">
        <v>0</v>
      </c>
      <c r="BO24" s="101">
        <v>0</v>
      </c>
      <c r="BP24" s="101">
        <v>0</v>
      </c>
      <c r="BQ24" s="101">
        <v>0</v>
      </c>
      <c r="BR24" s="101">
        <v>0</v>
      </c>
      <c r="BS24" s="101">
        <v>0</v>
      </c>
      <c r="BT24" s="104">
        <v>0</v>
      </c>
      <c r="BU24" s="104">
        <v>0</v>
      </c>
      <c r="BV24" s="104">
        <v>0</v>
      </c>
      <c r="BW24" s="104">
        <v>0</v>
      </c>
      <c r="BX24" s="104">
        <v>0</v>
      </c>
      <c r="BY24" s="104">
        <v>0</v>
      </c>
      <c r="BZ24" s="104">
        <v>0</v>
      </c>
      <c r="CA24" s="104">
        <v>0</v>
      </c>
      <c r="CB24" s="104">
        <v>0</v>
      </c>
      <c r="CC24" s="104">
        <v>0</v>
      </c>
      <c r="CD24" s="104">
        <v>0</v>
      </c>
      <c r="CE24" s="104">
        <v>0</v>
      </c>
      <c r="CF24" s="104">
        <v>0</v>
      </c>
      <c r="CG24" s="104">
        <v>0</v>
      </c>
      <c r="CH24" s="104">
        <v>0</v>
      </c>
      <c r="CI24" s="104">
        <v>0</v>
      </c>
      <c r="CJ24" s="104">
        <v>0</v>
      </c>
      <c r="CK24" s="104">
        <v>0</v>
      </c>
      <c r="CL24" s="104">
        <v>0</v>
      </c>
      <c r="CM24" s="104">
        <v>0</v>
      </c>
      <c r="CN24" s="104">
        <v>0</v>
      </c>
      <c r="CO24" s="104">
        <v>0</v>
      </c>
      <c r="CP24" s="98">
        <v>30000</v>
      </c>
      <c r="CQ24" s="96" t="s">
        <v>516</v>
      </c>
      <c r="CR24" s="101"/>
      <c r="CS24" s="101">
        <v>0</v>
      </c>
      <c r="CT24" s="101">
        <v>0</v>
      </c>
      <c r="CU24" s="101">
        <v>0</v>
      </c>
      <c r="CV24" s="101">
        <v>0</v>
      </c>
      <c r="CW24" s="96" t="s">
        <v>369</v>
      </c>
      <c r="CX24" s="96" t="s">
        <v>490</v>
      </c>
      <c r="CY24" s="143">
        <v>61</v>
      </c>
      <c r="CZ24" s="96" t="s">
        <v>369</v>
      </c>
      <c r="DA24" s="96" t="s">
        <v>369</v>
      </c>
      <c r="DB24" s="96" t="s">
        <v>369</v>
      </c>
      <c r="DC24" s="99">
        <v>94</v>
      </c>
      <c r="DD24" s="99">
        <v>35</v>
      </c>
      <c r="DE24" s="99">
        <v>164.17</v>
      </c>
      <c r="DF24" s="99">
        <v>49.5</v>
      </c>
      <c r="DG24" s="99">
        <v>224</v>
      </c>
      <c r="DH24" s="99">
        <v>103</v>
      </c>
      <c r="DI24" s="99">
        <v>50</v>
      </c>
      <c r="DJ24" s="99">
        <v>4.57</v>
      </c>
      <c r="DK24" s="99">
        <v>0.96</v>
      </c>
      <c r="DL24" s="99">
        <v>0</v>
      </c>
      <c r="DM24" s="99">
        <v>0</v>
      </c>
      <c r="DN24" s="99">
        <v>0</v>
      </c>
      <c r="DO24" s="99">
        <v>0</v>
      </c>
      <c r="DP24" s="99">
        <v>0</v>
      </c>
      <c r="DQ24" s="99">
        <v>5.53</v>
      </c>
      <c r="DR24" s="99">
        <v>94.5</v>
      </c>
      <c r="DS24" s="99">
        <v>35</v>
      </c>
      <c r="DT24" s="99">
        <v>118</v>
      </c>
      <c r="DU24" s="99">
        <v>90</v>
      </c>
      <c r="DV24" s="99">
        <v>54</v>
      </c>
      <c r="DW24" s="99">
        <v>0</v>
      </c>
      <c r="DX24" s="99">
        <v>50</v>
      </c>
      <c r="DY24" s="99">
        <v>0</v>
      </c>
      <c r="DZ24" s="99">
        <v>0</v>
      </c>
      <c r="EA24" s="99">
        <v>0</v>
      </c>
      <c r="EB24" s="99">
        <v>0</v>
      </c>
      <c r="EC24" s="99">
        <v>0</v>
      </c>
      <c r="ED24" s="99">
        <v>0</v>
      </c>
      <c r="EE24" s="99">
        <v>0</v>
      </c>
      <c r="EF24" s="99">
        <v>0</v>
      </c>
      <c r="EG24" s="99">
        <v>112.25</v>
      </c>
      <c r="EH24" s="99">
        <v>37.1</v>
      </c>
      <c r="EI24" s="99">
        <v>137.25</v>
      </c>
      <c r="EJ24" s="99">
        <v>0</v>
      </c>
      <c r="EK24" s="99">
        <v>0</v>
      </c>
      <c r="EL24" s="99">
        <v>0</v>
      </c>
      <c r="EM24" s="99">
        <v>0</v>
      </c>
      <c r="EN24" s="99">
        <v>0</v>
      </c>
      <c r="EO24" s="99">
        <v>0</v>
      </c>
      <c r="EP24" s="99">
        <v>0</v>
      </c>
      <c r="EQ24" s="99">
        <v>0</v>
      </c>
      <c r="ER24" s="99">
        <v>0</v>
      </c>
      <c r="ES24" s="99">
        <v>0.25</v>
      </c>
      <c r="ET24" s="99">
        <v>0</v>
      </c>
      <c r="EU24" s="99">
        <v>0.1</v>
      </c>
      <c r="EV24" s="99">
        <v>0.1</v>
      </c>
      <c r="EW24" s="99">
        <v>0.05</v>
      </c>
      <c r="EX24" s="99">
        <v>0</v>
      </c>
      <c r="EY24" s="99">
        <v>0</v>
      </c>
      <c r="EZ24" s="99">
        <v>0.5</v>
      </c>
      <c r="FA24" s="99">
        <v>2.2400000000000002</v>
      </c>
      <c r="FB24" s="99">
        <v>5.53</v>
      </c>
      <c r="FC24" s="99">
        <v>2.74</v>
      </c>
      <c r="FD24" s="99">
        <v>8.27</v>
      </c>
      <c r="FE24" s="99">
        <v>0.41</v>
      </c>
      <c r="FF24" s="99">
        <v>8.69</v>
      </c>
      <c r="FG24" s="99">
        <v>9.3800000000000008</v>
      </c>
      <c r="FH24" s="99">
        <v>9.73</v>
      </c>
      <c r="FI24" s="99">
        <v>0</v>
      </c>
      <c r="FJ24" s="99">
        <v>0</v>
      </c>
      <c r="FK24" s="99">
        <v>0.69</v>
      </c>
      <c r="FL24" s="103">
        <v>8.0000000000000029E-2</v>
      </c>
      <c r="FM24" s="99">
        <v>0.69</v>
      </c>
      <c r="FN24" s="103">
        <v>8.0000000000000029E-2</v>
      </c>
      <c r="FO24" s="99">
        <v>1.04</v>
      </c>
      <c r="FP24" s="103">
        <v>0.11999999999999994</v>
      </c>
      <c r="FQ24" s="99">
        <v>1.04</v>
      </c>
      <c r="FR24" s="103">
        <v>0.11999999999999994</v>
      </c>
      <c r="FT24" s="96" t="s">
        <v>23</v>
      </c>
      <c r="FU24" s="96" t="s">
        <v>33</v>
      </c>
      <c r="FY24" s="96">
        <v>76</v>
      </c>
      <c r="GA24" s="96">
        <v>0</v>
      </c>
      <c r="GB24" s="96">
        <v>76</v>
      </c>
      <c r="GC24" s="96">
        <v>76</v>
      </c>
      <c r="GD24" s="96">
        <v>0</v>
      </c>
      <c r="GE24" s="96">
        <v>0</v>
      </c>
      <c r="GF24" s="96">
        <v>0</v>
      </c>
      <c r="GG24" s="96">
        <v>0</v>
      </c>
      <c r="GH24" s="96">
        <v>0</v>
      </c>
      <c r="GI24" s="96">
        <v>0</v>
      </c>
    </row>
    <row r="25" spans="1:191" x14ac:dyDescent="0.35">
      <c r="A25" s="96" t="s">
        <v>486</v>
      </c>
      <c r="B25" s="97">
        <v>0.655787037037037</v>
      </c>
      <c r="C25" s="96">
        <v>91963</v>
      </c>
      <c r="D25" s="96" t="s">
        <v>526</v>
      </c>
      <c r="G25" s="100" t="s">
        <v>488</v>
      </c>
      <c r="H25" s="96" t="s">
        <v>489</v>
      </c>
      <c r="I25" s="96" t="s">
        <v>490</v>
      </c>
      <c r="J25" s="96" t="s">
        <v>525</v>
      </c>
      <c r="K25" s="98"/>
      <c r="L25" s="101">
        <v>22</v>
      </c>
      <c r="M25" s="101">
        <v>39.369999999999997</v>
      </c>
      <c r="N25" s="101">
        <v>22.1</v>
      </c>
      <c r="O25" s="101">
        <v>39.369999999999997</v>
      </c>
      <c r="P25" s="102">
        <v>77</v>
      </c>
      <c r="Q25" s="101">
        <v>77</v>
      </c>
      <c r="R25" s="98">
        <v>0</v>
      </c>
      <c r="S25" s="98">
        <v>0</v>
      </c>
      <c r="T25" s="98">
        <v>0</v>
      </c>
      <c r="U25" s="98">
        <v>0</v>
      </c>
      <c r="V25" s="98" t="s">
        <v>24</v>
      </c>
      <c r="W25" s="98">
        <v>0</v>
      </c>
      <c r="X25" s="98">
        <v>0</v>
      </c>
      <c r="Y25" s="98">
        <v>0</v>
      </c>
      <c r="Z25" s="103">
        <v>0.59</v>
      </c>
      <c r="AA25" s="103">
        <v>0.41</v>
      </c>
      <c r="AB25" s="103">
        <v>0</v>
      </c>
      <c r="AC25" s="103">
        <v>0</v>
      </c>
      <c r="AD25" s="103">
        <v>0</v>
      </c>
      <c r="AE25" s="103">
        <v>0</v>
      </c>
      <c r="AF25" s="103">
        <v>0</v>
      </c>
      <c r="AG25" s="101">
        <v>45.43</v>
      </c>
      <c r="AH25" s="101">
        <v>31.569999999999997</v>
      </c>
      <c r="AI25" s="101">
        <v>0</v>
      </c>
      <c r="AJ25" s="101">
        <v>0</v>
      </c>
      <c r="AK25" s="101">
        <v>0</v>
      </c>
      <c r="AL25" s="101">
        <v>0</v>
      </c>
      <c r="AM25" s="101">
        <v>0</v>
      </c>
      <c r="AN25" s="103">
        <v>0</v>
      </c>
      <c r="AO25" s="103">
        <v>0</v>
      </c>
      <c r="AP25" s="103">
        <v>0</v>
      </c>
      <c r="AQ25" s="103">
        <v>0</v>
      </c>
      <c r="AR25" s="103">
        <v>0</v>
      </c>
      <c r="AS25" s="103">
        <v>0</v>
      </c>
      <c r="AT25" s="103">
        <v>0</v>
      </c>
      <c r="AU25" s="101">
        <v>0</v>
      </c>
      <c r="AV25" s="101">
        <v>0</v>
      </c>
      <c r="AW25" s="101">
        <v>0</v>
      </c>
      <c r="AX25" s="101">
        <v>0</v>
      </c>
      <c r="AY25" s="101">
        <v>0</v>
      </c>
      <c r="AZ25" s="101">
        <v>0</v>
      </c>
      <c r="BA25" s="101">
        <v>0</v>
      </c>
      <c r="BB25" s="103">
        <v>0</v>
      </c>
      <c r="BC25" s="103">
        <v>0</v>
      </c>
      <c r="BD25" s="103">
        <v>0</v>
      </c>
      <c r="BE25" s="101">
        <v>0</v>
      </c>
      <c r="BF25" s="101">
        <v>0</v>
      </c>
      <c r="BG25" s="101">
        <v>0</v>
      </c>
      <c r="BH25" s="101">
        <v>2.2000000000000002</v>
      </c>
      <c r="BI25" s="101">
        <v>1.234945530104</v>
      </c>
      <c r="BJ25" s="96">
        <v>0</v>
      </c>
      <c r="BK25" s="96">
        <v>0</v>
      </c>
      <c r="BL25" s="96">
        <v>0</v>
      </c>
      <c r="BM25" s="101">
        <v>0</v>
      </c>
      <c r="BN25" s="101">
        <v>0</v>
      </c>
      <c r="BO25" s="101">
        <v>0</v>
      </c>
      <c r="BP25" s="101">
        <v>0</v>
      </c>
      <c r="BQ25" s="101">
        <v>0</v>
      </c>
      <c r="BR25" s="101">
        <v>0</v>
      </c>
      <c r="BS25" s="101">
        <v>0</v>
      </c>
      <c r="BT25" s="104">
        <v>0</v>
      </c>
      <c r="BU25" s="104">
        <v>0</v>
      </c>
      <c r="BV25" s="104">
        <v>0</v>
      </c>
      <c r="BW25" s="104">
        <v>0</v>
      </c>
      <c r="BX25" s="104">
        <v>0</v>
      </c>
      <c r="BY25" s="104">
        <v>0</v>
      </c>
      <c r="BZ25" s="104">
        <v>0</v>
      </c>
      <c r="CA25" s="104">
        <v>0</v>
      </c>
      <c r="CB25" s="104">
        <v>0</v>
      </c>
      <c r="CC25" s="104">
        <v>0</v>
      </c>
      <c r="CD25" s="104">
        <v>0</v>
      </c>
      <c r="CE25" s="104">
        <v>0</v>
      </c>
      <c r="CF25" s="104">
        <v>0</v>
      </c>
      <c r="CG25" s="104">
        <v>0</v>
      </c>
      <c r="CH25" s="104">
        <v>0</v>
      </c>
      <c r="CI25" s="104">
        <v>0</v>
      </c>
      <c r="CJ25" s="104">
        <v>0</v>
      </c>
      <c r="CK25" s="104">
        <v>0</v>
      </c>
      <c r="CL25" s="104">
        <v>0</v>
      </c>
      <c r="CM25" s="104">
        <v>0</v>
      </c>
      <c r="CN25" s="104">
        <v>0</v>
      </c>
      <c r="CO25" s="104">
        <v>0</v>
      </c>
      <c r="CP25" s="98">
        <v>30000</v>
      </c>
      <c r="CQ25" s="96" t="s">
        <v>516</v>
      </c>
      <c r="CR25" s="101"/>
      <c r="CS25" s="101">
        <v>0</v>
      </c>
      <c r="CT25" s="101">
        <v>0</v>
      </c>
      <c r="CU25" s="101">
        <v>0</v>
      </c>
      <c r="CV25" s="101">
        <v>0</v>
      </c>
      <c r="CW25" s="96" t="s">
        <v>369</v>
      </c>
      <c r="CX25" s="96" t="s">
        <v>490</v>
      </c>
      <c r="CY25" s="143">
        <v>61</v>
      </c>
      <c r="CZ25" s="96" t="s">
        <v>369</v>
      </c>
      <c r="DA25" s="96" t="s">
        <v>369</v>
      </c>
      <c r="DB25" s="96" t="s">
        <v>369</v>
      </c>
      <c r="DC25" s="99">
        <v>94</v>
      </c>
      <c r="DD25" s="99">
        <v>35</v>
      </c>
      <c r="DE25" s="99">
        <v>164.17</v>
      </c>
      <c r="DF25" s="99">
        <v>49.5</v>
      </c>
      <c r="DG25" s="99">
        <v>224</v>
      </c>
      <c r="DH25" s="99">
        <v>103</v>
      </c>
      <c r="DI25" s="99">
        <v>50</v>
      </c>
      <c r="DJ25" s="99">
        <v>4.2699999999999996</v>
      </c>
      <c r="DK25" s="99">
        <v>1.1000000000000001</v>
      </c>
      <c r="DL25" s="99">
        <v>0</v>
      </c>
      <c r="DM25" s="99">
        <v>0</v>
      </c>
      <c r="DN25" s="99">
        <v>0</v>
      </c>
      <c r="DO25" s="99">
        <v>0</v>
      </c>
      <c r="DP25" s="99">
        <v>0</v>
      </c>
      <c r="DQ25" s="99">
        <v>5.38</v>
      </c>
      <c r="DR25" s="99">
        <v>94.5</v>
      </c>
      <c r="DS25" s="99">
        <v>35</v>
      </c>
      <c r="DT25" s="99">
        <v>118</v>
      </c>
      <c r="DU25" s="99">
        <v>90</v>
      </c>
      <c r="DV25" s="99">
        <v>54</v>
      </c>
      <c r="DW25" s="99">
        <v>0</v>
      </c>
      <c r="DX25" s="99">
        <v>50</v>
      </c>
      <c r="DY25" s="99">
        <v>0</v>
      </c>
      <c r="DZ25" s="99">
        <v>0</v>
      </c>
      <c r="EA25" s="99">
        <v>0</v>
      </c>
      <c r="EB25" s="99">
        <v>0</v>
      </c>
      <c r="EC25" s="99">
        <v>0</v>
      </c>
      <c r="ED25" s="99">
        <v>0</v>
      </c>
      <c r="EE25" s="99">
        <v>0</v>
      </c>
      <c r="EF25" s="99">
        <v>0</v>
      </c>
      <c r="EG25" s="99">
        <v>112.25</v>
      </c>
      <c r="EH25" s="99">
        <v>37.1</v>
      </c>
      <c r="EI25" s="99">
        <v>137.25</v>
      </c>
      <c r="EJ25" s="99">
        <v>0</v>
      </c>
      <c r="EK25" s="99">
        <v>0</v>
      </c>
      <c r="EL25" s="99">
        <v>0</v>
      </c>
      <c r="EM25" s="99">
        <v>0</v>
      </c>
      <c r="EN25" s="99">
        <v>0</v>
      </c>
      <c r="EO25" s="99">
        <v>0</v>
      </c>
      <c r="EP25" s="99">
        <v>0</v>
      </c>
      <c r="EQ25" s="99">
        <v>0</v>
      </c>
      <c r="ER25" s="99">
        <v>0</v>
      </c>
      <c r="ES25" s="99">
        <v>0.25</v>
      </c>
      <c r="ET25" s="99">
        <v>0</v>
      </c>
      <c r="EU25" s="99">
        <v>0.1</v>
      </c>
      <c r="EV25" s="99">
        <v>0.1</v>
      </c>
      <c r="EW25" s="99">
        <v>0.05</v>
      </c>
      <c r="EX25" s="99">
        <v>0</v>
      </c>
      <c r="EY25" s="99">
        <v>0</v>
      </c>
      <c r="EZ25" s="99">
        <v>0.5</v>
      </c>
      <c r="FA25" s="99">
        <v>2.27</v>
      </c>
      <c r="FB25" s="99">
        <v>5.38</v>
      </c>
      <c r="FC25" s="99">
        <v>2.77</v>
      </c>
      <c r="FD25" s="99">
        <v>8.15</v>
      </c>
      <c r="FE25" s="99">
        <v>0.41</v>
      </c>
      <c r="FF25" s="99">
        <v>8.5500000000000007</v>
      </c>
      <c r="FG25" s="99">
        <v>9.24</v>
      </c>
      <c r="FH25" s="99">
        <v>9.58</v>
      </c>
      <c r="FI25" s="99">
        <v>0</v>
      </c>
      <c r="FJ25" s="99">
        <v>0</v>
      </c>
      <c r="FK25" s="99">
        <v>0.68</v>
      </c>
      <c r="FL25" s="103">
        <v>8.0000000000000071E-2</v>
      </c>
      <c r="FM25" s="99">
        <v>0.68</v>
      </c>
      <c r="FN25" s="103">
        <v>8.0000000000000071E-2</v>
      </c>
      <c r="FO25" s="99">
        <v>1.03</v>
      </c>
      <c r="FP25" s="103">
        <v>0.12000000000000001</v>
      </c>
      <c r="FQ25" s="99">
        <v>1.03</v>
      </c>
      <c r="FR25" s="103">
        <v>0.12000000000000001</v>
      </c>
      <c r="FT25" s="96" t="s">
        <v>23</v>
      </c>
      <c r="FU25" s="96" t="s">
        <v>33</v>
      </c>
      <c r="FY25" s="96">
        <v>77</v>
      </c>
      <c r="GA25" s="96">
        <v>0</v>
      </c>
      <c r="GB25" s="96">
        <v>77</v>
      </c>
      <c r="GC25" s="96">
        <v>77</v>
      </c>
      <c r="GD25" s="96">
        <v>0</v>
      </c>
      <c r="GE25" s="96">
        <v>0</v>
      </c>
      <c r="GF25" s="96">
        <v>0</v>
      </c>
      <c r="GG25" s="96">
        <v>0</v>
      </c>
      <c r="GH25" s="96">
        <v>0</v>
      </c>
      <c r="GI25" s="96">
        <v>0</v>
      </c>
    </row>
    <row r="26" spans="1:191" x14ac:dyDescent="0.35">
      <c r="A26" s="96" t="s">
        <v>486</v>
      </c>
      <c r="B26" s="97">
        <v>0.6575347222222222</v>
      </c>
      <c r="C26" s="96">
        <v>91963</v>
      </c>
      <c r="D26" s="96" t="s">
        <v>528</v>
      </c>
      <c r="G26" s="100" t="s">
        <v>488</v>
      </c>
      <c r="H26" s="96" t="s">
        <v>489</v>
      </c>
      <c r="I26" s="96" t="s">
        <v>490</v>
      </c>
      <c r="J26" s="96" t="s">
        <v>527</v>
      </c>
      <c r="K26" s="98"/>
      <c r="L26" s="101">
        <v>24</v>
      </c>
      <c r="M26" s="101">
        <v>39.369999999999997</v>
      </c>
      <c r="N26" s="101">
        <v>24.1</v>
      </c>
      <c r="O26" s="101">
        <v>39.369999999999997</v>
      </c>
      <c r="P26" s="102">
        <v>117</v>
      </c>
      <c r="Q26" s="101">
        <v>117</v>
      </c>
      <c r="R26" s="98">
        <v>0</v>
      </c>
      <c r="S26" s="98">
        <v>0</v>
      </c>
      <c r="T26" s="98">
        <v>0</v>
      </c>
      <c r="U26" s="98">
        <v>0</v>
      </c>
      <c r="V26" s="98" t="s">
        <v>24</v>
      </c>
      <c r="W26" s="98">
        <v>0</v>
      </c>
      <c r="X26" s="98">
        <v>0</v>
      </c>
      <c r="Y26" s="98">
        <v>0</v>
      </c>
      <c r="Z26" s="103">
        <v>0.8</v>
      </c>
      <c r="AA26" s="103">
        <v>0.2</v>
      </c>
      <c r="AB26" s="103">
        <v>0</v>
      </c>
      <c r="AC26" s="103">
        <v>0</v>
      </c>
      <c r="AD26" s="103">
        <v>0</v>
      </c>
      <c r="AE26" s="103">
        <v>0</v>
      </c>
      <c r="AF26" s="103">
        <v>0</v>
      </c>
      <c r="AG26" s="101">
        <v>93.600000000000009</v>
      </c>
      <c r="AH26" s="101">
        <v>23.400000000000002</v>
      </c>
      <c r="AI26" s="101">
        <v>0</v>
      </c>
      <c r="AJ26" s="101">
        <v>0</v>
      </c>
      <c r="AK26" s="101">
        <v>0</v>
      </c>
      <c r="AL26" s="101">
        <v>0</v>
      </c>
      <c r="AM26" s="101">
        <v>0</v>
      </c>
      <c r="AN26" s="103">
        <v>0</v>
      </c>
      <c r="AO26" s="103">
        <v>0</v>
      </c>
      <c r="AP26" s="103">
        <v>0</v>
      </c>
      <c r="AQ26" s="103">
        <v>0</v>
      </c>
      <c r="AR26" s="103">
        <v>0</v>
      </c>
      <c r="AS26" s="103">
        <v>0</v>
      </c>
      <c r="AT26" s="103">
        <v>0</v>
      </c>
      <c r="AU26" s="101">
        <v>0</v>
      </c>
      <c r="AV26" s="101">
        <v>0</v>
      </c>
      <c r="AW26" s="101">
        <v>0</v>
      </c>
      <c r="AX26" s="101">
        <v>0</v>
      </c>
      <c r="AY26" s="101">
        <v>0</v>
      </c>
      <c r="AZ26" s="101">
        <v>0</v>
      </c>
      <c r="BA26" s="101">
        <v>0</v>
      </c>
      <c r="BB26" s="103">
        <v>0</v>
      </c>
      <c r="BC26" s="103">
        <v>0</v>
      </c>
      <c r="BD26" s="103">
        <v>0</v>
      </c>
      <c r="BE26" s="101">
        <v>0</v>
      </c>
      <c r="BF26" s="101">
        <v>0</v>
      </c>
      <c r="BG26" s="101">
        <v>0</v>
      </c>
      <c r="BH26" s="101">
        <v>2.2000000000000002</v>
      </c>
      <c r="BI26" s="101">
        <v>1.346705306584</v>
      </c>
      <c r="BJ26" s="96">
        <v>0</v>
      </c>
      <c r="BK26" s="96">
        <v>0</v>
      </c>
      <c r="BL26" s="96">
        <v>0</v>
      </c>
      <c r="BM26" s="101">
        <v>0</v>
      </c>
      <c r="BN26" s="101">
        <v>0</v>
      </c>
      <c r="BO26" s="101">
        <v>0</v>
      </c>
      <c r="BP26" s="101">
        <v>0</v>
      </c>
      <c r="BQ26" s="101">
        <v>0</v>
      </c>
      <c r="BR26" s="101">
        <v>0</v>
      </c>
      <c r="BS26" s="101">
        <v>0</v>
      </c>
      <c r="BT26" s="104">
        <v>0</v>
      </c>
      <c r="BU26" s="104">
        <v>0</v>
      </c>
      <c r="BV26" s="104">
        <v>0</v>
      </c>
      <c r="BW26" s="104">
        <v>0</v>
      </c>
      <c r="BX26" s="104">
        <v>0</v>
      </c>
      <c r="BY26" s="104">
        <v>0</v>
      </c>
      <c r="BZ26" s="104">
        <v>0</v>
      </c>
      <c r="CA26" s="104">
        <v>0</v>
      </c>
      <c r="CB26" s="104">
        <v>0</v>
      </c>
      <c r="CC26" s="104">
        <v>0</v>
      </c>
      <c r="CD26" s="104">
        <v>0</v>
      </c>
      <c r="CE26" s="104">
        <v>0</v>
      </c>
      <c r="CF26" s="104">
        <v>0</v>
      </c>
      <c r="CG26" s="104">
        <v>0</v>
      </c>
      <c r="CH26" s="104">
        <v>0</v>
      </c>
      <c r="CI26" s="104">
        <v>0</v>
      </c>
      <c r="CJ26" s="104">
        <v>0</v>
      </c>
      <c r="CK26" s="104">
        <v>0</v>
      </c>
      <c r="CL26" s="104">
        <v>0</v>
      </c>
      <c r="CM26" s="104">
        <v>0</v>
      </c>
      <c r="CN26" s="104">
        <v>0</v>
      </c>
      <c r="CO26" s="104">
        <v>0</v>
      </c>
      <c r="CP26" s="98">
        <v>30000</v>
      </c>
      <c r="CQ26" s="96" t="s">
        <v>516</v>
      </c>
      <c r="CR26" s="101"/>
      <c r="CS26" s="101">
        <v>0</v>
      </c>
      <c r="CT26" s="101">
        <v>0</v>
      </c>
      <c r="CU26" s="101">
        <v>0</v>
      </c>
      <c r="CV26" s="101">
        <v>0</v>
      </c>
      <c r="CW26" s="96" t="s">
        <v>369</v>
      </c>
      <c r="CX26" s="96" t="s">
        <v>490</v>
      </c>
      <c r="CY26" s="143">
        <v>61</v>
      </c>
      <c r="CZ26" s="96" t="s">
        <v>369</v>
      </c>
      <c r="DA26" s="96" t="s">
        <v>369</v>
      </c>
      <c r="DB26" s="96" t="s">
        <v>369</v>
      </c>
      <c r="DC26" s="99">
        <v>94</v>
      </c>
      <c r="DD26" s="99">
        <v>35</v>
      </c>
      <c r="DE26" s="99">
        <v>164.17</v>
      </c>
      <c r="DF26" s="99">
        <v>49.5</v>
      </c>
      <c r="DG26" s="99">
        <v>224</v>
      </c>
      <c r="DH26" s="99">
        <v>103</v>
      </c>
      <c r="DI26" s="99">
        <v>50</v>
      </c>
      <c r="DJ26" s="99">
        <v>8.8000000000000007</v>
      </c>
      <c r="DK26" s="99">
        <v>0.82</v>
      </c>
      <c r="DL26" s="99">
        <v>0</v>
      </c>
      <c r="DM26" s="99">
        <v>0</v>
      </c>
      <c r="DN26" s="99">
        <v>0</v>
      </c>
      <c r="DO26" s="99">
        <v>0</v>
      </c>
      <c r="DP26" s="99">
        <v>0</v>
      </c>
      <c r="DQ26" s="99">
        <v>9.6199999999999992</v>
      </c>
      <c r="DR26" s="99">
        <v>94.5</v>
      </c>
      <c r="DS26" s="99">
        <v>35</v>
      </c>
      <c r="DT26" s="99">
        <v>118</v>
      </c>
      <c r="DU26" s="99">
        <v>90</v>
      </c>
      <c r="DV26" s="99">
        <v>54</v>
      </c>
      <c r="DW26" s="99">
        <v>0</v>
      </c>
      <c r="DX26" s="99">
        <v>50</v>
      </c>
      <c r="DY26" s="99">
        <v>0</v>
      </c>
      <c r="DZ26" s="99">
        <v>0</v>
      </c>
      <c r="EA26" s="99">
        <v>0</v>
      </c>
      <c r="EB26" s="99">
        <v>0</v>
      </c>
      <c r="EC26" s="99">
        <v>0</v>
      </c>
      <c r="ED26" s="99">
        <v>0</v>
      </c>
      <c r="EE26" s="99">
        <v>0</v>
      </c>
      <c r="EF26" s="99">
        <v>0</v>
      </c>
      <c r="EG26" s="99">
        <v>112.25</v>
      </c>
      <c r="EH26" s="99">
        <v>37.1</v>
      </c>
      <c r="EI26" s="99">
        <v>137.25</v>
      </c>
      <c r="EJ26" s="99">
        <v>0</v>
      </c>
      <c r="EK26" s="99">
        <v>0</v>
      </c>
      <c r="EL26" s="99">
        <v>0</v>
      </c>
      <c r="EM26" s="99">
        <v>0</v>
      </c>
      <c r="EN26" s="99">
        <v>0</v>
      </c>
      <c r="EO26" s="99">
        <v>0</v>
      </c>
      <c r="EP26" s="99">
        <v>0</v>
      </c>
      <c r="EQ26" s="99">
        <v>0</v>
      </c>
      <c r="ER26" s="99">
        <v>0</v>
      </c>
      <c r="ES26" s="99">
        <v>0.25</v>
      </c>
      <c r="ET26" s="99">
        <v>0</v>
      </c>
      <c r="EU26" s="99">
        <v>0.1</v>
      </c>
      <c r="EV26" s="99">
        <v>0.1</v>
      </c>
      <c r="EW26" s="99">
        <v>0.05</v>
      </c>
      <c r="EX26" s="99">
        <v>0</v>
      </c>
      <c r="EY26" s="99">
        <v>0</v>
      </c>
      <c r="EZ26" s="99">
        <v>0.5</v>
      </c>
      <c r="FA26" s="99">
        <v>3.45</v>
      </c>
      <c r="FB26" s="99">
        <v>9.6199999999999992</v>
      </c>
      <c r="FC26" s="99">
        <v>3.95</v>
      </c>
      <c r="FD26" s="99">
        <v>13.57</v>
      </c>
      <c r="FE26" s="99">
        <v>0.68</v>
      </c>
      <c r="FF26" s="99">
        <v>14.25</v>
      </c>
      <c r="FG26" s="99">
        <v>15.39</v>
      </c>
      <c r="FH26" s="99">
        <v>15.96</v>
      </c>
      <c r="FI26" s="99">
        <v>0</v>
      </c>
      <c r="FJ26" s="99">
        <v>0</v>
      </c>
      <c r="FK26" s="99">
        <v>1.1399999999999999</v>
      </c>
      <c r="FL26" s="103">
        <v>7.9999999999999988E-2</v>
      </c>
      <c r="FM26" s="99">
        <v>1.1399999999999999</v>
      </c>
      <c r="FN26" s="103">
        <v>7.9999999999999988E-2</v>
      </c>
      <c r="FO26" s="99">
        <v>1.71</v>
      </c>
      <c r="FP26" s="103">
        <v>0.12000000000000004</v>
      </c>
      <c r="FQ26" s="99">
        <v>1.71</v>
      </c>
      <c r="FR26" s="103">
        <v>0.12000000000000004</v>
      </c>
      <c r="FT26" s="96" t="s">
        <v>23</v>
      </c>
      <c r="FU26" s="96" t="s">
        <v>33</v>
      </c>
      <c r="FY26" s="96">
        <v>117</v>
      </c>
      <c r="GA26" s="96">
        <v>0</v>
      </c>
      <c r="GB26" s="96">
        <v>117</v>
      </c>
      <c r="GC26" s="96">
        <v>117</v>
      </c>
      <c r="GD26" s="96">
        <v>0</v>
      </c>
      <c r="GE26" s="96">
        <v>0</v>
      </c>
      <c r="GF26" s="96">
        <v>0</v>
      </c>
      <c r="GG26" s="96">
        <v>0</v>
      </c>
      <c r="GH26" s="96">
        <v>0</v>
      </c>
      <c r="GI26" s="96">
        <v>0</v>
      </c>
    </row>
    <row r="27" spans="1:191" x14ac:dyDescent="0.35">
      <c r="B27" s="97"/>
      <c r="G27" s="100"/>
      <c r="K27" s="98"/>
      <c r="L27" s="101"/>
      <c r="M27" s="101"/>
      <c r="N27" s="101"/>
      <c r="O27" s="101"/>
      <c r="P27" s="102"/>
      <c r="Q27" s="101"/>
      <c r="R27" s="98"/>
      <c r="S27" s="98"/>
      <c r="T27" s="98"/>
      <c r="U27" s="98"/>
      <c r="V27" s="98"/>
      <c r="W27" s="98"/>
      <c r="X27" s="98"/>
      <c r="Y27" s="98"/>
      <c r="Z27" s="103"/>
      <c r="AA27" s="103"/>
      <c r="AB27" s="103"/>
      <c r="AC27" s="103"/>
      <c r="AD27" s="103"/>
      <c r="AE27" s="103"/>
      <c r="AF27" s="103"/>
      <c r="AG27" s="101"/>
      <c r="AH27" s="101"/>
      <c r="AI27" s="101"/>
      <c r="AJ27" s="101"/>
      <c r="AK27" s="101"/>
      <c r="AL27" s="101"/>
      <c r="AM27" s="101"/>
      <c r="AN27" s="103"/>
      <c r="AO27" s="103"/>
      <c r="AP27" s="103"/>
      <c r="AQ27" s="103"/>
      <c r="AR27" s="103"/>
      <c r="AS27" s="103"/>
      <c r="AT27" s="103"/>
      <c r="AU27" s="101"/>
      <c r="AV27" s="101"/>
      <c r="AW27" s="101"/>
      <c r="AX27" s="101"/>
      <c r="AY27" s="101"/>
      <c r="AZ27" s="101"/>
      <c r="BA27" s="101"/>
      <c r="BB27" s="103"/>
      <c r="BC27" s="103"/>
      <c r="BD27" s="103"/>
      <c r="BE27" s="101"/>
      <c r="BF27" s="101"/>
      <c r="BG27" s="101"/>
      <c r="BH27" s="101"/>
      <c r="BI27" s="101"/>
      <c r="BM27" s="101"/>
      <c r="BN27" s="101"/>
      <c r="BO27" s="101"/>
      <c r="BP27" s="101"/>
      <c r="BQ27" s="101"/>
      <c r="BR27" s="101"/>
      <c r="BS27" s="101"/>
      <c r="BT27" s="104"/>
      <c r="BU27" s="104"/>
      <c r="BV27" s="104"/>
      <c r="BW27" s="104"/>
      <c r="BX27" s="104"/>
      <c r="BY27" s="104"/>
      <c r="BZ27" s="104"/>
      <c r="CA27" s="104"/>
      <c r="CB27" s="104"/>
      <c r="CC27" s="104"/>
      <c r="CD27" s="104"/>
      <c r="CE27" s="104"/>
      <c r="CF27" s="104"/>
      <c r="CG27" s="104"/>
      <c r="CH27" s="104"/>
      <c r="CI27" s="104"/>
      <c r="CJ27" s="104"/>
      <c r="CK27" s="104"/>
      <c r="CL27" s="104"/>
      <c r="CM27" s="104"/>
      <c r="CN27" s="104"/>
      <c r="CO27" s="104"/>
      <c r="CP27" s="98"/>
      <c r="CR27" s="101"/>
      <c r="CS27" s="101"/>
      <c r="CT27" s="101"/>
      <c r="CU27" s="101"/>
      <c r="CV27" s="101"/>
      <c r="FL27" s="103"/>
      <c r="FN27" s="103"/>
      <c r="FP27" s="103"/>
      <c r="FR27" s="103"/>
    </row>
    <row r="28" spans="1:191" x14ac:dyDescent="0.35">
      <c r="B28" s="97"/>
      <c r="G28" s="100"/>
      <c r="K28" s="98"/>
      <c r="L28" s="101"/>
      <c r="M28" s="101"/>
      <c r="N28" s="101"/>
      <c r="O28" s="101"/>
      <c r="P28" s="102"/>
      <c r="Q28" s="101"/>
      <c r="R28" s="98"/>
      <c r="S28" s="98"/>
      <c r="T28" s="98"/>
      <c r="U28" s="98"/>
      <c r="V28" s="98"/>
      <c r="W28" s="98"/>
      <c r="X28" s="98"/>
      <c r="Y28" s="98"/>
      <c r="Z28" s="103"/>
      <c r="AA28" s="103"/>
      <c r="AB28" s="103"/>
      <c r="AC28" s="103"/>
      <c r="AD28" s="103"/>
      <c r="AE28" s="103"/>
      <c r="AF28" s="103"/>
      <c r="AG28" s="101"/>
      <c r="AH28" s="101"/>
      <c r="AI28" s="101"/>
      <c r="AJ28" s="101"/>
      <c r="AK28" s="101"/>
      <c r="AL28" s="101"/>
      <c r="AM28" s="101"/>
      <c r="AN28" s="103"/>
      <c r="AO28" s="103"/>
      <c r="AP28" s="103"/>
      <c r="AQ28" s="103"/>
      <c r="AR28" s="103"/>
      <c r="AS28" s="103"/>
      <c r="AT28" s="103"/>
      <c r="AU28" s="101"/>
      <c r="AV28" s="101"/>
      <c r="AW28" s="101"/>
      <c r="AX28" s="101"/>
      <c r="AY28" s="101"/>
      <c r="AZ28" s="101"/>
      <c r="BA28" s="101"/>
      <c r="BB28" s="103"/>
      <c r="BC28" s="103"/>
      <c r="BD28" s="103"/>
      <c r="BE28" s="101"/>
      <c r="BF28" s="101"/>
      <c r="BG28" s="101"/>
      <c r="BH28" s="101"/>
      <c r="BI28" s="101"/>
      <c r="BM28" s="101"/>
      <c r="BN28" s="101"/>
      <c r="BO28" s="101"/>
      <c r="BP28" s="101"/>
      <c r="BQ28" s="101"/>
      <c r="BR28" s="101"/>
      <c r="BS28" s="101"/>
      <c r="BT28" s="104"/>
      <c r="BU28" s="104"/>
      <c r="BV28" s="104"/>
      <c r="BW28" s="104"/>
      <c r="BX28" s="104"/>
      <c r="BY28" s="104"/>
      <c r="BZ28" s="104"/>
      <c r="CA28" s="104"/>
      <c r="CB28" s="104"/>
      <c r="CC28" s="104"/>
      <c r="CD28" s="104"/>
      <c r="CE28" s="104"/>
      <c r="CF28" s="104"/>
      <c r="CG28" s="104"/>
      <c r="CH28" s="104"/>
      <c r="CI28" s="104"/>
      <c r="CJ28" s="104"/>
      <c r="CK28" s="104"/>
      <c r="CL28" s="104"/>
      <c r="CM28" s="104"/>
      <c r="CN28" s="104"/>
      <c r="CO28" s="104"/>
      <c r="CP28" s="98"/>
      <c r="CR28" s="101"/>
      <c r="CS28" s="101"/>
      <c r="CT28" s="101"/>
      <c r="CU28" s="101"/>
      <c r="CV28" s="101"/>
      <c r="FL28" s="103"/>
      <c r="FN28" s="103"/>
      <c r="FP28" s="103"/>
      <c r="FR28" s="103"/>
    </row>
    <row r="29" spans="1:191" x14ac:dyDescent="0.35">
      <c r="B29" s="97"/>
      <c r="G29" s="100"/>
      <c r="K29" s="98"/>
      <c r="L29" s="101"/>
      <c r="M29" s="101"/>
      <c r="N29" s="101"/>
      <c r="O29" s="101"/>
      <c r="P29" s="102"/>
      <c r="Q29" s="101"/>
      <c r="R29" s="98"/>
      <c r="S29" s="98"/>
      <c r="T29" s="98"/>
      <c r="U29" s="98"/>
      <c r="V29" s="98"/>
      <c r="W29" s="98"/>
      <c r="X29" s="98"/>
      <c r="Y29" s="98"/>
      <c r="Z29" s="103"/>
      <c r="AA29" s="103"/>
      <c r="AB29" s="103"/>
      <c r="AC29" s="103"/>
      <c r="AD29" s="103"/>
      <c r="AE29" s="103"/>
      <c r="AF29" s="103"/>
      <c r="AG29" s="101"/>
      <c r="AH29" s="101"/>
      <c r="AI29" s="101"/>
      <c r="AJ29" s="101"/>
      <c r="AK29" s="101"/>
      <c r="AL29" s="101"/>
      <c r="AM29" s="101"/>
      <c r="AN29" s="103"/>
      <c r="AO29" s="103"/>
      <c r="AP29" s="103"/>
      <c r="AQ29" s="103"/>
      <c r="AR29" s="103"/>
      <c r="AS29" s="103"/>
      <c r="AT29" s="103"/>
      <c r="AU29" s="101"/>
      <c r="AV29" s="101"/>
      <c r="AW29" s="101"/>
      <c r="AX29" s="101"/>
      <c r="AY29" s="101"/>
      <c r="AZ29" s="101"/>
      <c r="BA29" s="101"/>
      <c r="BB29" s="103"/>
      <c r="BC29" s="103"/>
      <c r="BD29" s="103"/>
      <c r="BE29" s="101"/>
      <c r="BF29" s="101"/>
      <c r="BG29" s="101"/>
      <c r="BH29" s="101"/>
      <c r="BI29" s="101"/>
      <c r="BM29" s="101"/>
      <c r="BN29" s="101"/>
      <c r="BO29" s="101"/>
      <c r="BP29" s="101"/>
      <c r="BQ29" s="101"/>
      <c r="BR29" s="101"/>
      <c r="BS29" s="101"/>
      <c r="BT29" s="104"/>
      <c r="BU29" s="104"/>
      <c r="BV29" s="104"/>
      <c r="BW29" s="104"/>
      <c r="BX29" s="104"/>
      <c r="BY29" s="104"/>
      <c r="BZ29" s="104"/>
      <c r="CA29" s="104"/>
      <c r="CB29" s="104"/>
      <c r="CC29" s="104"/>
      <c r="CD29" s="104"/>
      <c r="CE29" s="104"/>
      <c r="CF29" s="104"/>
      <c r="CG29" s="104"/>
      <c r="CH29" s="104"/>
      <c r="CI29" s="104"/>
      <c r="CJ29" s="104"/>
      <c r="CK29" s="104"/>
      <c r="CL29" s="104"/>
      <c r="CM29" s="104"/>
      <c r="CN29" s="104"/>
      <c r="CO29" s="104"/>
      <c r="CP29" s="98"/>
      <c r="CR29" s="101"/>
      <c r="CS29" s="101"/>
      <c r="CT29" s="101"/>
      <c r="CU29" s="101"/>
      <c r="CV29" s="101"/>
      <c r="FL29" s="103"/>
      <c r="FN29" s="103"/>
      <c r="FP29" s="103"/>
      <c r="FR29" s="103"/>
    </row>
    <row r="30" spans="1:191" x14ac:dyDescent="0.35">
      <c r="B30" s="97"/>
      <c r="G30" s="100"/>
      <c r="K30" s="98"/>
      <c r="L30" s="101"/>
      <c r="M30" s="101"/>
      <c r="N30" s="101"/>
      <c r="O30" s="101"/>
      <c r="P30" s="102"/>
      <c r="Q30" s="101"/>
      <c r="R30" s="98"/>
      <c r="S30" s="98"/>
      <c r="T30" s="98"/>
      <c r="U30" s="98"/>
      <c r="V30" s="98"/>
      <c r="W30" s="98"/>
      <c r="X30" s="98"/>
      <c r="Y30" s="98"/>
      <c r="Z30" s="103"/>
      <c r="AA30" s="103"/>
      <c r="AB30" s="103"/>
      <c r="AC30" s="103"/>
      <c r="AD30" s="103"/>
      <c r="AE30" s="103"/>
      <c r="AF30" s="103"/>
      <c r="AG30" s="101"/>
      <c r="AH30" s="101"/>
      <c r="AI30" s="101"/>
      <c r="AJ30" s="101"/>
      <c r="AK30" s="101"/>
      <c r="AL30" s="101"/>
      <c r="AM30" s="101"/>
      <c r="AN30" s="103"/>
      <c r="AO30" s="103"/>
      <c r="AP30" s="103"/>
      <c r="AQ30" s="103"/>
      <c r="AR30" s="103"/>
      <c r="AS30" s="103"/>
      <c r="AT30" s="103"/>
      <c r="AU30" s="101"/>
      <c r="AV30" s="101"/>
      <c r="AW30" s="101"/>
      <c r="AX30" s="101"/>
      <c r="AY30" s="101"/>
      <c r="AZ30" s="101"/>
      <c r="BA30" s="101"/>
      <c r="BB30" s="103"/>
      <c r="BC30" s="103"/>
      <c r="BD30" s="103"/>
      <c r="BE30" s="101"/>
      <c r="BF30" s="101"/>
      <c r="BG30" s="101"/>
      <c r="BH30" s="101"/>
      <c r="BI30" s="101"/>
      <c r="BM30" s="101"/>
      <c r="BN30" s="101"/>
      <c r="BO30" s="101"/>
      <c r="BP30" s="101"/>
      <c r="BQ30" s="101"/>
      <c r="BR30" s="101"/>
      <c r="BS30" s="101"/>
      <c r="BT30" s="104"/>
      <c r="BU30" s="104"/>
      <c r="BV30" s="104"/>
      <c r="BW30" s="104"/>
      <c r="BX30" s="104"/>
      <c r="BY30" s="104"/>
      <c r="BZ30" s="104"/>
      <c r="CA30" s="104"/>
      <c r="CB30" s="104"/>
      <c r="CC30" s="104"/>
      <c r="CD30" s="104"/>
      <c r="CE30" s="104"/>
      <c r="CF30" s="104"/>
      <c r="CG30" s="104"/>
      <c r="CH30" s="104"/>
      <c r="CI30" s="104"/>
      <c r="CJ30" s="104"/>
      <c r="CK30" s="104"/>
      <c r="CL30" s="104"/>
      <c r="CM30" s="104"/>
      <c r="CN30" s="104"/>
      <c r="CO30" s="104"/>
      <c r="CP30" s="98"/>
      <c r="CR30" s="101"/>
      <c r="CS30" s="101"/>
      <c r="CT30" s="101"/>
      <c r="CU30" s="101"/>
      <c r="CV30" s="101"/>
      <c r="FL30" s="103"/>
      <c r="FN30" s="103"/>
      <c r="FP30" s="103"/>
      <c r="FR30" s="103"/>
    </row>
    <row r="31" spans="1:191" x14ac:dyDescent="0.35">
      <c r="B31" s="97"/>
      <c r="G31" s="100"/>
      <c r="K31" s="98"/>
      <c r="L31" s="101"/>
      <c r="M31" s="101"/>
      <c r="N31" s="101"/>
      <c r="O31" s="101"/>
      <c r="P31" s="102"/>
      <c r="Q31" s="101"/>
      <c r="R31" s="98"/>
      <c r="S31" s="98"/>
      <c r="T31" s="98"/>
      <c r="U31" s="98"/>
      <c r="V31" s="98"/>
      <c r="W31" s="98"/>
      <c r="X31" s="98"/>
      <c r="Y31" s="98"/>
      <c r="Z31" s="103"/>
      <c r="AA31" s="103"/>
      <c r="AB31" s="103"/>
      <c r="AC31" s="103"/>
      <c r="AD31" s="103"/>
      <c r="AE31" s="103"/>
      <c r="AF31" s="103"/>
      <c r="AG31" s="101"/>
      <c r="AH31" s="101"/>
      <c r="AI31" s="101"/>
      <c r="AJ31" s="101"/>
      <c r="AK31" s="101"/>
      <c r="AL31" s="101"/>
      <c r="AM31" s="101"/>
      <c r="AN31" s="103"/>
      <c r="AO31" s="103"/>
      <c r="AP31" s="103"/>
      <c r="AQ31" s="103"/>
      <c r="AR31" s="103"/>
      <c r="AS31" s="103"/>
      <c r="AT31" s="103"/>
      <c r="AU31" s="101"/>
      <c r="AV31" s="101"/>
      <c r="AW31" s="101"/>
      <c r="AX31" s="101"/>
      <c r="AY31" s="101"/>
      <c r="AZ31" s="101"/>
      <c r="BA31" s="101"/>
      <c r="BB31" s="103"/>
      <c r="BC31" s="103"/>
      <c r="BD31" s="103"/>
      <c r="BE31" s="101"/>
      <c r="BF31" s="101"/>
      <c r="BG31" s="101"/>
      <c r="BH31" s="101"/>
      <c r="BI31" s="101"/>
      <c r="BM31" s="101"/>
      <c r="BN31" s="101"/>
      <c r="BO31" s="101"/>
      <c r="BP31" s="101"/>
      <c r="BQ31" s="101"/>
      <c r="BR31" s="101"/>
      <c r="BS31" s="101"/>
      <c r="BT31" s="104"/>
      <c r="BU31" s="104"/>
      <c r="BV31" s="104"/>
      <c r="BW31" s="104"/>
      <c r="BX31" s="104"/>
      <c r="BY31" s="104"/>
      <c r="BZ31" s="104"/>
      <c r="CA31" s="104"/>
      <c r="CB31" s="104"/>
      <c r="CC31" s="104"/>
      <c r="CD31" s="104"/>
      <c r="CE31" s="104"/>
      <c r="CF31" s="104"/>
      <c r="CG31" s="104"/>
      <c r="CH31" s="104"/>
      <c r="CI31" s="104"/>
      <c r="CJ31" s="104"/>
      <c r="CK31" s="104"/>
      <c r="CL31" s="104"/>
      <c r="CM31" s="104"/>
      <c r="CN31" s="104"/>
      <c r="CO31" s="104"/>
      <c r="CP31" s="98"/>
      <c r="CR31" s="101"/>
      <c r="CS31" s="101"/>
      <c r="CT31" s="101"/>
      <c r="CU31" s="101"/>
      <c r="CV31" s="101"/>
      <c r="FL31" s="103"/>
      <c r="FN31" s="103"/>
      <c r="FP31" s="103"/>
      <c r="FR31" s="103"/>
    </row>
    <row r="32" spans="1:191" x14ac:dyDescent="0.35">
      <c r="B32" s="97"/>
      <c r="G32" s="100"/>
      <c r="K32" s="98"/>
      <c r="L32" s="101"/>
      <c r="M32" s="101"/>
      <c r="N32" s="101"/>
      <c r="O32" s="101"/>
      <c r="P32" s="102"/>
      <c r="Q32" s="101"/>
      <c r="R32" s="98"/>
      <c r="S32" s="98"/>
      <c r="T32" s="98"/>
      <c r="U32" s="98"/>
      <c r="V32" s="98"/>
      <c r="W32" s="98"/>
      <c r="X32" s="98"/>
      <c r="Y32" s="98"/>
      <c r="Z32" s="103"/>
      <c r="AA32" s="103"/>
      <c r="AB32" s="103"/>
      <c r="AC32" s="103"/>
      <c r="AD32" s="103"/>
      <c r="AE32" s="103"/>
      <c r="AF32" s="103"/>
      <c r="AG32" s="101"/>
      <c r="AH32" s="101"/>
      <c r="AI32" s="101"/>
      <c r="AJ32" s="101"/>
      <c r="AK32" s="101"/>
      <c r="AL32" s="101"/>
      <c r="AM32" s="101"/>
      <c r="AN32" s="103"/>
      <c r="AO32" s="103"/>
      <c r="AP32" s="103"/>
      <c r="AQ32" s="103"/>
      <c r="AR32" s="103"/>
      <c r="AS32" s="103"/>
      <c r="AT32" s="103"/>
      <c r="AU32" s="101"/>
      <c r="AV32" s="101"/>
      <c r="AW32" s="101"/>
      <c r="AX32" s="101"/>
      <c r="AY32" s="101"/>
      <c r="AZ32" s="101"/>
      <c r="BA32" s="101"/>
      <c r="BB32" s="103"/>
      <c r="BC32" s="103"/>
      <c r="BD32" s="103"/>
      <c r="BE32" s="101"/>
      <c r="BF32" s="101"/>
      <c r="BG32" s="101"/>
      <c r="BH32" s="101"/>
      <c r="BI32" s="101"/>
      <c r="BM32" s="101"/>
      <c r="BN32" s="101"/>
      <c r="BO32" s="101"/>
      <c r="BP32" s="101"/>
      <c r="BQ32" s="101"/>
      <c r="BR32" s="101"/>
      <c r="BS32" s="101"/>
      <c r="BT32" s="104"/>
      <c r="BU32" s="104"/>
      <c r="BV32" s="104"/>
      <c r="BW32" s="104"/>
      <c r="BX32" s="104"/>
      <c r="BY32" s="104"/>
      <c r="BZ32" s="104"/>
      <c r="CA32" s="104"/>
      <c r="CB32" s="104"/>
      <c r="CC32" s="104"/>
      <c r="CD32" s="104"/>
      <c r="CE32" s="104"/>
      <c r="CF32" s="104"/>
      <c r="CG32" s="104"/>
      <c r="CH32" s="104"/>
      <c r="CI32" s="104"/>
      <c r="CJ32" s="104"/>
      <c r="CK32" s="104"/>
      <c r="CL32" s="104"/>
      <c r="CM32" s="104"/>
      <c r="CN32" s="104"/>
      <c r="CO32" s="104"/>
      <c r="CP32" s="98"/>
      <c r="CR32" s="101"/>
      <c r="CS32" s="101"/>
      <c r="CT32" s="101"/>
      <c r="CU32" s="101"/>
      <c r="CV32" s="101"/>
      <c r="FL32" s="103"/>
      <c r="FN32" s="103"/>
      <c r="FP32" s="103"/>
      <c r="FR32" s="103"/>
    </row>
    <row r="33" spans="2:174" x14ac:dyDescent="0.35">
      <c r="B33" s="97"/>
      <c r="G33" s="100"/>
      <c r="K33" s="98"/>
      <c r="L33" s="101"/>
      <c r="M33" s="101"/>
      <c r="N33" s="101"/>
      <c r="O33" s="101"/>
      <c r="P33" s="102"/>
      <c r="Q33" s="101"/>
      <c r="R33" s="98"/>
      <c r="S33" s="98"/>
      <c r="T33" s="98"/>
      <c r="U33" s="98"/>
      <c r="V33" s="98"/>
      <c r="W33" s="98"/>
      <c r="X33" s="98"/>
      <c r="Y33" s="98"/>
      <c r="Z33" s="103"/>
      <c r="AA33" s="103"/>
      <c r="AB33" s="103"/>
      <c r="AC33" s="103"/>
      <c r="AD33" s="103"/>
      <c r="AE33" s="103"/>
      <c r="AF33" s="103"/>
      <c r="AG33" s="101"/>
      <c r="AH33" s="101"/>
      <c r="AI33" s="101"/>
      <c r="AJ33" s="101"/>
      <c r="AK33" s="101"/>
      <c r="AL33" s="101"/>
      <c r="AM33" s="101"/>
      <c r="AN33" s="103"/>
      <c r="AO33" s="103"/>
      <c r="AP33" s="103"/>
      <c r="AQ33" s="103"/>
      <c r="AR33" s="103"/>
      <c r="AS33" s="103"/>
      <c r="AT33" s="103"/>
      <c r="AU33" s="101"/>
      <c r="AV33" s="101"/>
      <c r="AW33" s="101"/>
      <c r="AX33" s="101"/>
      <c r="AY33" s="101"/>
      <c r="AZ33" s="101"/>
      <c r="BA33" s="101"/>
      <c r="BB33" s="103"/>
      <c r="BC33" s="103"/>
      <c r="BD33" s="103"/>
      <c r="BE33" s="101"/>
      <c r="BF33" s="101"/>
      <c r="BG33" s="101"/>
      <c r="BH33" s="101"/>
      <c r="BI33" s="101"/>
      <c r="BM33" s="101"/>
      <c r="BN33" s="101"/>
      <c r="BO33" s="101"/>
      <c r="BP33" s="101"/>
      <c r="BQ33" s="101"/>
      <c r="BR33" s="101"/>
      <c r="BS33" s="101"/>
      <c r="BT33" s="104"/>
      <c r="BU33" s="104"/>
      <c r="BV33" s="104"/>
      <c r="BW33" s="104"/>
      <c r="BX33" s="104"/>
      <c r="BY33" s="104"/>
      <c r="BZ33" s="104"/>
      <c r="CA33" s="104"/>
      <c r="CB33" s="104"/>
      <c r="CC33" s="104"/>
      <c r="CD33" s="104"/>
      <c r="CE33" s="104"/>
      <c r="CF33" s="104"/>
      <c r="CG33" s="104"/>
      <c r="CH33" s="104"/>
      <c r="CI33" s="104"/>
      <c r="CJ33" s="104"/>
      <c r="CK33" s="104"/>
      <c r="CL33" s="104"/>
      <c r="CM33" s="104"/>
      <c r="CN33" s="104"/>
      <c r="CO33" s="104"/>
      <c r="CP33" s="98"/>
      <c r="CR33" s="101"/>
      <c r="CS33" s="101"/>
      <c r="CT33" s="101"/>
      <c r="CU33" s="101"/>
      <c r="CV33" s="101"/>
      <c r="FL33" s="103"/>
      <c r="FN33" s="103"/>
      <c r="FP33" s="103"/>
      <c r="FR33" s="103"/>
    </row>
    <row r="34" spans="2:174" x14ac:dyDescent="0.35">
      <c r="B34" s="97"/>
      <c r="G34" s="100"/>
      <c r="K34" s="98"/>
      <c r="L34" s="101"/>
      <c r="M34" s="101"/>
      <c r="N34" s="101"/>
      <c r="O34" s="101"/>
      <c r="P34" s="102"/>
      <c r="Q34" s="101"/>
      <c r="R34" s="98"/>
      <c r="S34" s="98"/>
      <c r="T34" s="98"/>
      <c r="U34" s="98"/>
      <c r="V34" s="98"/>
      <c r="W34" s="98"/>
      <c r="X34" s="98"/>
      <c r="Y34" s="98"/>
      <c r="Z34" s="103"/>
      <c r="AA34" s="103"/>
      <c r="AB34" s="103"/>
      <c r="AC34" s="103"/>
      <c r="AD34" s="103"/>
      <c r="AE34" s="103"/>
      <c r="AF34" s="103"/>
      <c r="AG34" s="101"/>
      <c r="AH34" s="101"/>
      <c r="AI34" s="101"/>
      <c r="AJ34" s="101"/>
      <c r="AK34" s="101"/>
      <c r="AL34" s="101"/>
      <c r="AM34" s="101"/>
      <c r="AN34" s="103"/>
      <c r="AO34" s="103"/>
      <c r="AP34" s="103"/>
      <c r="AQ34" s="103"/>
      <c r="AR34" s="103"/>
      <c r="AS34" s="103"/>
      <c r="AT34" s="103"/>
      <c r="AU34" s="101"/>
      <c r="AV34" s="101"/>
      <c r="AW34" s="101"/>
      <c r="AX34" s="101"/>
      <c r="AY34" s="101"/>
      <c r="AZ34" s="101"/>
      <c r="BA34" s="101"/>
      <c r="BB34" s="103"/>
      <c r="BC34" s="103"/>
      <c r="BD34" s="103"/>
      <c r="BE34" s="101"/>
      <c r="BF34" s="101"/>
      <c r="BG34" s="101"/>
      <c r="BH34" s="101"/>
      <c r="BI34" s="101"/>
      <c r="BM34" s="101"/>
      <c r="BN34" s="101"/>
      <c r="BO34" s="101"/>
      <c r="BP34" s="101"/>
      <c r="BQ34" s="101"/>
      <c r="BR34" s="101"/>
      <c r="BS34" s="101"/>
      <c r="BT34" s="104"/>
      <c r="BU34" s="104"/>
      <c r="BV34" s="104"/>
      <c r="BW34" s="104"/>
      <c r="BX34" s="104"/>
      <c r="BY34" s="104"/>
      <c r="BZ34" s="104"/>
      <c r="CA34" s="104"/>
      <c r="CB34" s="104"/>
      <c r="CC34" s="104"/>
      <c r="CD34" s="104"/>
      <c r="CE34" s="104"/>
      <c r="CF34" s="104"/>
      <c r="CG34" s="104"/>
      <c r="CH34" s="104"/>
      <c r="CI34" s="104"/>
      <c r="CJ34" s="104"/>
      <c r="CK34" s="104"/>
      <c r="CL34" s="104"/>
      <c r="CM34" s="104"/>
      <c r="CN34" s="104"/>
      <c r="CO34" s="104"/>
      <c r="CP34" s="98"/>
      <c r="CR34" s="101"/>
      <c r="CS34" s="101"/>
      <c r="CT34" s="101"/>
      <c r="CU34" s="101"/>
      <c r="CV34" s="101"/>
      <c r="FL34" s="103"/>
      <c r="FN34" s="103"/>
      <c r="FP34" s="103"/>
      <c r="FR34" s="103"/>
    </row>
    <row r="35" spans="2:174" x14ac:dyDescent="0.35">
      <c r="B35" s="97"/>
      <c r="G35" s="100"/>
      <c r="K35" s="98"/>
      <c r="L35" s="101"/>
      <c r="M35" s="101"/>
      <c r="N35" s="101"/>
      <c r="O35" s="101"/>
      <c r="P35" s="102"/>
      <c r="Q35" s="101"/>
      <c r="R35" s="98"/>
      <c r="S35" s="98"/>
      <c r="T35" s="98"/>
      <c r="U35" s="98"/>
      <c r="V35" s="98"/>
      <c r="W35" s="98"/>
      <c r="X35" s="98"/>
      <c r="Y35" s="98"/>
      <c r="Z35" s="103"/>
      <c r="AA35" s="103"/>
      <c r="AB35" s="103"/>
      <c r="AC35" s="103"/>
      <c r="AD35" s="103"/>
      <c r="AE35" s="103"/>
      <c r="AF35" s="103"/>
      <c r="AG35" s="101"/>
      <c r="AH35" s="101"/>
      <c r="AI35" s="101"/>
      <c r="AJ35" s="101"/>
      <c r="AK35" s="101"/>
      <c r="AL35" s="101"/>
      <c r="AM35" s="101"/>
      <c r="AN35" s="103"/>
      <c r="AO35" s="103"/>
      <c r="AP35" s="103"/>
      <c r="AQ35" s="103"/>
      <c r="AR35" s="103"/>
      <c r="AS35" s="103"/>
      <c r="AT35" s="103"/>
      <c r="AU35" s="101"/>
      <c r="AV35" s="101"/>
      <c r="AW35" s="101"/>
      <c r="AX35" s="101"/>
      <c r="AY35" s="101"/>
      <c r="AZ35" s="101"/>
      <c r="BA35" s="101"/>
      <c r="BB35" s="103"/>
      <c r="BC35" s="103"/>
      <c r="BD35" s="103"/>
      <c r="BE35" s="101"/>
      <c r="BF35" s="101"/>
      <c r="BG35" s="101"/>
      <c r="BH35" s="101"/>
      <c r="BI35" s="101"/>
      <c r="BM35" s="101"/>
      <c r="BN35" s="101"/>
      <c r="BO35" s="101"/>
      <c r="BP35" s="101"/>
      <c r="BQ35" s="101"/>
      <c r="BR35" s="101"/>
      <c r="BS35" s="101"/>
      <c r="BT35" s="104"/>
      <c r="BU35" s="104"/>
      <c r="BV35" s="104"/>
      <c r="BW35" s="104"/>
      <c r="BX35" s="104"/>
      <c r="BY35" s="104"/>
      <c r="BZ35" s="104"/>
      <c r="CA35" s="104"/>
      <c r="CB35" s="104"/>
      <c r="CC35" s="104"/>
      <c r="CD35" s="104"/>
      <c r="CE35" s="104"/>
      <c r="CF35" s="104"/>
      <c r="CG35" s="104"/>
      <c r="CH35" s="104"/>
      <c r="CI35" s="104"/>
      <c r="CJ35" s="104"/>
      <c r="CK35" s="104"/>
      <c r="CL35" s="104"/>
      <c r="CM35" s="104"/>
      <c r="CN35" s="104"/>
      <c r="CO35" s="104"/>
      <c r="CP35" s="98"/>
      <c r="CR35" s="101"/>
      <c r="CS35" s="101"/>
      <c r="CT35" s="101"/>
      <c r="CU35" s="101"/>
      <c r="CV35" s="101"/>
      <c r="FL35" s="103"/>
      <c r="FN35" s="103"/>
      <c r="FP35" s="103"/>
      <c r="FR35" s="103"/>
    </row>
    <row r="36" spans="2:174" x14ac:dyDescent="0.35">
      <c r="B36" s="97"/>
      <c r="G36" s="100"/>
      <c r="K36" s="98"/>
      <c r="L36" s="101"/>
      <c r="M36" s="101"/>
      <c r="N36" s="101"/>
      <c r="O36" s="101"/>
      <c r="P36" s="102"/>
      <c r="Q36" s="101"/>
      <c r="R36" s="98"/>
      <c r="S36" s="98"/>
      <c r="T36" s="98"/>
      <c r="U36" s="98"/>
      <c r="V36" s="98"/>
      <c r="W36" s="98"/>
      <c r="X36" s="98"/>
      <c r="Y36" s="98"/>
      <c r="Z36" s="103"/>
      <c r="AA36" s="103"/>
      <c r="AB36" s="103"/>
      <c r="AC36" s="103"/>
      <c r="AD36" s="103"/>
      <c r="AE36" s="103"/>
      <c r="AF36" s="103"/>
      <c r="AG36" s="101"/>
      <c r="AH36" s="101"/>
      <c r="AI36" s="101"/>
      <c r="AJ36" s="101"/>
      <c r="AK36" s="101"/>
      <c r="AL36" s="101"/>
      <c r="AM36" s="101"/>
      <c r="AN36" s="103"/>
      <c r="AO36" s="103"/>
      <c r="AP36" s="103"/>
      <c r="AQ36" s="103"/>
      <c r="AR36" s="103"/>
      <c r="AS36" s="103"/>
      <c r="AT36" s="103"/>
      <c r="AU36" s="101"/>
      <c r="AV36" s="101"/>
      <c r="AW36" s="101"/>
      <c r="AX36" s="101"/>
      <c r="AY36" s="101"/>
      <c r="AZ36" s="101"/>
      <c r="BA36" s="101"/>
      <c r="BB36" s="103"/>
      <c r="BC36" s="103"/>
      <c r="BD36" s="103"/>
      <c r="BE36" s="101"/>
      <c r="BF36" s="101"/>
      <c r="BG36" s="101"/>
      <c r="BH36" s="101"/>
      <c r="BI36" s="101"/>
      <c r="BM36" s="101"/>
      <c r="BN36" s="101"/>
      <c r="BO36" s="101"/>
      <c r="BP36" s="101"/>
      <c r="BQ36" s="101"/>
      <c r="BR36" s="101"/>
      <c r="BS36" s="101"/>
      <c r="BT36" s="104"/>
      <c r="BU36" s="104"/>
      <c r="BV36" s="104"/>
      <c r="BW36" s="104"/>
      <c r="BX36" s="104"/>
      <c r="BY36" s="104"/>
      <c r="BZ36" s="104"/>
      <c r="CA36" s="104"/>
      <c r="CB36" s="104"/>
      <c r="CC36" s="104"/>
      <c r="CD36" s="104"/>
      <c r="CE36" s="104"/>
      <c r="CF36" s="104"/>
      <c r="CG36" s="104"/>
      <c r="CH36" s="104"/>
      <c r="CI36" s="104"/>
      <c r="CJ36" s="104"/>
      <c r="CK36" s="104"/>
      <c r="CL36" s="104"/>
      <c r="CM36" s="104"/>
      <c r="CN36" s="104"/>
      <c r="CO36" s="104"/>
      <c r="CP36" s="98"/>
      <c r="CR36" s="101"/>
      <c r="CS36" s="101"/>
      <c r="CT36" s="101"/>
      <c r="CU36" s="101"/>
      <c r="CV36" s="101"/>
      <c r="FL36" s="103"/>
      <c r="FN36" s="103"/>
      <c r="FP36" s="103"/>
      <c r="FR36" s="103"/>
    </row>
    <row r="37" spans="2:174" x14ac:dyDescent="0.35">
      <c r="B37" s="97"/>
      <c r="G37" s="100"/>
      <c r="K37" s="98"/>
      <c r="L37" s="101"/>
      <c r="M37" s="101"/>
      <c r="N37" s="101"/>
      <c r="O37" s="101"/>
      <c r="P37" s="102"/>
      <c r="Q37" s="101"/>
      <c r="R37" s="98"/>
      <c r="S37" s="98"/>
      <c r="T37" s="98"/>
      <c r="U37" s="98"/>
      <c r="V37" s="98"/>
      <c r="W37" s="98"/>
      <c r="X37" s="98"/>
      <c r="Y37" s="98"/>
      <c r="Z37" s="103"/>
      <c r="AA37" s="103"/>
      <c r="AB37" s="103"/>
      <c r="AC37" s="103"/>
      <c r="AD37" s="103"/>
      <c r="AE37" s="103"/>
      <c r="AF37" s="103"/>
      <c r="AG37" s="101"/>
      <c r="AH37" s="101"/>
      <c r="AI37" s="101"/>
      <c r="AJ37" s="101"/>
      <c r="AK37" s="101"/>
      <c r="AL37" s="101"/>
      <c r="AM37" s="101"/>
      <c r="AN37" s="103"/>
      <c r="AO37" s="103"/>
      <c r="AP37" s="103"/>
      <c r="AQ37" s="103"/>
      <c r="AR37" s="103"/>
      <c r="AS37" s="103"/>
      <c r="AT37" s="103"/>
      <c r="AU37" s="101"/>
      <c r="AV37" s="101"/>
      <c r="AW37" s="101"/>
      <c r="AX37" s="101"/>
      <c r="AY37" s="101"/>
      <c r="AZ37" s="101"/>
      <c r="BA37" s="101"/>
      <c r="BB37" s="103"/>
      <c r="BC37" s="103"/>
      <c r="BD37" s="103"/>
      <c r="BE37" s="101"/>
      <c r="BF37" s="101"/>
      <c r="BG37" s="101"/>
      <c r="BH37" s="101"/>
      <c r="BI37" s="101"/>
      <c r="BM37" s="101"/>
      <c r="BN37" s="101"/>
      <c r="BO37" s="101"/>
      <c r="BP37" s="101"/>
      <c r="BQ37" s="101"/>
      <c r="BR37" s="101"/>
      <c r="BS37" s="101"/>
      <c r="BT37" s="104"/>
      <c r="BU37" s="104"/>
      <c r="BV37" s="104"/>
      <c r="BW37" s="104"/>
      <c r="BX37" s="104"/>
      <c r="BY37" s="104"/>
      <c r="BZ37" s="104"/>
      <c r="CA37" s="104"/>
      <c r="CB37" s="104"/>
      <c r="CC37" s="104"/>
      <c r="CD37" s="104"/>
      <c r="CE37" s="104"/>
      <c r="CF37" s="104"/>
      <c r="CG37" s="104"/>
      <c r="CH37" s="104"/>
      <c r="CI37" s="104"/>
      <c r="CJ37" s="104"/>
      <c r="CK37" s="104"/>
      <c r="CL37" s="104"/>
      <c r="CM37" s="104"/>
      <c r="CN37" s="104"/>
      <c r="CO37" s="104"/>
      <c r="CP37" s="98"/>
      <c r="CR37" s="101"/>
      <c r="CS37" s="101"/>
      <c r="CT37" s="101"/>
      <c r="CU37" s="101"/>
      <c r="CV37" s="101"/>
      <c r="FL37" s="103"/>
      <c r="FN37" s="103"/>
      <c r="FP37" s="103"/>
      <c r="FR37" s="103"/>
    </row>
    <row r="38" spans="2:174" x14ac:dyDescent="0.35">
      <c r="B38" s="97"/>
      <c r="G38" s="100"/>
      <c r="K38" s="98"/>
      <c r="L38" s="101"/>
      <c r="M38" s="101"/>
      <c r="N38" s="101"/>
      <c r="O38" s="101"/>
      <c r="P38" s="102"/>
      <c r="Q38" s="101"/>
      <c r="R38" s="98"/>
      <c r="S38" s="98"/>
      <c r="T38" s="98"/>
      <c r="U38" s="98"/>
      <c r="V38" s="98"/>
      <c r="W38" s="98"/>
      <c r="X38" s="98"/>
      <c r="Y38" s="98"/>
      <c r="Z38" s="103"/>
      <c r="AA38" s="103"/>
      <c r="AB38" s="103"/>
      <c r="AC38" s="103"/>
      <c r="AD38" s="103"/>
      <c r="AE38" s="103"/>
      <c r="AF38" s="103"/>
      <c r="AG38" s="101"/>
      <c r="AH38" s="101"/>
      <c r="AI38" s="101"/>
      <c r="AJ38" s="101"/>
      <c r="AK38" s="101"/>
      <c r="AL38" s="101"/>
      <c r="AM38" s="101"/>
      <c r="AN38" s="103"/>
      <c r="AO38" s="103"/>
      <c r="AP38" s="103"/>
      <c r="AQ38" s="103"/>
      <c r="AR38" s="103"/>
      <c r="AS38" s="103"/>
      <c r="AT38" s="103"/>
      <c r="AU38" s="101"/>
      <c r="AV38" s="101"/>
      <c r="AW38" s="101"/>
      <c r="AX38" s="101"/>
      <c r="AY38" s="101"/>
      <c r="AZ38" s="101"/>
      <c r="BA38" s="101"/>
      <c r="BB38" s="103"/>
      <c r="BC38" s="103"/>
      <c r="BD38" s="103"/>
      <c r="BE38" s="101"/>
      <c r="BF38" s="101"/>
      <c r="BG38" s="101"/>
      <c r="BH38" s="101"/>
      <c r="BI38" s="101"/>
      <c r="BM38" s="101"/>
      <c r="BN38" s="101"/>
      <c r="BO38" s="101"/>
      <c r="BP38" s="101"/>
      <c r="BQ38" s="101"/>
      <c r="BR38" s="101"/>
      <c r="BS38" s="101"/>
      <c r="BT38" s="104"/>
      <c r="BU38" s="104"/>
      <c r="BV38" s="104"/>
      <c r="BW38" s="104"/>
      <c r="BX38" s="104"/>
      <c r="BY38" s="104"/>
      <c r="BZ38" s="104"/>
      <c r="CA38" s="104"/>
      <c r="CB38" s="104"/>
      <c r="CC38" s="104"/>
      <c r="CD38" s="104"/>
      <c r="CE38" s="104"/>
      <c r="CF38" s="104"/>
      <c r="CG38" s="104"/>
      <c r="CH38" s="104"/>
      <c r="CI38" s="104"/>
      <c r="CJ38" s="104"/>
      <c r="CK38" s="104"/>
      <c r="CL38" s="104"/>
      <c r="CM38" s="104"/>
      <c r="CN38" s="104"/>
      <c r="CO38" s="104"/>
      <c r="CP38" s="98"/>
      <c r="CR38" s="101"/>
      <c r="CS38" s="101"/>
      <c r="CT38" s="101"/>
      <c r="CU38" s="101"/>
      <c r="CV38" s="101"/>
      <c r="FL38" s="103"/>
      <c r="FN38" s="103"/>
      <c r="FP38" s="103"/>
      <c r="FR38" s="103"/>
    </row>
    <row r="39" spans="2:174" x14ac:dyDescent="0.35">
      <c r="B39" s="97"/>
      <c r="G39" s="100"/>
      <c r="K39" s="98"/>
      <c r="L39" s="101"/>
      <c r="M39" s="101"/>
      <c r="N39" s="101"/>
      <c r="O39" s="101"/>
      <c r="P39" s="102"/>
      <c r="Q39" s="101"/>
      <c r="R39" s="98"/>
      <c r="S39" s="98"/>
      <c r="T39" s="98"/>
      <c r="U39" s="98"/>
      <c r="V39" s="98"/>
      <c r="W39" s="98"/>
      <c r="X39" s="98"/>
      <c r="Y39" s="98"/>
      <c r="Z39" s="103"/>
      <c r="AA39" s="103"/>
      <c r="AB39" s="103"/>
      <c r="AC39" s="103"/>
      <c r="AD39" s="103"/>
      <c r="AE39" s="103"/>
      <c r="AF39" s="103"/>
      <c r="AG39" s="101"/>
      <c r="AH39" s="101"/>
      <c r="AI39" s="101"/>
      <c r="AJ39" s="101"/>
      <c r="AK39" s="101"/>
      <c r="AL39" s="101"/>
      <c r="AM39" s="101"/>
      <c r="AN39" s="103"/>
      <c r="AO39" s="103"/>
      <c r="AP39" s="103"/>
      <c r="AQ39" s="103"/>
      <c r="AR39" s="103"/>
      <c r="AS39" s="103"/>
      <c r="AT39" s="103"/>
      <c r="AU39" s="101"/>
      <c r="AV39" s="101"/>
      <c r="AW39" s="101"/>
      <c r="AX39" s="101"/>
      <c r="AY39" s="101"/>
      <c r="AZ39" s="101"/>
      <c r="BA39" s="101"/>
      <c r="BB39" s="103"/>
      <c r="BC39" s="103"/>
      <c r="BD39" s="103"/>
      <c r="BE39" s="101"/>
      <c r="BF39" s="101"/>
      <c r="BG39" s="101"/>
      <c r="BH39" s="101"/>
      <c r="BI39" s="101"/>
      <c r="BM39" s="101"/>
      <c r="BN39" s="101"/>
      <c r="BO39" s="101"/>
      <c r="BP39" s="101"/>
      <c r="BQ39" s="101"/>
      <c r="BR39" s="101"/>
      <c r="BS39" s="101"/>
      <c r="BT39" s="104"/>
      <c r="BU39" s="104"/>
      <c r="BV39" s="104"/>
      <c r="BW39" s="104"/>
      <c r="BX39" s="104"/>
      <c r="BY39" s="104"/>
      <c r="BZ39" s="104"/>
      <c r="CA39" s="104"/>
      <c r="CB39" s="104"/>
      <c r="CC39" s="104"/>
      <c r="CD39" s="104"/>
      <c r="CE39" s="104"/>
      <c r="CF39" s="104"/>
      <c r="CG39" s="104"/>
      <c r="CH39" s="104"/>
      <c r="CI39" s="104"/>
      <c r="CJ39" s="104"/>
      <c r="CK39" s="104"/>
      <c r="CL39" s="104"/>
      <c r="CM39" s="104"/>
      <c r="CN39" s="104"/>
      <c r="CO39" s="104"/>
      <c r="CP39" s="98"/>
      <c r="CR39" s="101"/>
      <c r="CS39" s="101"/>
      <c r="CT39" s="101"/>
      <c r="CU39" s="101"/>
      <c r="CV39" s="101"/>
      <c r="FL39" s="103"/>
      <c r="FN39" s="103"/>
      <c r="FP39" s="103"/>
      <c r="FR39" s="103"/>
    </row>
    <row r="40" spans="2:174" x14ac:dyDescent="0.35">
      <c r="B40" s="97"/>
      <c r="G40" s="100"/>
      <c r="K40" s="98"/>
      <c r="L40" s="101"/>
      <c r="M40" s="101"/>
      <c r="N40" s="101"/>
      <c r="O40" s="101"/>
      <c r="P40" s="102"/>
      <c r="Q40" s="101"/>
      <c r="R40" s="98"/>
      <c r="S40" s="98"/>
      <c r="T40" s="98"/>
      <c r="U40" s="98"/>
      <c r="V40" s="98"/>
      <c r="W40" s="98"/>
      <c r="X40" s="98"/>
      <c r="Y40" s="98"/>
      <c r="Z40" s="103"/>
      <c r="AA40" s="103"/>
      <c r="AB40" s="103"/>
      <c r="AC40" s="103"/>
      <c r="AD40" s="103"/>
      <c r="AE40" s="103"/>
      <c r="AF40" s="103"/>
      <c r="AG40" s="101"/>
      <c r="AH40" s="101"/>
      <c r="AI40" s="101"/>
      <c r="AJ40" s="101"/>
      <c r="AK40" s="101"/>
      <c r="AL40" s="101"/>
      <c r="AM40" s="101"/>
      <c r="AN40" s="103"/>
      <c r="AO40" s="103"/>
      <c r="AP40" s="103"/>
      <c r="AQ40" s="103"/>
      <c r="AR40" s="103"/>
      <c r="AS40" s="103"/>
      <c r="AT40" s="103"/>
      <c r="AU40" s="101"/>
      <c r="AV40" s="101"/>
      <c r="AW40" s="101"/>
      <c r="AX40" s="101"/>
      <c r="AY40" s="101"/>
      <c r="AZ40" s="101"/>
      <c r="BA40" s="101"/>
      <c r="BB40" s="103"/>
      <c r="BC40" s="103"/>
      <c r="BD40" s="103"/>
      <c r="BE40" s="101"/>
      <c r="BF40" s="101"/>
      <c r="BG40" s="101"/>
      <c r="BH40" s="101"/>
      <c r="BI40" s="101"/>
      <c r="BM40" s="101"/>
      <c r="BN40" s="101"/>
      <c r="BO40" s="101"/>
      <c r="BP40" s="101"/>
      <c r="BQ40" s="101"/>
      <c r="BR40" s="101"/>
      <c r="BS40" s="101"/>
      <c r="BT40" s="104"/>
      <c r="BU40" s="104"/>
      <c r="BV40" s="104"/>
      <c r="BW40" s="104"/>
      <c r="BX40" s="104"/>
      <c r="BY40" s="104"/>
      <c r="BZ40" s="104"/>
      <c r="CA40" s="104"/>
      <c r="CB40" s="104"/>
      <c r="CC40" s="104"/>
      <c r="CD40" s="104"/>
      <c r="CE40" s="104"/>
      <c r="CF40" s="104"/>
      <c r="CG40" s="104"/>
      <c r="CH40" s="104"/>
      <c r="CI40" s="104"/>
      <c r="CJ40" s="104"/>
      <c r="CK40" s="104"/>
      <c r="CL40" s="104"/>
      <c r="CM40" s="104"/>
      <c r="CN40" s="104"/>
      <c r="CO40" s="104"/>
      <c r="CP40" s="98"/>
      <c r="CR40" s="101"/>
      <c r="CS40" s="101"/>
      <c r="CT40" s="101"/>
      <c r="CU40" s="101"/>
      <c r="CV40" s="101"/>
      <c r="FL40" s="103"/>
      <c r="FN40" s="103"/>
      <c r="FP40" s="103"/>
      <c r="FR40" s="103"/>
    </row>
    <row r="41" spans="2:174" x14ac:dyDescent="0.35">
      <c r="B41" s="97"/>
      <c r="G41" s="100"/>
      <c r="K41" s="98"/>
      <c r="L41" s="101"/>
      <c r="M41" s="101"/>
      <c r="N41" s="101"/>
      <c r="O41" s="101"/>
      <c r="P41" s="102"/>
      <c r="Q41" s="101"/>
      <c r="R41" s="98"/>
      <c r="S41" s="98"/>
      <c r="T41" s="98"/>
      <c r="U41" s="98"/>
      <c r="V41" s="98"/>
      <c r="W41" s="98"/>
      <c r="X41" s="98"/>
      <c r="Y41" s="98"/>
      <c r="Z41" s="103"/>
      <c r="AA41" s="103"/>
      <c r="AB41" s="103"/>
      <c r="AC41" s="103"/>
      <c r="AD41" s="103"/>
      <c r="AE41" s="103"/>
      <c r="AF41" s="103"/>
      <c r="AG41" s="101"/>
      <c r="AH41" s="101"/>
      <c r="AI41" s="101"/>
      <c r="AJ41" s="101"/>
      <c r="AK41" s="101"/>
      <c r="AL41" s="101"/>
      <c r="AM41" s="101"/>
      <c r="AN41" s="103"/>
      <c r="AO41" s="103"/>
      <c r="AP41" s="103"/>
      <c r="AQ41" s="103"/>
      <c r="AR41" s="103"/>
      <c r="AS41" s="103"/>
      <c r="AT41" s="103"/>
      <c r="AU41" s="101"/>
      <c r="AV41" s="101"/>
      <c r="AW41" s="101"/>
      <c r="AX41" s="101"/>
      <c r="AY41" s="101"/>
      <c r="AZ41" s="101"/>
      <c r="BA41" s="101"/>
      <c r="BB41" s="103"/>
      <c r="BC41" s="103"/>
      <c r="BD41" s="103"/>
      <c r="BE41" s="101"/>
      <c r="BF41" s="101"/>
      <c r="BG41" s="101"/>
      <c r="BH41" s="101"/>
      <c r="BI41" s="101"/>
      <c r="BM41" s="101"/>
      <c r="BN41" s="101"/>
      <c r="BO41" s="101"/>
      <c r="BP41" s="101"/>
      <c r="BQ41" s="101"/>
      <c r="BR41" s="101"/>
      <c r="BS41" s="101"/>
      <c r="BT41" s="104"/>
      <c r="BU41" s="104"/>
      <c r="BV41" s="104"/>
      <c r="BW41" s="104"/>
      <c r="BX41" s="104"/>
      <c r="BY41" s="104"/>
      <c r="BZ41" s="104"/>
      <c r="CA41" s="104"/>
      <c r="CB41" s="104"/>
      <c r="CC41" s="104"/>
      <c r="CD41" s="104"/>
      <c r="CE41" s="104"/>
      <c r="CF41" s="104"/>
      <c r="CG41" s="104"/>
      <c r="CH41" s="104"/>
      <c r="CI41" s="104"/>
      <c r="CJ41" s="104"/>
      <c r="CK41" s="104"/>
      <c r="CL41" s="104"/>
      <c r="CM41" s="104"/>
      <c r="CN41" s="104"/>
      <c r="CO41" s="104"/>
      <c r="CP41" s="98"/>
      <c r="CR41" s="101"/>
      <c r="CS41" s="101"/>
      <c r="CT41" s="101"/>
      <c r="CU41" s="101"/>
      <c r="CV41" s="101"/>
      <c r="FL41" s="103"/>
      <c r="FN41" s="103"/>
      <c r="FP41" s="103"/>
      <c r="FR41" s="103"/>
    </row>
    <row r="42" spans="2:174" x14ac:dyDescent="0.35">
      <c r="B42" s="97"/>
      <c r="G42" s="100"/>
      <c r="K42" s="98"/>
      <c r="L42" s="101"/>
      <c r="M42" s="101"/>
      <c r="N42" s="101"/>
      <c r="O42" s="101"/>
      <c r="P42" s="102"/>
      <c r="Q42" s="101"/>
      <c r="R42" s="98"/>
      <c r="S42" s="98"/>
      <c r="T42" s="98"/>
      <c r="U42" s="98"/>
      <c r="V42" s="98"/>
      <c r="W42" s="98"/>
      <c r="X42" s="98"/>
      <c r="Y42" s="98"/>
      <c r="Z42" s="103"/>
      <c r="AA42" s="103"/>
      <c r="AB42" s="103"/>
      <c r="AC42" s="103"/>
      <c r="AD42" s="103"/>
      <c r="AE42" s="103"/>
      <c r="AF42" s="103"/>
      <c r="AG42" s="101"/>
      <c r="AH42" s="101"/>
      <c r="AI42" s="101"/>
      <c r="AJ42" s="101"/>
      <c r="AK42" s="101"/>
      <c r="AL42" s="101"/>
      <c r="AM42" s="101"/>
      <c r="AN42" s="103"/>
      <c r="AO42" s="103"/>
      <c r="AP42" s="103"/>
      <c r="AQ42" s="103"/>
      <c r="AR42" s="103"/>
      <c r="AS42" s="103"/>
      <c r="AT42" s="103"/>
      <c r="AU42" s="101"/>
      <c r="AV42" s="101"/>
      <c r="AW42" s="101"/>
      <c r="AX42" s="101"/>
      <c r="AY42" s="101"/>
      <c r="AZ42" s="101"/>
      <c r="BA42" s="101"/>
      <c r="BB42" s="103"/>
      <c r="BC42" s="103"/>
      <c r="BD42" s="103"/>
      <c r="BE42" s="101"/>
      <c r="BF42" s="101"/>
      <c r="BG42" s="101"/>
      <c r="BH42" s="101"/>
      <c r="BI42" s="101"/>
      <c r="BM42" s="101"/>
      <c r="BN42" s="101"/>
      <c r="BO42" s="101"/>
      <c r="BP42" s="101"/>
      <c r="BQ42" s="101"/>
      <c r="BR42" s="101"/>
      <c r="BS42" s="101"/>
      <c r="BT42" s="104"/>
      <c r="BU42" s="104"/>
      <c r="BV42" s="104"/>
      <c r="BW42" s="104"/>
      <c r="BX42" s="104"/>
      <c r="BY42" s="104"/>
      <c r="BZ42" s="104"/>
      <c r="CA42" s="104"/>
      <c r="CB42" s="104"/>
      <c r="CC42" s="104"/>
      <c r="CD42" s="104"/>
      <c r="CE42" s="104"/>
      <c r="CF42" s="104"/>
      <c r="CG42" s="104"/>
      <c r="CH42" s="104"/>
      <c r="CI42" s="104"/>
      <c r="CJ42" s="104"/>
      <c r="CK42" s="104"/>
      <c r="CL42" s="104"/>
      <c r="CM42" s="104"/>
      <c r="CN42" s="104"/>
      <c r="CO42" s="104"/>
      <c r="CP42" s="98"/>
      <c r="CR42" s="101"/>
      <c r="CS42" s="101"/>
      <c r="CT42" s="101"/>
      <c r="CU42" s="101"/>
      <c r="CV42" s="101"/>
      <c r="FL42" s="103"/>
      <c r="FN42" s="103"/>
      <c r="FP42" s="103"/>
      <c r="FR42" s="103"/>
    </row>
    <row r="43" spans="2:174" x14ac:dyDescent="0.35">
      <c r="B43" s="97"/>
      <c r="G43" s="100"/>
      <c r="K43" s="98"/>
      <c r="L43" s="101"/>
      <c r="M43" s="101"/>
      <c r="N43" s="101"/>
      <c r="O43" s="101"/>
      <c r="P43" s="102"/>
      <c r="Q43" s="101"/>
      <c r="R43" s="98"/>
      <c r="S43" s="98"/>
      <c r="T43" s="98"/>
      <c r="U43" s="98"/>
      <c r="V43" s="98"/>
      <c r="W43" s="98"/>
      <c r="X43" s="98"/>
      <c r="Y43" s="98"/>
      <c r="Z43" s="103"/>
      <c r="AA43" s="103"/>
      <c r="AB43" s="103"/>
      <c r="AC43" s="103"/>
      <c r="AD43" s="103"/>
      <c r="AE43" s="103"/>
      <c r="AF43" s="103"/>
      <c r="AG43" s="101"/>
      <c r="AH43" s="101"/>
      <c r="AI43" s="101"/>
      <c r="AJ43" s="101"/>
      <c r="AK43" s="101"/>
      <c r="AL43" s="101"/>
      <c r="AM43" s="101"/>
      <c r="AN43" s="103"/>
      <c r="AO43" s="103"/>
      <c r="AP43" s="103"/>
      <c r="AQ43" s="103"/>
      <c r="AR43" s="103"/>
      <c r="AS43" s="103"/>
      <c r="AT43" s="103"/>
      <c r="AU43" s="101"/>
      <c r="AV43" s="101"/>
      <c r="AW43" s="101"/>
      <c r="AX43" s="101"/>
      <c r="AY43" s="101"/>
      <c r="AZ43" s="101"/>
      <c r="BA43" s="101"/>
      <c r="BB43" s="103"/>
      <c r="BC43" s="103"/>
      <c r="BD43" s="103"/>
      <c r="BE43" s="101"/>
      <c r="BF43" s="101"/>
      <c r="BG43" s="101"/>
      <c r="BH43" s="101"/>
      <c r="BI43" s="101"/>
      <c r="BM43" s="101"/>
      <c r="BN43" s="101"/>
      <c r="BO43" s="101"/>
      <c r="BP43" s="101"/>
      <c r="BQ43" s="101"/>
      <c r="BR43" s="101"/>
      <c r="BS43" s="101"/>
      <c r="BT43" s="104"/>
      <c r="BU43" s="104"/>
      <c r="BV43" s="104"/>
      <c r="BW43" s="104"/>
      <c r="BX43" s="104"/>
      <c r="BY43" s="104"/>
      <c r="BZ43" s="104"/>
      <c r="CA43" s="104"/>
      <c r="CB43" s="104"/>
      <c r="CC43" s="104"/>
      <c r="CD43" s="104"/>
      <c r="CE43" s="104"/>
      <c r="CF43" s="104"/>
      <c r="CG43" s="104"/>
      <c r="CH43" s="104"/>
      <c r="CI43" s="104"/>
      <c r="CJ43" s="104"/>
      <c r="CK43" s="104"/>
      <c r="CL43" s="104"/>
      <c r="CM43" s="104"/>
      <c r="CN43" s="104"/>
      <c r="CO43" s="104"/>
      <c r="CP43" s="98"/>
      <c r="CR43" s="101"/>
      <c r="CS43" s="101"/>
      <c r="CT43" s="101"/>
      <c r="CU43" s="101"/>
      <c r="CV43" s="101"/>
      <c r="FL43" s="103"/>
      <c r="FN43" s="103"/>
      <c r="FP43" s="103"/>
      <c r="FR43" s="103"/>
    </row>
    <row r="44" spans="2:174" x14ac:dyDescent="0.35">
      <c r="B44" s="97"/>
      <c r="G44" s="100"/>
      <c r="K44" s="98"/>
      <c r="L44" s="101"/>
      <c r="M44" s="101"/>
      <c r="N44" s="101"/>
      <c r="O44" s="101"/>
      <c r="P44" s="102"/>
      <c r="Q44" s="101"/>
      <c r="R44" s="98"/>
      <c r="S44" s="98"/>
      <c r="T44" s="98"/>
      <c r="U44" s="98"/>
      <c r="V44" s="98"/>
      <c r="W44" s="98"/>
      <c r="X44" s="98"/>
      <c r="Y44" s="98"/>
      <c r="Z44" s="103"/>
      <c r="AA44" s="103"/>
      <c r="AB44" s="103"/>
      <c r="AC44" s="103"/>
      <c r="AD44" s="103"/>
      <c r="AE44" s="103"/>
      <c r="AF44" s="103"/>
      <c r="AG44" s="101"/>
      <c r="AH44" s="101"/>
      <c r="AI44" s="101"/>
      <c r="AJ44" s="101"/>
      <c r="AK44" s="101"/>
      <c r="AL44" s="101"/>
      <c r="AM44" s="101"/>
      <c r="AN44" s="103"/>
      <c r="AO44" s="103"/>
      <c r="AP44" s="103"/>
      <c r="AQ44" s="103"/>
      <c r="AR44" s="103"/>
      <c r="AS44" s="103"/>
      <c r="AT44" s="103"/>
      <c r="AU44" s="101"/>
      <c r="AV44" s="101"/>
      <c r="AW44" s="101"/>
      <c r="AX44" s="101"/>
      <c r="AY44" s="101"/>
      <c r="AZ44" s="101"/>
      <c r="BA44" s="101"/>
      <c r="BB44" s="103"/>
      <c r="BC44" s="103"/>
      <c r="BD44" s="103"/>
      <c r="BE44" s="101"/>
      <c r="BF44" s="101"/>
      <c r="BG44" s="101"/>
      <c r="BH44" s="101"/>
      <c r="BI44" s="101"/>
      <c r="BM44" s="101"/>
      <c r="BN44" s="101"/>
      <c r="BO44" s="101"/>
      <c r="BP44" s="101"/>
      <c r="BQ44" s="101"/>
      <c r="BR44" s="101"/>
      <c r="BS44" s="101"/>
      <c r="BT44" s="104"/>
      <c r="BU44" s="104"/>
      <c r="BV44" s="104"/>
      <c r="BW44" s="104"/>
      <c r="BX44" s="104"/>
      <c r="BY44" s="104"/>
      <c r="BZ44" s="104"/>
      <c r="CA44" s="104"/>
      <c r="CB44" s="104"/>
      <c r="CC44" s="104"/>
      <c r="CD44" s="104"/>
      <c r="CE44" s="104"/>
      <c r="CF44" s="104"/>
      <c r="CG44" s="104"/>
      <c r="CH44" s="104"/>
      <c r="CI44" s="104"/>
      <c r="CJ44" s="104"/>
      <c r="CK44" s="104"/>
      <c r="CL44" s="104"/>
      <c r="CM44" s="104"/>
      <c r="CN44" s="104"/>
      <c r="CO44" s="104"/>
      <c r="CP44" s="98"/>
      <c r="CR44" s="101"/>
      <c r="CS44" s="101"/>
      <c r="CT44" s="101"/>
      <c r="CU44" s="101"/>
      <c r="CV44" s="101"/>
      <c r="FL44" s="103"/>
      <c r="FN44" s="103"/>
      <c r="FP44" s="103"/>
      <c r="FR44" s="103"/>
    </row>
    <row r="45" spans="2:174" x14ac:dyDescent="0.35">
      <c r="B45" s="97"/>
      <c r="G45" s="100"/>
      <c r="K45" s="98"/>
      <c r="L45" s="101"/>
      <c r="M45" s="101"/>
      <c r="N45" s="101"/>
      <c r="O45" s="101"/>
      <c r="P45" s="102"/>
      <c r="Q45" s="101"/>
      <c r="R45" s="98"/>
      <c r="S45" s="98"/>
      <c r="T45" s="98"/>
      <c r="U45" s="98"/>
      <c r="V45" s="98"/>
      <c r="W45" s="98"/>
      <c r="X45" s="98"/>
      <c r="Y45" s="98"/>
      <c r="Z45" s="103"/>
      <c r="AA45" s="103"/>
      <c r="AB45" s="103"/>
      <c r="AC45" s="103"/>
      <c r="AD45" s="103"/>
      <c r="AE45" s="103"/>
      <c r="AF45" s="103"/>
      <c r="AG45" s="101"/>
      <c r="AH45" s="101"/>
      <c r="AI45" s="101"/>
      <c r="AJ45" s="101"/>
      <c r="AK45" s="101"/>
      <c r="AL45" s="101"/>
      <c r="AM45" s="101"/>
      <c r="AN45" s="103"/>
      <c r="AO45" s="103"/>
      <c r="AP45" s="103"/>
      <c r="AQ45" s="103"/>
      <c r="AR45" s="103"/>
      <c r="AS45" s="103"/>
      <c r="AT45" s="103"/>
      <c r="AU45" s="101"/>
      <c r="AV45" s="101"/>
      <c r="AW45" s="101"/>
      <c r="AX45" s="101"/>
      <c r="AY45" s="101"/>
      <c r="AZ45" s="101"/>
      <c r="BA45" s="101"/>
      <c r="BB45" s="103"/>
      <c r="BC45" s="103"/>
      <c r="BD45" s="103"/>
      <c r="BE45" s="101"/>
      <c r="BF45" s="101"/>
      <c r="BG45" s="101"/>
      <c r="BH45" s="101"/>
      <c r="BI45" s="101"/>
      <c r="BM45" s="101"/>
      <c r="BN45" s="101"/>
      <c r="BO45" s="101"/>
      <c r="BP45" s="101"/>
      <c r="BQ45" s="101"/>
      <c r="BR45" s="101"/>
      <c r="BS45" s="101"/>
      <c r="BT45" s="104"/>
      <c r="BU45" s="104"/>
      <c r="BV45" s="104"/>
      <c r="BW45" s="104"/>
      <c r="BX45" s="104"/>
      <c r="BY45" s="104"/>
      <c r="BZ45" s="104"/>
      <c r="CA45" s="104"/>
      <c r="CB45" s="104"/>
      <c r="CC45" s="104"/>
      <c r="CD45" s="104"/>
      <c r="CE45" s="104"/>
      <c r="CF45" s="104"/>
      <c r="CG45" s="104"/>
      <c r="CH45" s="104"/>
      <c r="CI45" s="104"/>
      <c r="CJ45" s="104"/>
      <c r="CK45" s="104"/>
      <c r="CL45" s="104"/>
      <c r="CM45" s="104"/>
      <c r="CN45" s="104"/>
      <c r="CO45" s="104"/>
      <c r="CP45" s="98"/>
      <c r="CR45" s="101"/>
      <c r="CS45" s="101"/>
      <c r="CT45" s="101"/>
      <c r="CU45" s="101"/>
      <c r="CV45" s="101"/>
      <c r="FL45" s="103"/>
      <c r="FN45" s="103"/>
      <c r="FP45" s="103"/>
      <c r="FR45" s="103"/>
    </row>
    <row r="46" spans="2:174" x14ac:dyDescent="0.35">
      <c r="B46" s="97"/>
      <c r="G46" s="100"/>
      <c r="K46" s="98"/>
      <c r="L46" s="101"/>
      <c r="M46" s="101"/>
      <c r="N46" s="101"/>
      <c r="O46" s="101"/>
      <c r="P46" s="102"/>
      <c r="Q46" s="101"/>
      <c r="R46" s="98"/>
      <c r="S46" s="98"/>
      <c r="T46" s="98"/>
      <c r="U46" s="98"/>
      <c r="V46" s="98"/>
      <c r="W46" s="98"/>
      <c r="X46" s="98"/>
      <c r="Y46" s="98"/>
      <c r="Z46" s="103"/>
      <c r="AA46" s="103"/>
      <c r="AB46" s="103"/>
      <c r="AC46" s="103"/>
      <c r="AD46" s="103"/>
      <c r="AE46" s="103"/>
      <c r="AF46" s="103"/>
      <c r="AG46" s="101"/>
      <c r="AH46" s="101"/>
      <c r="AI46" s="101"/>
      <c r="AJ46" s="101"/>
      <c r="AK46" s="101"/>
      <c r="AL46" s="101"/>
      <c r="AM46" s="101"/>
      <c r="AN46" s="103"/>
      <c r="AO46" s="103"/>
      <c r="AP46" s="103"/>
      <c r="AQ46" s="103"/>
      <c r="AR46" s="103"/>
      <c r="AS46" s="103"/>
      <c r="AT46" s="103"/>
      <c r="AU46" s="101"/>
      <c r="AV46" s="101"/>
      <c r="AW46" s="101"/>
      <c r="AX46" s="101"/>
      <c r="AY46" s="101"/>
      <c r="AZ46" s="101"/>
      <c r="BA46" s="101"/>
      <c r="BB46" s="103"/>
      <c r="BC46" s="103"/>
      <c r="BD46" s="103"/>
      <c r="BE46" s="101"/>
      <c r="BF46" s="101"/>
      <c r="BG46" s="101"/>
      <c r="BH46" s="101"/>
      <c r="BI46" s="101"/>
      <c r="BM46" s="101"/>
      <c r="BN46" s="101"/>
      <c r="BO46" s="101"/>
      <c r="BP46" s="101"/>
      <c r="BQ46" s="101"/>
      <c r="BR46" s="101"/>
      <c r="BS46" s="101"/>
      <c r="BT46" s="104"/>
      <c r="BU46" s="104"/>
      <c r="BV46" s="104"/>
      <c r="BW46" s="104"/>
      <c r="BX46" s="104"/>
      <c r="BY46" s="104"/>
      <c r="BZ46" s="104"/>
      <c r="CA46" s="104"/>
      <c r="CB46" s="104"/>
      <c r="CC46" s="104"/>
      <c r="CD46" s="104"/>
      <c r="CE46" s="104"/>
      <c r="CF46" s="104"/>
      <c r="CG46" s="104"/>
      <c r="CH46" s="104"/>
      <c r="CI46" s="104"/>
      <c r="CJ46" s="104"/>
      <c r="CK46" s="104"/>
      <c r="CL46" s="104"/>
      <c r="CM46" s="104"/>
      <c r="CN46" s="104"/>
      <c r="CO46" s="104"/>
      <c r="CP46" s="98"/>
      <c r="CR46" s="101"/>
      <c r="CS46" s="101"/>
      <c r="CT46" s="101"/>
      <c r="CU46" s="101"/>
      <c r="CV46" s="101"/>
      <c r="FL46" s="103"/>
      <c r="FN46" s="103"/>
      <c r="FP46" s="103"/>
      <c r="FR46" s="103"/>
    </row>
    <row r="47" spans="2:174" x14ac:dyDescent="0.35">
      <c r="B47" s="97"/>
      <c r="G47" s="100"/>
      <c r="K47" s="98"/>
      <c r="L47" s="101"/>
      <c r="M47" s="101"/>
      <c r="N47" s="101"/>
      <c r="O47" s="101"/>
      <c r="P47" s="102"/>
      <c r="Q47" s="101"/>
      <c r="R47" s="98"/>
      <c r="S47" s="98"/>
      <c r="T47" s="98"/>
      <c r="U47" s="98"/>
      <c r="V47" s="98"/>
      <c r="W47" s="98"/>
      <c r="X47" s="98"/>
      <c r="Y47" s="98"/>
      <c r="Z47" s="103"/>
      <c r="AA47" s="103"/>
      <c r="AB47" s="103"/>
      <c r="AC47" s="103"/>
      <c r="AD47" s="103"/>
      <c r="AE47" s="103"/>
      <c r="AF47" s="103"/>
      <c r="AG47" s="101"/>
      <c r="AH47" s="101"/>
      <c r="AI47" s="101"/>
      <c r="AJ47" s="101"/>
      <c r="AK47" s="101"/>
      <c r="AL47" s="101"/>
      <c r="AM47" s="101"/>
      <c r="AN47" s="103"/>
      <c r="AO47" s="103"/>
      <c r="AP47" s="103"/>
      <c r="AQ47" s="103"/>
      <c r="AR47" s="103"/>
      <c r="AS47" s="103"/>
      <c r="AT47" s="103"/>
      <c r="AU47" s="101"/>
      <c r="AV47" s="101"/>
      <c r="AW47" s="101"/>
      <c r="AX47" s="101"/>
      <c r="AY47" s="101"/>
      <c r="AZ47" s="101"/>
      <c r="BA47" s="101"/>
      <c r="BB47" s="103"/>
      <c r="BC47" s="103"/>
      <c r="BD47" s="103"/>
      <c r="BE47" s="101"/>
      <c r="BF47" s="101"/>
      <c r="BG47" s="101"/>
      <c r="BH47" s="101"/>
      <c r="BI47" s="101"/>
      <c r="BM47" s="101"/>
      <c r="BN47" s="101"/>
      <c r="BO47" s="101"/>
      <c r="BP47" s="101"/>
      <c r="BQ47" s="101"/>
      <c r="BR47" s="101"/>
      <c r="BS47" s="101"/>
      <c r="BT47" s="104"/>
      <c r="BU47" s="104"/>
      <c r="BV47" s="104"/>
      <c r="BW47" s="104"/>
      <c r="BX47" s="104"/>
      <c r="BY47" s="104"/>
      <c r="BZ47" s="104"/>
      <c r="CA47" s="104"/>
      <c r="CB47" s="104"/>
      <c r="CC47" s="104"/>
      <c r="CD47" s="104"/>
      <c r="CE47" s="104"/>
      <c r="CF47" s="104"/>
      <c r="CG47" s="104"/>
      <c r="CH47" s="104"/>
      <c r="CI47" s="104"/>
      <c r="CJ47" s="104"/>
      <c r="CK47" s="104"/>
      <c r="CL47" s="104"/>
      <c r="CM47" s="104"/>
      <c r="CN47" s="104"/>
      <c r="CO47" s="104"/>
      <c r="CP47" s="98"/>
      <c r="CR47" s="101"/>
      <c r="CS47" s="101"/>
      <c r="CT47" s="101"/>
      <c r="CU47" s="101"/>
      <c r="CV47" s="101"/>
      <c r="FL47" s="103"/>
      <c r="FN47" s="103"/>
      <c r="FP47" s="103"/>
      <c r="FR47" s="103"/>
    </row>
    <row r="48" spans="2:174" x14ac:dyDescent="0.35">
      <c r="B48" s="97"/>
      <c r="G48" s="100"/>
      <c r="K48" s="98"/>
      <c r="L48" s="101"/>
      <c r="M48" s="101"/>
      <c r="N48" s="101"/>
      <c r="O48" s="101"/>
      <c r="P48" s="102"/>
      <c r="Q48" s="101"/>
      <c r="R48" s="98"/>
      <c r="S48" s="98"/>
      <c r="T48" s="98"/>
      <c r="U48" s="98"/>
      <c r="V48" s="98"/>
      <c r="W48" s="98"/>
      <c r="X48" s="98"/>
      <c r="Y48" s="98"/>
      <c r="Z48" s="103"/>
      <c r="AA48" s="103"/>
      <c r="AB48" s="103"/>
      <c r="AC48" s="103"/>
      <c r="AD48" s="103"/>
      <c r="AE48" s="103"/>
      <c r="AF48" s="103"/>
      <c r="AG48" s="101"/>
      <c r="AH48" s="101"/>
      <c r="AI48" s="101"/>
      <c r="AJ48" s="101"/>
      <c r="AK48" s="101"/>
      <c r="AL48" s="101"/>
      <c r="AM48" s="101"/>
      <c r="AN48" s="103"/>
      <c r="AO48" s="103"/>
      <c r="AP48" s="103"/>
      <c r="AQ48" s="103"/>
      <c r="AR48" s="103"/>
      <c r="AS48" s="103"/>
      <c r="AT48" s="103"/>
      <c r="AU48" s="101"/>
      <c r="AV48" s="101"/>
      <c r="AW48" s="101"/>
      <c r="AX48" s="101"/>
      <c r="AY48" s="101"/>
      <c r="AZ48" s="101"/>
      <c r="BA48" s="101"/>
      <c r="BB48" s="103"/>
      <c r="BC48" s="103"/>
      <c r="BD48" s="103"/>
      <c r="BE48" s="101"/>
      <c r="BF48" s="101"/>
      <c r="BG48" s="101"/>
      <c r="BH48" s="101"/>
      <c r="BI48" s="101"/>
      <c r="BM48" s="101"/>
      <c r="BN48" s="101"/>
      <c r="BO48" s="101"/>
      <c r="BP48" s="101"/>
      <c r="BQ48" s="101"/>
      <c r="BR48" s="101"/>
      <c r="BS48" s="101"/>
      <c r="BT48" s="104"/>
      <c r="BU48" s="104"/>
      <c r="BV48" s="104"/>
      <c r="BW48" s="104"/>
      <c r="BX48" s="104"/>
      <c r="BY48" s="104"/>
      <c r="BZ48" s="104"/>
      <c r="CA48" s="104"/>
      <c r="CB48" s="104"/>
      <c r="CC48" s="104"/>
      <c r="CD48" s="104"/>
      <c r="CE48" s="104"/>
      <c r="CF48" s="104"/>
      <c r="CG48" s="104"/>
      <c r="CH48" s="104"/>
      <c r="CI48" s="104"/>
      <c r="CJ48" s="104"/>
      <c r="CK48" s="104"/>
      <c r="CL48" s="104"/>
      <c r="CM48" s="104"/>
      <c r="CN48" s="104"/>
      <c r="CO48" s="104"/>
      <c r="CP48" s="98"/>
      <c r="CR48" s="101"/>
      <c r="CS48" s="101"/>
      <c r="CT48" s="101"/>
      <c r="CU48" s="101"/>
      <c r="CV48" s="101"/>
      <c r="FL48" s="103"/>
      <c r="FN48" s="103"/>
      <c r="FP48" s="103"/>
      <c r="FR48" s="103"/>
    </row>
    <row r="49" spans="2:174" x14ac:dyDescent="0.35">
      <c r="B49" s="97"/>
      <c r="G49" s="100"/>
      <c r="K49" s="98"/>
      <c r="L49" s="101"/>
      <c r="M49" s="101"/>
      <c r="N49" s="101"/>
      <c r="O49" s="101"/>
      <c r="P49" s="102"/>
      <c r="Q49" s="101"/>
      <c r="R49" s="98"/>
      <c r="S49" s="98"/>
      <c r="T49" s="98"/>
      <c r="U49" s="98"/>
      <c r="V49" s="98"/>
      <c r="W49" s="98"/>
      <c r="X49" s="98"/>
      <c r="Y49" s="98"/>
      <c r="Z49" s="103"/>
      <c r="AA49" s="103"/>
      <c r="AB49" s="103"/>
      <c r="AC49" s="103"/>
      <c r="AD49" s="103"/>
      <c r="AE49" s="103"/>
      <c r="AF49" s="103"/>
      <c r="AG49" s="101"/>
      <c r="AH49" s="101"/>
      <c r="AI49" s="101"/>
      <c r="AJ49" s="101"/>
      <c r="AK49" s="101"/>
      <c r="AL49" s="101"/>
      <c r="AM49" s="101"/>
      <c r="AN49" s="103"/>
      <c r="AO49" s="103"/>
      <c r="AP49" s="103"/>
      <c r="AQ49" s="103"/>
      <c r="AR49" s="103"/>
      <c r="AS49" s="103"/>
      <c r="AT49" s="103"/>
      <c r="AU49" s="101"/>
      <c r="AV49" s="101"/>
      <c r="AW49" s="101"/>
      <c r="AX49" s="101"/>
      <c r="AY49" s="101"/>
      <c r="AZ49" s="101"/>
      <c r="BA49" s="101"/>
      <c r="BB49" s="103"/>
      <c r="BC49" s="103"/>
      <c r="BD49" s="103"/>
      <c r="BE49" s="101"/>
      <c r="BF49" s="101"/>
      <c r="BG49" s="101"/>
      <c r="BH49" s="101"/>
      <c r="BI49" s="101"/>
      <c r="BM49" s="101"/>
      <c r="BN49" s="101"/>
      <c r="BO49" s="101"/>
      <c r="BP49" s="101"/>
      <c r="BQ49" s="101"/>
      <c r="BR49" s="101"/>
      <c r="BS49" s="101"/>
      <c r="BT49" s="104"/>
      <c r="BU49" s="104"/>
      <c r="BV49" s="104"/>
      <c r="BW49" s="104"/>
      <c r="BX49" s="104"/>
      <c r="BY49" s="104"/>
      <c r="BZ49" s="104"/>
      <c r="CA49" s="104"/>
      <c r="CB49" s="104"/>
      <c r="CC49" s="104"/>
      <c r="CD49" s="104"/>
      <c r="CE49" s="104"/>
      <c r="CF49" s="104"/>
      <c r="CG49" s="104"/>
      <c r="CH49" s="104"/>
      <c r="CI49" s="104"/>
      <c r="CJ49" s="104"/>
      <c r="CK49" s="104"/>
      <c r="CL49" s="104"/>
      <c r="CM49" s="104"/>
      <c r="CN49" s="104"/>
      <c r="CO49" s="104"/>
      <c r="CP49" s="98"/>
      <c r="CR49" s="101"/>
      <c r="CS49" s="101"/>
      <c r="CT49" s="101"/>
      <c r="CU49" s="101"/>
      <c r="CV49" s="101"/>
      <c r="FL49" s="103"/>
      <c r="FN49" s="103"/>
      <c r="FP49" s="103"/>
      <c r="FR49" s="103"/>
    </row>
    <row r="50" spans="2:174" x14ac:dyDescent="0.35">
      <c r="B50" s="97"/>
      <c r="G50" s="100"/>
      <c r="K50" s="98"/>
      <c r="L50" s="101"/>
      <c r="M50" s="101"/>
      <c r="N50" s="101"/>
      <c r="O50" s="101"/>
      <c r="P50" s="102"/>
      <c r="Q50" s="101"/>
      <c r="R50" s="98"/>
      <c r="S50" s="98"/>
      <c r="T50" s="98"/>
      <c r="U50" s="98"/>
      <c r="V50" s="98"/>
      <c r="W50" s="98"/>
      <c r="X50" s="98"/>
      <c r="Y50" s="98"/>
      <c r="Z50" s="103"/>
      <c r="AA50" s="103"/>
      <c r="AB50" s="103"/>
      <c r="AC50" s="103"/>
      <c r="AD50" s="103"/>
      <c r="AE50" s="103"/>
      <c r="AF50" s="103"/>
      <c r="AG50" s="101"/>
      <c r="AH50" s="101"/>
      <c r="AI50" s="101"/>
      <c r="AJ50" s="101"/>
      <c r="AK50" s="101"/>
      <c r="AL50" s="101"/>
      <c r="AM50" s="101"/>
      <c r="AN50" s="103"/>
      <c r="AO50" s="103"/>
      <c r="AP50" s="103"/>
      <c r="AQ50" s="103"/>
      <c r="AR50" s="103"/>
      <c r="AS50" s="103"/>
      <c r="AT50" s="103"/>
      <c r="AU50" s="101"/>
      <c r="AV50" s="101"/>
      <c r="AW50" s="101"/>
      <c r="AX50" s="101"/>
      <c r="AY50" s="101"/>
      <c r="AZ50" s="101"/>
      <c r="BA50" s="101"/>
      <c r="BB50" s="103"/>
      <c r="BC50" s="103"/>
      <c r="BD50" s="103"/>
      <c r="BE50" s="101"/>
      <c r="BF50" s="101"/>
      <c r="BG50" s="101"/>
      <c r="BH50" s="101"/>
      <c r="BI50" s="101"/>
      <c r="BM50" s="101"/>
      <c r="BN50" s="101"/>
      <c r="BO50" s="101"/>
      <c r="BP50" s="101"/>
      <c r="BQ50" s="101"/>
      <c r="BR50" s="101"/>
      <c r="BS50" s="101"/>
      <c r="BT50" s="104"/>
      <c r="BU50" s="104"/>
      <c r="BV50" s="104"/>
      <c r="BW50" s="104"/>
      <c r="BX50" s="104"/>
      <c r="BY50" s="104"/>
      <c r="BZ50" s="104"/>
      <c r="CA50" s="104"/>
      <c r="CB50" s="104"/>
      <c r="CC50" s="104"/>
      <c r="CD50" s="104"/>
      <c r="CE50" s="104"/>
      <c r="CF50" s="104"/>
      <c r="CG50" s="104"/>
      <c r="CH50" s="104"/>
      <c r="CI50" s="104"/>
      <c r="CJ50" s="104"/>
      <c r="CK50" s="104"/>
      <c r="CL50" s="104"/>
      <c r="CM50" s="104"/>
      <c r="CN50" s="104"/>
      <c r="CO50" s="104"/>
      <c r="CP50" s="98"/>
      <c r="CR50" s="101"/>
      <c r="CS50" s="101"/>
      <c r="CT50" s="101"/>
      <c r="CU50" s="101"/>
      <c r="CV50" s="101"/>
      <c r="FL50" s="103"/>
      <c r="FN50" s="103"/>
      <c r="FP50" s="103"/>
      <c r="FR50" s="103"/>
    </row>
    <row r="51" spans="2:174" x14ac:dyDescent="0.35">
      <c r="B51" s="97"/>
      <c r="G51" s="100"/>
      <c r="K51" s="98"/>
      <c r="L51" s="101"/>
      <c r="M51" s="101"/>
      <c r="N51" s="101"/>
      <c r="O51" s="101"/>
      <c r="P51" s="102"/>
      <c r="Q51" s="101"/>
      <c r="R51" s="98"/>
      <c r="S51" s="98"/>
      <c r="T51" s="98"/>
      <c r="U51" s="98"/>
      <c r="V51" s="98"/>
      <c r="W51" s="98"/>
      <c r="X51" s="98"/>
      <c r="Y51" s="98"/>
      <c r="Z51" s="103"/>
      <c r="AA51" s="103"/>
      <c r="AB51" s="103"/>
      <c r="AC51" s="103"/>
      <c r="AD51" s="103"/>
      <c r="AE51" s="103"/>
      <c r="AF51" s="103"/>
      <c r="AG51" s="101"/>
      <c r="AH51" s="101"/>
      <c r="AI51" s="101"/>
      <c r="AJ51" s="101"/>
      <c r="AK51" s="101"/>
      <c r="AL51" s="101"/>
      <c r="AM51" s="101"/>
      <c r="AN51" s="103"/>
      <c r="AO51" s="103"/>
      <c r="AP51" s="103"/>
      <c r="AQ51" s="103"/>
      <c r="AR51" s="103"/>
      <c r="AS51" s="103"/>
      <c r="AT51" s="103"/>
      <c r="AU51" s="101"/>
      <c r="AV51" s="101"/>
      <c r="AW51" s="101"/>
      <c r="AX51" s="101"/>
      <c r="AY51" s="101"/>
      <c r="AZ51" s="101"/>
      <c r="BA51" s="101"/>
      <c r="BB51" s="103"/>
      <c r="BC51" s="103"/>
      <c r="BD51" s="103"/>
      <c r="BE51" s="101"/>
      <c r="BF51" s="101"/>
      <c r="BG51" s="101"/>
      <c r="BH51" s="101"/>
      <c r="BI51" s="101"/>
      <c r="BM51" s="101"/>
      <c r="BN51" s="101"/>
      <c r="BO51" s="101"/>
      <c r="BP51" s="101"/>
      <c r="BQ51" s="101"/>
      <c r="BR51" s="101"/>
      <c r="BS51" s="101"/>
      <c r="BT51" s="104"/>
      <c r="BU51" s="104"/>
      <c r="BV51" s="104"/>
      <c r="BW51" s="104"/>
      <c r="BX51" s="104"/>
      <c r="BY51" s="104"/>
      <c r="BZ51" s="104"/>
      <c r="CA51" s="104"/>
      <c r="CB51" s="104"/>
      <c r="CC51" s="104"/>
      <c r="CD51" s="104"/>
      <c r="CE51" s="104"/>
      <c r="CF51" s="104"/>
      <c r="CG51" s="104"/>
      <c r="CH51" s="104"/>
      <c r="CI51" s="104"/>
      <c r="CJ51" s="104"/>
      <c r="CK51" s="104"/>
      <c r="CL51" s="104"/>
      <c r="CM51" s="104"/>
      <c r="CN51" s="104"/>
      <c r="CO51" s="104"/>
      <c r="CP51" s="98"/>
      <c r="CR51" s="101"/>
      <c r="CS51" s="101"/>
      <c r="CT51" s="101"/>
      <c r="CU51" s="101"/>
      <c r="CV51" s="101"/>
      <c r="FL51" s="103"/>
      <c r="FN51" s="103"/>
      <c r="FP51" s="103"/>
      <c r="FR51" s="103"/>
    </row>
    <row r="52" spans="2:174" x14ac:dyDescent="0.35">
      <c r="B52" s="97"/>
      <c r="G52" s="100"/>
      <c r="K52" s="98"/>
      <c r="L52" s="101"/>
      <c r="M52" s="101"/>
      <c r="N52" s="101"/>
      <c r="O52" s="101"/>
      <c r="P52" s="102"/>
      <c r="Q52" s="101"/>
      <c r="R52" s="98"/>
      <c r="S52" s="98"/>
      <c r="T52" s="98"/>
      <c r="U52" s="98"/>
      <c r="V52" s="98"/>
      <c r="W52" s="98"/>
      <c r="X52" s="98"/>
      <c r="Y52" s="98"/>
      <c r="Z52" s="103"/>
      <c r="AA52" s="103"/>
      <c r="AB52" s="103"/>
      <c r="AC52" s="103"/>
      <c r="AD52" s="103"/>
      <c r="AE52" s="103"/>
      <c r="AF52" s="103"/>
      <c r="AG52" s="101"/>
      <c r="AH52" s="101"/>
      <c r="AI52" s="101"/>
      <c r="AJ52" s="101"/>
      <c r="AK52" s="101"/>
      <c r="AL52" s="101"/>
      <c r="AM52" s="101"/>
      <c r="AN52" s="103"/>
      <c r="AO52" s="103"/>
      <c r="AP52" s="103"/>
      <c r="AQ52" s="103"/>
      <c r="AR52" s="103"/>
      <c r="AS52" s="103"/>
      <c r="AT52" s="103"/>
      <c r="AU52" s="101"/>
      <c r="AV52" s="101"/>
      <c r="AW52" s="101"/>
      <c r="AX52" s="101"/>
      <c r="AY52" s="101"/>
      <c r="AZ52" s="101"/>
      <c r="BA52" s="101"/>
      <c r="BB52" s="103"/>
      <c r="BC52" s="103"/>
      <c r="BD52" s="103"/>
      <c r="BE52" s="101"/>
      <c r="BF52" s="101"/>
      <c r="BG52" s="101"/>
      <c r="BH52" s="101"/>
      <c r="BI52" s="101"/>
      <c r="BM52" s="101"/>
      <c r="BN52" s="101"/>
      <c r="BO52" s="101"/>
      <c r="BP52" s="101"/>
      <c r="BQ52" s="101"/>
      <c r="BR52" s="101"/>
      <c r="BS52" s="101"/>
      <c r="BT52" s="104"/>
      <c r="BU52" s="104"/>
      <c r="BV52" s="104"/>
      <c r="BW52" s="104"/>
      <c r="BX52" s="104"/>
      <c r="BY52" s="104"/>
      <c r="BZ52" s="104"/>
      <c r="CA52" s="104"/>
      <c r="CB52" s="104"/>
      <c r="CC52" s="104"/>
      <c r="CD52" s="104"/>
      <c r="CE52" s="104"/>
      <c r="CF52" s="104"/>
      <c r="CG52" s="104"/>
      <c r="CH52" s="104"/>
      <c r="CI52" s="104"/>
      <c r="CJ52" s="104"/>
      <c r="CK52" s="104"/>
      <c r="CL52" s="104"/>
      <c r="CM52" s="104"/>
      <c r="CN52" s="104"/>
      <c r="CO52" s="104"/>
      <c r="CP52" s="98"/>
      <c r="CR52" s="101"/>
      <c r="CS52" s="101"/>
      <c r="CT52" s="101"/>
      <c r="CU52" s="101"/>
      <c r="CV52" s="101"/>
      <c r="FL52" s="103"/>
      <c r="FN52" s="103"/>
      <c r="FP52" s="103"/>
      <c r="FR52" s="103"/>
    </row>
    <row r="53" spans="2:174" x14ac:dyDescent="0.35">
      <c r="B53" s="97"/>
      <c r="G53" s="100"/>
      <c r="K53" s="98"/>
      <c r="L53" s="101"/>
      <c r="M53" s="101"/>
      <c r="N53" s="101"/>
      <c r="O53" s="101"/>
      <c r="P53" s="102"/>
      <c r="Q53" s="101"/>
      <c r="R53" s="98"/>
      <c r="S53" s="98"/>
      <c r="T53" s="98"/>
      <c r="U53" s="98"/>
      <c r="V53" s="98"/>
      <c r="W53" s="98"/>
      <c r="X53" s="98"/>
      <c r="Y53" s="98"/>
      <c r="Z53" s="103"/>
      <c r="AA53" s="103"/>
      <c r="AB53" s="103"/>
      <c r="AC53" s="103"/>
      <c r="AD53" s="103"/>
      <c r="AE53" s="103"/>
      <c r="AF53" s="103"/>
      <c r="AG53" s="101"/>
      <c r="AH53" s="101"/>
      <c r="AI53" s="101"/>
      <c r="AJ53" s="101"/>
      <c r="AK53" s="101"/>
      <c r="AL53" s="101"/>
      <c r="AM53" s="101"/>
      <c r="AN53" s="103"/>
      <c r="AO53" s="103"/>
      <c r="AP53" s="103"/>
      <c r="AQ53" s="103"/>
      <c r="AR53" s="103"/>
      <c r="AS53" s="103"/>
      <c r="AT53" s="103"/>
      <c r="AU53" s="101"/>
      <c r="AV53" s="101"/>
      <c r="AW53" s="101"/>
      <c r="AX53" s="101"/>
      <c r="AY53" s="101"/>
      <c r="AZ53" s="101"/>
      <c r="BA53" s="101"/>
      <c r="BB53" s="103"/>
      <c r="BC53" s="103"/>
      <c r="BD53" s="103"/>
      <c r="BE53" s="101"/>
      <c r="BF53" s="101"/>
      <c r="BG53" s="101"/>
      <c r="BH53" s="101"/>
      <c r="BI53" s="101"/>
      <c r="BM53" s="101"/>
      <c r="BN53" s="101"/>
      <c r="BO53" s="101"/>
      <c r="BP53" s="101"/>
      <c r="BQ53" s="101"/>
      <c r="BR53" s="101"/>
      <c r="BS53" s="101"/>
      <c r="BT53" s="104"/>
      <c r="BU53" s="104"/>
      <c r="BV53" s="104"/>
      <c r="BW53" s="104"/>
      <c r="BX53" s="104"/>
      <c r="BY53" s="104"/>
      <c r="BZ53" s="104"/>
      <c r="CA53" s="104"/>
      <c r="CB53" s="104"/>
      <c r="CC53" s="104"/>
      <c r="CD53" s="104"/>
      <c r="CE53" s="104"/>
      <c r="CF53" s="104"/>
      <c r="CG53" s="104"/>
      <c r="CH53" s="104"/>
      <c r="CI53" s="104"/>
      <c r="CJ53" s="104"/>
      <c r="CK53" s="104"/>
      <c r="CL53" s="104"/>
      <c r="CM53" s="104"/>
      <c r="CN53" s="104"/>
      <c r="CO53" s="104"/>
      <c r="CP53" s="98"/>
      <c r="CR53" s="101"/>
      <c r="CS53" s="101"/>
      <c r="CT53" s="101"/>
      <c r="CU53" s="101"/>
      <c r="CV53" s="101"/>
      <c r="FL53" s="103"/>
      <c r="FN53" s="103"/>
      <c r="FP53" s="103"/>
      <c r="FR53" s="103"/>
    </row>
    <row r="54" spans="2:174" x14ac:dyDescent="0.35">
      <c r="B54" s="97"/>
      <c r="G54" s="100"/>
      <c r="K54" s="98"/>
      <c r="L54" s="101"/>
      <c r="M54" s="101"/>
      <c r="N54" s="101"/>
      <c r="O54" s="101"/>
      <c r="P54" s="102"/>
      <c r="Q54" s="101"/>
      <c r="R54" s="98"/>
      <c r="S54" s="98"/>
      <c r="T54" s="98"/>
      <c r="U54" s="98"/>
      <c r="V54" s="98"/>
      <c r="W54" s="98"/>
      <c r="X54" s="98"/>
      <c r="Y54" s="98"/>
      <c r="Z54" s="103"/>
      <c r="AA54" s="103"/>
      <c r="AB54" s="103"/>
      <c r="AC54" s="103"/>
      <c r="AD54" s="103"/>
      <c r="AE54" s="103"/>
      <c r="AF54" s="103"/>
      <c r="AG54" s="101"/>
      <c r="AH54" s="101"/>
      <c r="AI54" s="101"/>
      <c r="AJ54" s="101"/>
      <c r="AK54" s="101"/>
      <c r="AL54" s="101"/>
      <c r="AM54" s="101"/>
      <c r="AN54" s="103"/>
      <c r="AO54" s="103"/>
      <c r="AP54" s="103"/>
      <c r="AQ54" s="103"/>
      <c r="AR54" s="103"/>
      <c r="AS54" s="103"/>
      <c r="AT54" s="103"/>
      <c r="AU54" s="101"/>
      <c r="AV54" s="101"/>
      <c r="AW54" s="101"/>
      <c r="AX54" s="101"/>
      <c r="AY54" s="101"/>
      <c r="AZ54" s="101"/>
      <c r="BA54" s="101"/>
      <c r="BB54" s="103"/>
      <c r="BC54" s="103"/>
      <c r="BD54" s="103"/>
      <c r="BE54" s="101"/>
      <c r="BF54" s="101"/>
      <c r="BG54" s="101"/>
      <c r="BH54" s="101"/>
      <c r="BI54" s="101"/>
      <c r="BM54" s="101"/>
      <c r="BN54" s="101"/>
      <c r="BO54" s="101"/>
      <c r="BP54" s="101"/>
      <c r="BQ54" s="101"/>
      <c r="BR54" s="101"/>
      <c r="BS54" s="101"/>
      <c r="BT54" s="104"/>
      <c r="BU54" s="104"/>
      <c r="BV54" s="104"/>
      <c r="BW54" s="104"/>
      <c r="BX54" s="104"/>
      <c r="BY54" s="104"/>
      <c r="BZ54" s="104"/>
      <c r="CA54" s="104"/>
      <c r="CB54" s="104"/>
      <c r="CC54" s="104"/>
      <c r="CD54" s="104"/>
      <c r="CE54" s="104"/>
      <c r="CF54" s="104"/>
      <c r="CG54" s="104"/>
      <c r="CH54" s="104"/>
      <c r="CI54" s="104"/>
      <c r="CJ54" s="104"/>
      <c r="CK54" s="104"/>
      <c r="CL54" s="104"/>
      <c r="CM54" s="104"/>
      <c r="CN54" s="104"/>
      <c r="CO54" s="104"/>
      <c r="CP54" s="98"/>
      <c r="CR54" s="101"/>
      <c r="CS54" s="101"/>
      <c r="CT54" s="101"/>
      <c r="CU54" s="101"/>
      <c r="CV54" s="101"/>
      <c r="FL54" s="103"/>
      <c r="FN54" s="103"/>
      <c r="FP54" s="103"/>
      <c r="FR54" s="103"/>
    </row>
    <row r="55" spans="2:174" x14ac:dyDescent="0.35">
      <c r="B55" s="97"/>
      <c r="G55" s="100"/>
      <c r="K55" s="98"/>
      <c r="L55" s="101"/>
      <c r="M55" s="101"/>
      <c r="N55" s="101"/>
      <c r="O55" s="101"/>
      <c r="P55" s="102"/>
      <c r="Q55" s="101"/>
      <c r="R55" s="98"/>
      <c r="S55" s="98"/>
      <c r="T55" s="98"/>
      <c r="U55" s="98"/>
      <c r="V55" s="98"/>
      <c r="W55" s="98"/>
      <c r="X55" s="98"/>
      <c r="Y55" s="98"/>
      <c r="Z55" s="103"/>
      <c r="AA55" s="103"/>
      <c r="AB55" s="103"/>
      <c r="AC55" s="103"/>
      <c r="AD55" s="103"/>
      <c r="AE55" s="103"/>
      <c r="AF55" s="103"/>
      <c r="AG55" s="101"/>
      <c r="AH55" s="101"/>
      <c r="AI55" s="101"/>
      <c r="AJ55" s="101"/>
      <c r="AK55" s="101"/>
      <c r="AL55" s="101"/>
      <c r="AM55" s="101"/>
      <c r="AN55" s="103"/>
      <c r="AO55" s="103"/>
      <c r="AP55" s="103"/>
      <c r="AQ55" s="103"/>
      <c r="AR55" s="103"/>
      <c r="AS55" s="103"/>
      <c r="AT55" s="103"/>
      <c r="AU55" s="101"/>
      <c r="AV55" s="101"/>
      <c r="AW55" s="101"/>
      <c r="AX55" s="101"/>
      <c r="AY55" s="101"/>
      <c r="AZ55" s="101"/>
      <c r="BA55" s="101"/>
      <c r="BB55" s="103"/>
      <c r="BC55" s="103"/>
      <c r="BD55" s="103"/>
      <c r="BE55" s="101"/>
      <c r="BF55" s="101"/>
      <c r="BG55" s="101"/>
      <c r="BH55" s="101"/>
      <c r="BI55" s="101"/>
      <c r="BM55" s="101"/>
      <c r="BN55" s="101"/>
      <c r="BO55" s="101"/>
      <c r="BP55" s="101"/>
      <c r="BQ55" s="101"/>
      <c r="BR55" s="101"/>
      <c r="BS55" s="101"/>
      <c r="BT55" s="104"/>
      <c r="BU55" s="104"/>
      <c r="BV55" s="104"/>
      <c r="BW55" s="104"/>
      <c r="BX55" s="104"/>
      <c r="BY55" s="104"/>
      <c r="BZ55" s="104"/>
      <c r="CA55" s="104"/>
      <c r="CB55" s="104"/>
      <c r="CC55" s="104"/>
      <c r="CD55" s="104"/>
      <c r="CE55" s="104"/>
      <c r="CF55" s="104"/>
      <c r="CG55" s="104"/>
      <c r="CH55" s="104"/>
      <c r="CI55" s="104"/>
      <c r="CJ55" s="104"/>
      <c r="CK55" s="104"/>
      <c r="CL55" s="104"/>
      <c r="CM55" s="104"/>
      <c r="CN55" s="104"/>
      <c r="CO55" s="104"/>
      <c r="CP55" s="98"/>
      <c r="CR55" s="101"/>
      <c r="CS55" s="101"/>
      <c r="CT55" s="101"/>
      <c r="CU55" s="101"/>
      <c r="CV55" s="101"/>
      <c r="FL55" s="103"/>
      <c r="FN55" s="103"/>
      <c r="FP55" s="103"/>
      <c r="FR55" s="103"/>
    </row>
    <row r="56" spans="2:174" x14ac:dyDescent="0.35">
      <c r="B56" s="97"/>
      <c r="G56" s="100"/>
      <c r="K56" s="98"/>
      <c r="L56" s="101"/>
      <c r="M56" s="101"/>
      <c r="N56" s="101"/>
      <c r="O56" s="101"/>
      <c r="P56" s="102"/>
      <c r="Q56" s="101"/>
      <c r="R56" s="98"/>
      <c r="S56" s="98"/>
      <c r="T56" s="98"/>
      <c r="U56" s="98"/>
      <c r="V56" s="98"/>
      <c r="W56" s="98"/>
      <c r="X56" s="98"/>
      <c r="Y56" s="98"/>
      <c r="Z56" s="103"/>
      <c r="AA56" s="103"/>
      <c r="AB56" s="103"/>
      <c r="AC56" s="103"/>
      <c r="AD56" s="103"/>
      <c r="AE56" s="103"/>
      <c r="AF56" s="103"/>
      <c r="AG56" s="101"/>
      <c r="AH56" s="101"/>
      <c r="AI56" s="101"/>
      <c r="AJ56" s="101"/>
      <c r="AK56" s="101"/>
      <c r="AL56" s="101"/>
      <c r="AM56" s="101"/>
      <c r="AN56" s="103"/>
      <c r="AO56" s="103"/>
      <c r="AP56" s="103"/>
      <c r="AQ56" s="103"/>
      <c r="AR56" s="103"/>
      <c r="AS56" s="103"/>
      <c r="AT56" s="103"/>
      <c r="AU56" s="101"/>
      <c r="AV56" s="101"/>
      <c r="AW56" s="101"/>
      <c r="AX56" s="101"/>
      <c r="AY56" s="101"/>
      <c r="AZ56" s="101"/>
      <c r="BA56" s="101"/>
      <c r="BB56" s="103"/>
      <c r="BC56" s="103"/>
      <c r="BD56" s="103"/>
      <c r="BE56" s="101"/>
      <c r="BF56" s="101"/>
      <c r="BG56" s="101"/>
      <c r="BH56" s="101"/>
      <c r="BI56" s="101"/>
      <c r="BM56" s="101"/>
      <c r="BN56" s="101"/>
      <c r="BO56" s="101"/>
      <c r="BP56" s="101"/>
      <c r="BQ56" s="101"/>
      <c r="BR56" s="101"/>
      <c r="BS56" s="101"/>
      <c r="BT56" s="104"/>
      <c r="BU56" s="104"/>
      <c r="BV56" s="104"/>
      <c r="BW56" s="104"/>
      <c r="BX56" s="104"/>
      <c r="BY56" s="104"/>
      <c r="BZ56" s="104"/>
      <c r="CA56" s="104"/>
      <c r="CB56" s="104"/>
      <c r="CC56" s="104"/>
      <c r="CD56" s="104"/>
      <c r="CE56" s="104"/>
      <c r="CF56" s="104"/>
      <c r="CG56" s="104"/>
      <c r="CH56" s="104"/>
      <c r="CI56" s="104"/>
      <c r="CJ56" s="104"/>
      <c r="CK56" s="104"/>
      <c r="CL56" s="104"/>
      <c r="CM56" s="104"/>
      <c r="CN56" s="104"/>
      <c r="CO56" s="104"/>
      <c r="CP56" s="98"/>
      <c r="CR56" s="101"/>
      <c r="CS56" s="101"/>
      <c r="CT56" s="101"/>
      <c r="CU56" s="101"/>
      <c r="CV56" s="101"/>
      <c r="FL56" s="103"/>
      <c r="FN56" s="103"/>
      <c r="FP56" s="103"/>
      <c r="FR56" s="103"/>
    </row>
    <row r="57" spans="2:174" x14ac:dyDescent="0.35">
      <c r="B57" s="97"/>
      <c r="G57" s="100"/>
      <c r="K57" s="98"/>
      <c r="L57" s="101"/>
      <c r="M57" s="101"/>
      <c r="N57" s="101"/>
      <c r="O57" s="101"/>
      <c r="P57" s="102"/>
      <c r="Q57" s="101"/>
      <c r="R57" s="98"/>
      <c r="S57" s="98"/>
      <c r="T57" s="98"/>
      <c r="U57" s="98"/>
      <c r="V57" s="98"/>
      <c r="W57" s="98"/>
      <c r="X57" s="98"/>
      <c r="Y57" s="98"/>
      <c r="Z57" s="103"/>
      <c r="AA57" s="103"/>
      <c r="AB57" s="103"/>
      <c r="AC57" s="103"/>
      <c r="AD57" s="103"/>
      <c r="AE57" s="103"/>
      <c r="AF57" s="103"/>
      <c r="AG57" s="101"/>
      <c r="AH57" s="101"/>
      <c r="AI57" s="101"/>
      <c r="AJ57" s="101"/>
      <c r="AK57" s="101"/>
      <c r="AL57" s="101"/>
      <c r="AM57" s="101"/>
      <c r="AN57" s="103"/>
      <c r="AO57" s="103"/>
      <c r="AP57" s="103"/>
      <c r="AQ57" s="103"/>
      <c r="AR57" s="103"/>
      <c r="AS57" s="103"/>
      <c r="AT57" s="103"/>
      <c r="AU57" s="101"/>
      <c r="AV57" s="101"/>
      <c r="AW57" s="101"/>
      <c r="AX57" s="101"/>
      <c r="AY57" s="101"/>
      <c r="AZ57" s="101"/>
      <c r="BA57" s="101"/>
      <c r="BB57" s="103"/>
      <c r="BC57" s="103"/>
      <c r="BD57" s="103"/>
      <c r="BE57" s="101"/>
      <c r="BF57" s="101"/>
      <c r="BG57" s="101"/>
      <c r="BH57" s="101"/>
      <c r="BI57" s="101"/>
      <c r="BM57" s="101"/>
      <c r="BN57" s="101"/>
      <c r="BO57" s="101"/>
      <c r="BP57" s="101"/>
      <c r="BQ57" s="101"/>
      <c r="BR57" s="101"/>
      <c r="BS57" s="101"/>
      <c r="BT57" s="104"/>
      <c r="BU57" s="104"/>
      <c r="BV57" s="104"/>
      <c r="BW57" s="104"/>
      <c r="BX57" s="104"/>
      <c r="BY57" s="104"/>
      <c r="BZ57" s="104"/>
      <c r="CA57" s="104"/>
      <c r="CB57" s="104"/>
      <c r="CC57" s="104"/>
      <c r="CD57" s="104"/>
      <c r="CE57" s="104"/>
      <c r="CF57" s="104"/>
      <c r="CG57" s="104"/>
      <c r="CH57" s="104"/>
      <c r="CI57" s="104"/>
      <c r="CJ57" s="104"/>
      <c r="CK57" s="104"/>
      <c r="CL57" s="104"/>
      <c r="CM57" s="104"/>
      <c r="CN57" s="104"/>
      <c r="CO57" s="104"/>
      <c r="CP57" s="98"/>
      <c r="CR57" s="101"/>
      <c r="CS57" s="101"/>
      <c r="CT57" s="101"/>
      <c r="CU57" s="101"/>
      <c r="CV57" s="101"/>
      <c r="FL57" s="103"/>
      <c r="FN57" s="103"/>
      <c r="FP57" s="103"/>
      <c r="FR57" s="103"/>
    </row>
    <row r="58" spans="2:174" x14ac:dyDescent="0.35">
      <c r="B58" s="97"/>
      <c r="G58" s="100"/>
      <c r="K58" s="98"/>
      <c r="L58" s="101"/>
      <c r="M58" s="101"/>
      <c r="N58" s="101"/>
      <c r="O58" s="101"/>
      <c r="P58" s="102"/>
      <c r="Q58" s="101"/>
      <c r="R58" s="98"/>
      <c r="S58" s="98"/>
      <c r="T58" s="98"/>
      <c r="U58" s="98"/>
      <c r="V58" s="98"/>
      <c r="W58" s="98"/>
      <c r="X58" s="98"/>
      <c r="Y58" s="98"/>
      <c r="Z58" s="103"/>
      <c r="AA58" s="103"/>
      <c r="AB58" s="103"/>
      <c r="AC58" s="103"/>
      <c r="AD58" s="103"/>
      <c r="AE58" s="103"/>
      <c r="AF58" s="103"/>
      <c r="AG58" s="101"/>
      <c r="AH58" s="101"/>
      <c r="AI58" s="101"/>
      <c r="AJ58" s="101"/>
      <c r="AK58" s="101"/>
      <c r="AL58" s="101"/>
      <c r="AM58" s="101"/>
      <c r="AN58" s="103"/>
      <c r="AO58" s="103"/>
      <c r="AP58" s="103"/>
      <c r="AQ58" s="103"/>
      <c r="AR58" s="103"/>
      <c r="AS58" s="103"/>
      <c r="AT58" s="103"/>
      <c r="AU58" s="101"/>
      <c r="AV58" s="101"/>
      <c r="AW58" s="101"/>
      <c r="AX58" s="101"/>
      <c r="AY58" s="101"/>
      <c r="AZ58" s="101"/>
      <c r="BA58" s="101"/>
      <c r="BB58" s="103"/>
      <c r="BC58" s="103"/>
      <c r="BD58" s="103"/>
      <c r="BE58" s="101"/>
      <c r="BF58" s="101"/>
      <c r="BG58" s="101"/>
      <c r="BH58" s="101"/>
      <c r="BI58" s="101"/>
      <c r="BM58" s="101"/>
      <c r="BN58" s="101"/>
      <c r="BO58" s="101"/>
      <c r="BP58" s="101"/>
      <c r="BQ58" s="101"/>
      <c r="BR58" s="101"/>
      <c r="BS58" s="101"/>
      <c r="BT58" s="104"/>
      <c r="BU58" s="104"/>
      <c r="BV58" s="104"/>
      <c r="BW58" s="104"/>
      <c r="BX58" s="104"/>
      <c r="BY58" s="104"/>
      <c r="BZ58" s="104"/>
      <c r="CA58" s="104"/>
      <c r="CB58" s="104"/>
      <c r="CC58" s="104"/>
      <c r="CD58" s="104"/>
      <c r="CE58" s="104"/>
      <c r="CF58" s="104"/>
      <c r="CG58" s="104"/>
      <c r="CH58" s="104"/>
      <c r="CI58" s="104"/>
      <c r="CJ58" s="104"/>
      <c r="CK58" s="104"/>
      <c r="CL58" s="104"/>
      <c r="CM58" s="104"/>
      <c r="CN58" s="104"/>
      <c r="CO58" s="104"/>
      <c r="CP58" s="98"/>
      <c r="CR58" s="101"/>
      <c r="CS58" s="101"/>
      <c r="CT58" s="101"/>
      <c r="CU58" s="101"/>
      <c r="CV58" s="101"/>
      <c r="FL58" s="103"/>
      <c r="FN58" s="103"/>
      <c r="FP58" s="103"/>
      <c r="FR58" s="103"/>
    </row>
    <row r="59" spans="2:174" x14ac:dyDescent="0.35">
      <c r="B59" s="97"/>
      <c r="G59" s="100"/>
      <c r="K59" s="98"/>
      <c r="L59" s="101"/>
      <c r="M59" s="101"/>
      <c r="N59" s="101"/>
      <c r="O59" s="101"/>
      <c r="P59" s="102"/>
      <c r="Q59" s="101"/>
      <c r="R59" s="98"/>
      <c r="S59" s="98"/>
      <c r="T59" s="98"/>
      <c r="U59" s="98"/>
      <c r="V59" s="98"/>
      <c r="W59" s="98"/>
      <c r="X59" s="98"/>
      <c r="Y59" s="98"/>
      <c r="Z59" s="103"/>
      <c r="AA59" s="103"/>
      <c r="AB59" s="103"/>
      <c r="AC59" s="103"/>
      <c r="AD59" s="103"/>
      <c r="AE59" s="103"/>
      <c r="AF59" s="103"/>
      <c r="AG59" s="101"/>
      <c r="AH59" s="101"/>
      <c r="AI59" s="101"/>
      <c r="AJ59" s="101"/>
      <c r="AK59" s="101"/>
      <c r="AL59" s="101"/>
      <c r="AM59" s="101"/>
      <c r="AN59" s="103"/>
      <c r="AO59" s="103"/>
      <c r="AP59" s="103"/>
      <c r="AQ59" s="103"/>
      <c r="AR59" s="103"/>
      <c r="AS59" s="103"/>
      <c r="AT59" s="103"/>
      <c r="AU59" s="101"/>
      <c r="AV59" s="101"/>
      <c r="AW59" s="101"/>
      <c r="AX59" s="101"/>
      <c r="AY59" s="101"/>
      <c r="AZ59" s="101"/>
      <c r="BA59" s="101"/>
      <c r="BB59" s="103"/>
      <c r="BC59" s="103"/>
      <c r="BD59" s="103"/>
      <c r="BE59" s="101"/>
      <c r="BF59" s="101"/>
      <c r="BG59" s="101"/>
      <c r="BH59" s="101"/>
      <c r="BI59" s="101"/>
      <c r="BM59" s="101"/>
      <c r="BN59" s="101"/>
      <c r="BO59" s="101"/>
      <c r="BP59" s="101"/>
      <c r="BQ59" s="101"/>
      <c r="BR59" s="101"/>
      <c r="BS59" s="101"/>
      <c r="BT59" s="104"/>
      <c r="BU59" s="104"/>
      <c r="BV59" s="104"/>
      <c r="BW59" s="104"/>
      <c r="BX59" s="104"/>
      <c r="BY59" s="104"/>
      <c r="BZ59" s="104"/>
      <c r="CA59" s="104"/>
      <c r="CB59" s="104"/>
      <c r="CC59" s="104"/>
      <c r="CD59" s="104"/>
      <c r="CE59" s="104"/>
      <c r="CF59" s="104"/>
      <c r="CG59" s="104"/>
      <c r="CH59" s="104"/>
      <c r="CI59" s="104"/>
      <c r="CJ59" s="104"/>
      <c r="CK59" s="104"/>
      <c r="CL59" s="104"/>
      <c r="CM59" s="104"/>
      <c r="CN59" s="104"/>
      <c r="CO59" s="104"/>
      <c r="CP59" s="98"/>
      <c r="CR59" s="101"/>
      <c r="CS59" s="101"/>
      <c r="CT59" s="101"/>
      <c r="CU59" s="101"/>
      <c r="CV59" s="101"/>
      <c r="FL59" s="103"/>
      <c r="FN59" s="103"/>
      <c r="FP59" s="103"/>
      <c r="FR59" s="103"/>
    </row>
    <row r="60" spans="2:174" x14ac:dyDescent="0.35">
      <c r="B60" s="97"/>
      <c r="G60" s="100"/>
      <c r="K60" s="98"/>
      <c r="L60" s="101"/>
      <c r="M60" s="101"/>
      <c r="N60" s="101"/>
      <c r="O60" s="101"/>
      <c r="P60" s="102"/>
      <c r="Q60" s="101"/>
      <c r="R60" s="98"/>
      <c r="S60" s="98"/>
      <c r="T60" s="98"/>
      <c r="U60" s="98"/>
      <c r="V60" s="98"/>
      <c r="W60" s="98"/>
      <c r="X60" s="98"/>
      <c r="Y60" s="98"/>
      <c r="Z60" s="103"/>
      <c r="AA60" s="103"/>
      <c r="AB60" s="103"/>
      <c r="AC60" s="103"/>
      <c r="AD60" s="103"/>
      <c r="AE60" s="103"/>
      <c r="AF60" s="103"/>
      <c r="AG60" s="101"/>
      <c r="AH60" s="101"/>
      <c r="AI60" s="101"/>
      <c r="AJ60" s="101"/>
      <c r="AK60" s="101"/>
      <c r="AL60" s="101"/>
      <c r="AM60" s="101"/>
      <c r="AN60" s="103"/>
      <c r="AO60" s="103"/>
      <c r="AP60" s="103"/>
      <c r="AQ60" s="103"/>
      <c r="AR60" s="103"/>
      <c r="AS60" s="103"/>
      <c r="AT60" s="103"/>
      <c r="AU60" s="101"/>
      <c r="AV60" s="101"/>
      <c r="AW60" s="101"/>
      <c r="AX60" s="101"/>
      <c r="AY60" s="101"/>
      <c r="AZ60" s="101"/>
      <c r="BA60" s="101"/>
      <c r="BB60" s="103"/>
      <c r="BC60" s="103"/>
      <c r="BD60" s="103"/>
      <c r="BE60" s="101"/>
      <c r="BF60" s="101"/>
      <c r="BG60" s="101"/>
      <c r="BH60" s="101"/>
      <c r="BI60" s="101"/>
      <c r="BM60" s="101"/>
      <c r="BN60" s="101"/>
      <c r="BO60" s="101"/>
      <c r="BP60" s="101"/>
      <c r="BQ60" s="101"/>
      <c r="BR60" s="101"/>
      <c r="BS60" s="101"/>
      <c r="BT60" s="104"/>
      <c r="BU60" s="104"/>
      <c r="BV60" s="104"/>
      <c r="BW60" s="104"/>
      <c r="BX60" s="104"/>
      <c r="BY60" s="104"/>
      <c r="BZ60" s="104"/>
      <c r="CA60" s="104"/>
      <c r="CB60" s="104"/>
      <c r="CC60" s="104"/>
      <c r="CD60" s="104"/>
      <c r="CE60" s="104"/>
      <c r="CF60" s="104"/>
      <c r="CG60" s="104"/>
      <c r="CH60" s="104"/>
      <c r="CI60" s="104"/>
      <c r="CJ60" s="104"/>
      <c r="CK60" s="104"/>
      <c r="CL60" s="104"/>
      <c r="CM60" s="104"/>
      <c r="CN60" s="104"/>
      <c r="CO60" s="104"/>
      <c r="CP60" s="98"/>
      <c r="CR60" s="101"/>
      <c r="CS60" s="101"/>
      <c r="CT60" s="101"/>
      <c r="CU60" s="101"/>
      <c r="CV60" s="101"/>
      <c r="FL60" s="103"/>
      <c r="FN60" s="103"/>
      <c r="FP60" s="103"/>
      <c r="FR60" s="103"/>
    </row>
    <row r="61" spans="2:174" x14ac:dyDescent="0.35">
      <c r="B61" s="97"/>
      <c r="G61" s="100"/>
      <c r="K61" s="98"/>
      <c r="L61" s="101"/>
      <c r="M61" s="101"/>
      <c r="N61" s="101"/>
      <c r="O61" s="101"/>
      <c r="P61" s="102"/>
      <c r="Q61" s="101"/>
      <c r="R61" s="98"/>
      <c r="S61" s="98"/>
      <c r="T61" s="98"/>
      <c r="U61" s="98"/>
      <c r="V61" s="98"/>
      <c r="W61" s="98"/>
      <c r="X61" s="98"/>
      <c r="Y61" s="98"/>
      <c r="Z61" s="103"/>
      <c r="AA61" s="103"/>
      <c r="AB61" s="103"/>
      <c r="AC61" s="103"/>
      <c r="AD61" s="103"/>
      <c r="AE61" s="103"/>
      <c r="AF61" s="103"/>
      <c r="AG61" s="101"/>
      <c r="AH61" s="101"/>
      <c r="AI61" s="101"/>
      <c r="AJ61" s="101"/>
      <c r="AK61" s="101"/>
      <c r="AL61" s="101"/>
      <c r="AM61" s="101"/>
      <c r="AN61" s="103"/>
      <c r="AO61" s="103"/>
      <c r="AP61" s="103"/>
      <c r="AQ61" s="103"/>
      <c r="AR61" s="103"/>
      <c r="AS61" s="103"/>
      <c r="AT61" s="103"/>
      <c r="AU61" s="101"/>
      <c r="AV61" s="101"/>
      <c r="AW61" s="101"/>
      <c r="AX61" s="101"/>
      <c r="AY61" s="101"/>
      <c r="AZ61" s="101"/>
      <c r="BA61" s="101"/>
      <c r="BB61" s="103"/>
      <c r="BC61" s="103"/>
      <c r="BD61" s="103"/>
      <c r="BE61" s="101"/>
      <c r="BF61" s="101"/>
      <c r="BG61" s="101"/>
      <c r="BH61" s="101"/>
      <c r="BI61" s="101"/>
      <c r="BM61" s="101"/>
      <c r="BN61" s="101"/>
      <c r="BO61" s="101"/>
      <c r="BP61" s="101"/>
      <c r="BQ61" s="101"/>
      <c r="BR61" s="101"/>
      <c r="BS61" s="101"/>
      <c r="BT61" s="104"/>
      <c r="BU61" s="104"/>
      <c r="BV61" s="104"/>
      <c r="BW61" s="104"/>
      <c r="BX61" s="104"/>
      <c r="BY61" s="104"/>
      <c r="BZ61" s="104"/>
      <c r="CA61" s="104"/>
      <c r="CB61" s="104"/>
      <c r="CC61" s="104"/>
      <c r="CD61" s="104"/>
      <c r="CE61" s="104"/>
      <c r="CF61" s="104"/>
      <c r="CG61" s="104"/>
      <c r="CH61" s="104"/>
      <c r="CI61" s="104"/>
      <c r="CJ61" s="104"/>
      <c r="CK61" s="104"/>
      <c r="CL61" s="104"/>
      <c r="CM61" s="104"/>
      <c r="CN61" s="104"/>
      <c r="CO61" s="104"/>
      <c r="CP61" s="98"/>
      <c r="CR61" s="101"/>
      <c r="CS61" s="101"/>
      <c r="CT61" s="101"/>
      <c r="CU61" s="101"/>
      <c r="CV61" s="101"/>
      <c r="FL61" s="103"/>
      <c r="FN61" s="103"/>
      <c r="FP61" s="103"/>
      <c r="FR61" s="103"/>
    </row>
    <row r="62" spans="2:174" x14ac:dyDescent="0.35">
      <c r="B62" s="97"/>
      <c r="G62" s="100"/>
      <c r="K62" s="98"/>
      <c r="L62" s="101"/>
      <c r="M62" s="101"/>
      <c r="N62" s="101"/>
      <c r="O62" s="101"/>
      <c r="P62" s="102"/>
      <c r="Q62" s="101"/>
      <c r="R62" s="98"/>
      <c r="S62" s="98"/>
      <c r="T62" s="98"/>
      <c r="U62" s="98"/>
      <c r="V62" s="98"/>
      <c r="W62" s="98"/>
      <c r="X62" s="98"/>
      <c r="Y62" s="98"/>
      <c r="Z62" s="103"/>
      <c r="AA62" s="103"/>
      <c r="AB62" s="103"/>
      <c r="AC62" s="103"/>
      <c r="AD62" s="103"/>
      <c r="AE62" s="103"/>
      <c r="AF62" s="103"/>
      <c r="AG62" s="101"/>
      <c r="AH62" s="101"/>
      <c r="AI62" s="101"/>
      <c r="AJ62" s="101"/>
      <c r="AK62" s="101"/>
      <c r="AL62" s="101"/>
      <c r="AM62" s="101"/>
      <c r="AN62" s="103"/>
      <c r="AO62" s="103"/>
      <c r="AP62" s="103"/>
      <c r="AQ62" s="103"/>
      <c r="AR62" s="103"/>
      <c r="AS62" s="103"/>
      <c r="AT62" s="103"/>
      <c r="AU62" s="101"/>
      <c r="AV62" s="101"/>
      <c r="AW62" s="101"/>
      <c r="AX62" s="101"/>
      <c r="AY62" s="101"/>
      <c r="AZ62" s="101"/>
      <c r="BA62" s="101"/>
      <c r="BB62" s="103"/>
      <c r="BC62" s="103"/>
      <c r="BD62" s="103"/>
      <c r="BE62" s="101"/>
      <c r="BF62" s="101"/>
      <c r="BG62" s="101"/>
      <c r="BH62" s="101"/>
      <c r="BI62" s="101"/>
      <c r="BM62" s="101"/>
      <c r="BN62" s="101"/>
      <c r="BO62" s="101"/>
      <c r="BP62" s="101"/>
      <c r="BQ62" s="101"/>
      <c r="BR62" s="101"/>
      <c r="BS62" s="101"/>
      <c r="BT62" s="104"/>
      <c r="BU62" s="104"/>
      <c r="BV62" s="104"/>
      <c r="BW62" s="104"/>
      <c r="BX62" s="104"/>
      <c r="BY62" s="104"/>
      <c r="BZ62" s="104"/>
      <c r="CA62" s="104"/>
      <c r="CB62" s="104"/>
      <c r="CC62" s="104"/>
      <c r="CD62" s="104"/>
      <c r="CE62" s="104"/>
      <c r="CF62" s="104"/>
      <c r="CG62" s="104"/>
      <c r="CH62" s="104"/>
      <c r="CI62" s="104"/>
      <c r="CJ62" s="104"/>
      <c r="CK62" s="104"/>
      <c r="CL62" s="104"/>
      <c r="CM62" s="104"/>
      <c r="CN62" s="104"/>
      <c r="CO62" s="104"/>
      <c r="CP62" s="98"/>
      <c r="CR62" s="101"/>
      <c r="CS62" s="101"/>
      <c r="CT62" s="101"/>
      <c r="CU62" s="101"/>
      <c r="CV62" s="101"/>
      <c r="FL62" s="103"/>
      <c r="FN62" s="103"/>
      <c r="FP62" s="103"/>
      <c r="FR62" s="103"/>
    </row>
    <row r="63" spans="2:174" x14ac:dyDescent="0.35">
      <c r="B63" s="97"/>
      <c r="G63" s="100"/>
      <c r="K63" s="98"/>
      <c r="L63" s="101"/>
      <c r="M63" s="101"/>
      <c r="N63" s="101"/>
      <c r="O63" s="101"/>
      <c r="P63" s="102"/>
      <c r="Q63" s="101"/>
      <c r="R63" s="98"/>
      <c r="S63" s="98"/>
      <c r="T63" s="98"/>
      <c r="U63" s="98"/>
      <c r="V63" s="98"/>
      <c r="W63" s="98"/>
      <c r="X63" s="98"/>
      <c r="Y63" s="98"/>
      <c r="Z63" s="103"/>
      <c r="AA63" s="103"/>
      <c r="AB63" s="103"/>
      <c r="AC63" s="103"/>
      <c r="AD63" s="103"/>
      <c r="AE63" s="103"/>
      <c r="AF63" s="103"/>
      <c r="AG63" s="101"/>
      <c r="AH63" s="101"/>
      <c r="AI63" s="101"/>
      <c r="AJ63" s="101"/>
      <c r="AK63" s="101"/>
      <c r="AL63" s="101"/>
      <c r="AM63" s="101"/>
      <c r="AN63" s="103"/>
      <c r="AO63" s="103"/>
      <c r="AP63" s="103"/>
      <c r="AQ63" s="103"/>
      <c r="AR63" s="103"/>
      <c r="AS63" s="103"/>
      <c r="AT63" s="103"/>
      <c r="AU63" s="101"/>
      <c r="AV63" s="101"/>
      <c r="AW63" s="101"/>
      <c r="AX63" s="101"/>
      <c r="AY63" s="101"/>
      <c r="AZ63" s="101"/>
      <c r="BA63" s="101"/>
      <c r="BB63" s="103"/>
      <c r="BC63" s="103"/>
      <c r="BD63" s="103"/>
      <c r="BE63" s="101"/>
      <c r="BF63" s="101"/>
      <c r="BG63" s="101"/>
      <c r="BH63" s="101"/>
      <c r="BI63" s="101"/>
      <c r="BM63" s="101"/>
      <c r="BN63" s="101"/>
      <c r="BO63" s="101"/>
      <c r="BP63" s="101"/>
      <c r="BQ63" s="101"/>
      <c r="BR63" s="101"/>
      <c r="BS63" s="101"/>
      <c r="BT63" s="104"/>
      <c r="BU63" s="104"/>
      <c r="BV63" s="104"/>
      <c r="BW63" s="104"/>
      <c r="BX63" s="104"/>
      <c r="BY63" s="104"/>
      <c r="BZ63" s="104"/>
      <c r="CA63" s="104"/>
      <c r="CB63" s="104"/>
      <c r="CC63" s="104"/>
      <c r="CD63" s="104"/>
      <c r="CE63" s="104"/>
      <c r="CF63" s="104"/>
      <c r="CG63" s="104"/>
      <c r="CH63" s="104"/>
      <c r="CI63" s="104"/>
      <c r="CJ63" s="104"/>
      <c r="CK63" s="104"/>
      <c r="CL63" s="104"/>
      <c r="CM63" s="104"/>
      <c r="CN63" s="104"/>
      <c r="CO63" s="104"/>
      <c r="CP63" s="98"/>
      <c r="CR63" s="101"/>
      <c r="CS63" s="101"/>
      <c r="CT63" s="101"/>
      <c r="CU63" s="101"/>
      <c r="CV63" s="101"/>
      <c r="FL63" s="103"/>
      <c r="FN63" s="103"/>
      <c r="FP63" s="103"/>
      <c r="FR63" s="103"/>
    </row>
    <row r="64" spans="2:174" x14ac:dyDescent="0.35">
      <c r="B64" s="97"/>
      <c r="G64" s="100"/>
      <c r="K64" s="98"/>
      <c r="L64" s="101"/>
      <c r="M64" s="101"/>
      <c r="N64" s="101"/>
      <c r="O64" s="101"/>
      <c r="P64" s="102"/>
      <c r="Q64" s="101"/>
      <c r="R64" s="98"/>
      <c r="S64" s="98"/>
      <c r="T64" s="98"/>
      <c r="U64" s="98"/>
      <c r="V64" s="98"/>
      <c r="W64" s="98"/>
      <c r="X64" s="98"/>
      <c r="Y64" s="98"/>
      <c r="Z64" s="103"/>
      <c r="AA64" s="103"/>
      <c r="AB64" s="103"/>
      <c r="AC64" s="103"/>
      <c r="AD64" s="103"/>
      <c r="AE64" s="103"/>
      <c r="AF64" s="103"/>
      <c r="AG64" s="101"/>
      <c r="AH64" s="101"/>
      <c r="AI64" s="101"/>
      <c r="AJ64" s="101"/>
      <c r="AK64" s="101"/>
      <c r="AL64" s="101"/>
      <c r="AM64" s="101"/>
      <c r="AN64" s="103"/>
      <c r="AO64" s="103"/>
      <c r="AP64" s="103"/>
      <c r="AQ64" s="103"/>
      <c r="AR64" s="103"/>
      <c r="AS64" s="103"/>
      <c r="AT64" s="103"/>
      <c r="AU64" s="101"/>
      <c r="AV64" s="101"/>
      <c r="AW64" s="101"/>
      <c r="AX64" s="101"/>
      <c r="AY64" s="101"/>
      <c r="AZ64" s="101"/>
      <c r="BA64" s="101"/>
      <c r="BB64" s="103"/>
      <c r="BC64" s="103"/>
      <c r="BD64" s="103"/>
      <c r="BE64" s="101"/>
      <c r="BF64" s="101"/>
      <c r="BG64" s="101"/>
      <c r="BH64" s="101"/>
      <c r="BI64" s="101"/>
      <c r="BM64" s="101"/>
      <c r="BN64" s="101"/>
      <c r="BO64" s="101"/>
      <c r="BP64" s="101"/>
      <c r="BQ64" s="101"/>
      <c r="BR64" s="101"/>
      <c r="BS64" s="101"/>
      <c r="BT64" s="104"/>
      <c r="BU64" s="104"/>
      <c r="BV64" s="104"/>
      <c r="BW64" s="104"/>
      <c r="BX64" s="104"/>
      <c r="BY64" s="104"/>
      <c r="BZ64" s="104"/>
      <c r="CA64" s="104"/>
      <c r="CB64" s="104"/>
      <c r="CC64" s="104"/>
      <c r="CD64" s="104"/>
      <c r="CE64" s="104"/>
      <c r="CF64" s="104"/>
      <c r="CG64" s="104"/>
      <c r="CH64" s="104"/>
      <c r="CI64" s="104"/>
      <c r="CJ64" s="104"/>
      <c r="CK64" s="104"/>
      <c r="CL64" s="104"/>
      <c r="CM64" s="104"/>
      <c r="CN64" s="104"/>
      <c r="CO64" s="104"/>
      <c r="CP64" s="98"/>
      <c r="CR64" s="101"/>
      <c r="CS64" s="101"/>
      <c r="CT64" s="101"/>
      <c r="CU64" s="101"/>
      <c r="CV64" s="101"/>
      <c r="FL64" s="103"/>
      <c r="FN64" s="103"/>
      <c r="FP64" s="103"/>
      <c r="FR64" s="103"/>
    </row>
    <row r="65" spans="2:174" x14ac:dyDescent="0.35">
      <c r="B65" s="97"/>
      <c r="G65" s="100"/>
      <c r="K65" s="98"/>
      <c r="L65" s="101"/>
      <c r="M65" s="101"/>
      <c r="N65" s="101"/>
      <c r="O65" s="101"/>
      <c r="P65" s="102"/>
      <c r="Q65" s="101"/>
      <c r="R65" s="98"/>
      <c r="S65" s="98"/>
      <c r="T65" s="98"/>
      <c r="U65" s="98"/>
      <c r="V65" s="98"/>
      <c r="W65" s="98"/>
      <c r="X65" s="98"/>
      <c r="Y65" s="98"/>
      <c r="Z65" s="103"/>
      <c r="AA65" s="103"/>
      <c r="AB65" s="103"/>
      <c r="AC65" s="103"/>
      <c r="AD65" s="103"/>
      <c r="AE65" s="103"/>
      <c r="AF65" s="103"/>
      <c r="AG65" s="101"/>
      <c r="AH65" s="101"/>
      <c r="AI65" s="101"/>
      <c r="AJ65" s="101"/>
      <c r="AK65" s="101"/>
      <c r="AL65" s="101"/>
      <c r="AM65" s="101"/>
      <c r="AN65" s="103"/>
      <c r="AO65" s="103"/>
      <c r="AP65" s="103"/>
      <c r="AQ65" s="103"/>
      <c r="AR65" s="103"/>
      <c r="AS65" s="103"/>
      <c r="AT65" s="103"/>
      <c r="AU65" s="101"/>
      <c r="AV65" s="101"/>
      <c r="AW65" s="101"/>
      <c r="AX65" s="101"/>
      <c r="AY65" s="101"/>
      <c r="AZ65" s="101"/>
      <c r="BA65" s="101"/>
      <c r="BB65" s="103"/>
      <c r="BC65" s="103"/>
      <c r="BD65" s="103"/>
      <c r="BE65" s="101"/>
      <c r="BF65" s="101"/>
      <c r="BG65" s="101"/>
      <c r="BH65" s="101"/>
      <c r="BI65" s="101"/>
      <c r="BM65" s="101"/>
      <c r="BN65" s="101"/>
      <c r="BO65" s="101"/>
      <c r="BP65" s="101"/>
      <c r="BQ65" s="101"/>
      <c r="BR65" s="101"/>
      <c r="BS65" s="101"/>
      <c r="BT65" s="104"/>
      <c r="BU65" s="104"/>
      <c r="BV65" s="104"/>
      <c r="BW65" s="104"/>
      <c r="BX65" s="104"/>
      <c r="BY65" s="104"/>
      <c r="BZ65" s="104"/>
      <c r="CA65" s="104"/>
      <c r="CB65" s="104"/>
      <c r="CC65" s="104"/>
      <c r="CD65" s="104"/>
      <c r="CE65" s="104"/>
      <c r="CF65" s="104"/>
      <c r="CG65" s="104"/>
      <c r="CH65" s="104"/>
      <c r="CI65" s="104"/>
      <c r="CJ65" s="104"/>
      <c r="CK65" s="104"/>
      <c r="CL65" s="104"/>
      <c r="CM65" s="104"/>
      <c r="CN65" s="104"/>
      <c r="CO65" s="104"/>
      <c r="CP65" s="98"/>
      <c r="CR65" s="101"/>
      <c r="CS65" s="101"/>
      <c r="CT65" s="101"/>
      <c r="CU65" s="101"/>
      <c r="CV65" s="101"/>
      <c r="FL65" s="103"/>
      <c r="FN65" s="103"/>
      <c r="FP65" s="103"/>
      <c r="FR65" s="103"/>
    </row>
    <row r="66" spans="2:174" x14ac:dyDescent="0.35">
      <c r="B66" s="97"/>
      <c r="G66" s="100"/>
      <c r="K66" s="98"/>
      <c r="L66" s="101"/>
      <c r="M66" s="101"/>
      <c r="N66" s="101"/>
      <c r="O66" s="101"/>
      <c r="P66" s="102"/>
      <c r="Q66" s="101"/>
      <c r="R66" s="98"/>
      <c r="S66" s="98"/>
      <c r="T66" s="98"/>
      <c r="U66" s="98"/>
      <c r="V66" s="98"/>
      <c r="W66" s="98"/>
      <c r="X66" s="98"/>
      <c r="Y66" s="98"/>
      <c r="Z66" s="103"/>
      <c r="AA66" s="103"/>
      <c r="AB66" s="103"/>
      <c r="AC66" s="103"/>
      <c r="AD66" s="103"/>
      <c r="AE66" s="103"/>
      <c r="AF66" s="103"/>
      <c r="AG66" s="101"/>
      <c r="AH66" s="101"/>
      <c r="AI66" s="101"/>
      <c r="AJ66" s="101"/>
      <c r="AK66" s="101"/>
      <c r="AL66" s="101"/>
      <c r="AM66" s="101"/>
      <c r="AN66" s="103"/>
      <c r="AO66" s="103"/>
      <c r="AP66" s="103"/>
      <c r="AQ66" s="103"/>
      <c r="AR66" s="103"/>
      <c r="AS66" s="103"/>
      <c r="AT66" s="103"/>
      <c r="AU66" s="101"/>
      <c r="AV66" s="101"/>
      <c r="AW66" s="101"/>
      <c r="AX66" s="101"/>
      <c r="AY66" s="101"/>
      <c r="AZ66" s="101"/>
      <c r="BA66" s="101"/>
      <c r="BB66" s="103"/>
      <c r="BC66" s="103"/>
      <c r="BD66" s="103"/>
      <c r="BE66" s="101"/>
      <c r="BF66" s="101"/>
      <c r="BG66" s="101"/>
      <c r="BH66" s="101"/>
      <c r="BI66" s="101"/>
      <c r="BM66" s="101"/>
      <c r="BN66" s="101"/>
      <c r="BO66" s="101"/>
      <c r="BP66" s="101"/>
      <c r="BQ66" s="101"/>
      <c r="BR66" s="101"/>
      <c r="BS66" s="101"/>
      <c r="BT66" s="104"/>
      <c r="BU66" s="104"/>
      <c r="BV66" s="104"/>
      <c r="BW66" s="104"/>
      <c r="BX66" s="104"/>
      <c r="BY66" s="104"/>
      <c r="BZ66" s="104"/>
      <c r="CA66" s="104"/>
      <c r="CB66" s="104"/>
      <c r="CC66" s="104"/>
      <c r="CD66" s="104"/>
      <c r="CE66" s="104"/>
      <c r="CF66" s="104"/>
      <c r="CG66" s="104"/>
      <c r="CH66" s="104"/>
      <c r="CI66" s="104"/>
      <c r="CJ66" s="104"/>
      <c r="CK66" s="104"/>
      <c r="CL66" s="104"/>
      <c r="CM66" s="104"/>
      <c r="CN66" s="104"/>
      <c r="CO66" s="104"/>
      <c r="CP66" s="98"/>
      <c r="CR66" s="101"/>
      <c r="CS66" s="101"/>
      <c r="CT66" s="101"/>
      <c r="CU66" s="101"/>
      <c r="CV66" s="101"/>
      <c r="FL66" s="103"/>
      <c r="FN66" s="103"/>
      <c r="FP66" s="103"/>
      <c r="FR66" s="103"/>
    </row>
    <row r="67" spans="2:174" x14ac:dyDescent="0.35">
      <c r="B67" s="97"/>
      <c r="G67" s="100"/>
      <c r="K67" s="98"/>
      <c r="L67" s="101"/>
      <c r="M67" s="101"/>
      <c r="N67" s="101"/>
      <c r="O67" s="101"/>
      <c r="P67" s="102"/>
      <c r="Q67" s="101"/>
      <c r="R67" s="98"/>
      <c r="S67" s="98"/>
      <c r="T67" s="98"/>
      <c r="U67" s="98"/>
      <c r="V67" s="98"/>
      <c r="W67" s="98"/>
      <c r="X67" s="98"/>
      <c r="Y67" s="98"/>
      <c r="Z67" s="103"/>
      <c r="AA67" s="103"/>
      <c r="AB67" s="103"/>
      <c r="AC67" s="103"/>
      <c r="AD67" s="103"/>
      <c r="AE67" s="103"/>
      <c r="AF67" s="103"/>
      <c r="AG67" s="101"/>
      <c r="AH67" s="101"/>
      <c r="AI67" s="101"/>
      <c r="AJ67" s="101"/>
      <c r="AK67" s="101"/>
      <c r="AL67" s="101"/>
      <c r="AM67" s="101"/>
      <c r="AN67" s="103"/>
      <c r="AO67" s="103"/>
      <c r="AP67" s="103"/>
      <c r="AQ67" s="103"/>
      <c r="AR67" s="103"/>
      <c r="AS67" s="103"/>
      <c r="AT67" s="103"/>
      <c r="AU67" s="101"/>
      <c r="AV67" s="101"/>
      <c r="AW67" s="101"/>
      <c r="AX67" s="101"/>
      <c r="AY67" s="101"/>
      <c r="AZ67" s="101"/>
      <c r="BA67" s="101"/>
      <c r="BB67" s="103"/>
      <c r="BC67" s="103"/>
      <c r="BD67" s="103"/>
      <c r="BE67" s="101"/>
      <c r="BF67" s="101"/>
      <c r="BG67" s="101"/>
      <c r="BH67" s="101"/>
      <c r="BI67" s="101"/>
      <c r="BM67" s="101"/>
      <c r="BN67" s="101"/>
      <c r="BO67" s="101"/>
      <c r="BP67" s="101"/>
      <c r="BQ67" s="101"/>
      <c r="BR67" s="101"/>
      <c r="BS67" s="101"/>
      <c r="BT67" s="104"/>
      <c r="BU67" s="104"/>
      <c r="BV67" s="104"/>
      <c r="BW67" s="104"/>
      <c r="BX67" s="104"/>
      <c r="BY67" s="104"/>
      <c r="BZ67" s="104"/>
      <c r="CA67" s="104"/>
      <c r="CB67" s="104"/>
      <c r="CC67" s="104"/>
      <c r="CD67" s="104"/>
      <c r="CE67" s="104"/>
      <c r="CF67" s="104"/>
      <c r="CG67" s="104"/>
      <c r="CH67" s="104"/>
      <c r="CI67" s="104"/>
      <c r="CJ67" s="104"/>
      <c r="CK67" s="104"/>
      <c r="CL67" s="104"/>
      <c r="CM67" s="104"/>
      <c r="CN67" s="104"/>
      <c r="CO67" s="104"/>
      <c r="CP67" s="98"/>
      <c r="CR67" s="101"/>
      <c r="CS67" s="101"/>
      <c r="CT67" s="101"/>
      <c r="CU67" s="101"/>
      <c r="CV67" s="101"/>
      <c r="FL67" s="103"/>
      <c r="FN67" s="103"/>
      <c r="FP67" s="103"/>
      <c r="FR67" s="103"/>
    </row>
    <row r="68" spans="2:174" x14ac:dyDescent="0.35">
      <c r="B68" s="97"/>
      <c r="G68" s="100"/>
      <c r="K68" s="98"/>
      <c r="L68" s="101"/>
      <c r="M68" s="101"/>
      <c r="N68" s="101"/>
      <c r="O68" s="101"/>
      <c r="P68" s="102"/>
      <c r="Q68" s="101"/>
      <c r="R68" s="98"/>
      <c r="S68" s="98"/>
      <c r="T68" s="98"/>
      <c r="U68" s="98"/>
      <c r="V68" s="98"/>
      <c r="W68" s="98"/>
      <c r="X68" s="98"/>
      <c r="Y68" s="98"/>
      <c r="Z68" s="103"/>
      <c r="AA68" s="103"/>
      <c r="AB68" s="103"/>
      <c r="AC68" s="103"/>
      <c r="AD68" s="103"/>
      <c r="AE68" s="103"/>
      <c r="AF68" s="103"/>
      <c r="AG68" s="101"/>
      <c r="AH68" s="101"/>
      <c r="AI68" s="101"/>
      <c r="AJ68" s="101"/>
      <c r="AK68" s="101"/>
      <c r="AL68" s="101"/>
      <c r="AM68" s="101"/>
      <c r="AN68" s="103"/>
      <c r="AO68" s="103"/>
      <c r="AP68" s="103"/>
      <c r="AQ68" s="103"/>
      <c r="AR68" s="103"/>
      <c r="AS68" s="103"/>
      <c r="AT68" s="103"/>
      <c r="AU68" s="101"/>
      <c r="AV68" s="101"/>
      <c r="AW68" s="101"/>
      <c r="AX68" s="101"/>
      <c r="AY68" s="101"/>
      <c r="AZ68" s="101"/>
      <c r="BA68" s="101"/>
      <c r="BB68" s="103"/>
      <c r="BC68" s="103"/>
      <c r="BD68" s="103"/>
      <c r="BE68" s="101"/>
      <c r="BF68" s="101"/>
      <c r="BG68" s="101"/>
      <c r="BH68" s="101"/>
      <c r="BI68" s="101"/>
      <c r="BM68" s="101"/>
      <c r="BN68" s="101"/>
      <c r="BO68" s="101"/>
      <c r="BP68" s="101"/>
      <c r="BQ68" s="101"/>
      <c r="BR68" s="101"/>
      <c r="BS68" s="101"/>
      <c r="BT68" s="104"/>
      <c r="BU68" s="104"/>
      <c r="BV68" s="104"/>
      <c r="BW68" s="104"/>
      <c r="BX68" s="104"/>
      <c r="BY68" s="104"/>
      <c r="BZ68" s="104"/>
      <c r="CA68" s="104"/>
      <c r="CB68" s="104"/>
      <c r="CC68" s="104"/>
      <c r="CD68" s="104"/>
      <c r="CE68" s="104"/>
      <c r="CF68" s="104"/>
      <c r="CG68" s="104"/>
      <c r="CH68" s="104"/>
      <c r="CI68" s="104"/>
      <c r="CJ68" s="104"/>
      <c r="CK68" s="104"/>
      <c r="CL68" s="104"/>
      <c r="CM68" s="104"/>
      <c r="CN68" s="104"/>
      <c r="CO68" s="104"/>
      <c r="CP68" s="98"/>
      <c r="CR68" s="101"/>
      <c r="CS68" s="101"/>
      <c r="CT68" s="101"/>
      <c r="CU68" s="101"/>
      <c r="CV68" s="101"/>
      <c r="FL68" s="103"/>
      <c r="FN68" s="103"/>
      <c r="FP68" s="103"/>
      <c r="FR68" s="103"/>
    </row>
    <row r="69" spans="2:174" x14ac:dyDescent="0.35">
      <c r="B69" s="97"/>
      <c r="G69" s="100"/>
      <c r="K69" s="98"/>
      <c r="L69" s="101"/>
      <c r="M69" s="101"/>
      <c r="N69" s="101"/>
      <c r="O69" s="101"/>
      <c r="P69" s="102"/>
      <c r="Q69" s="101"/>
      <c r="R69" s="98"/>
      <c r="S69" s="98"/>
      <c r="T69" s="98"/>
      <c r="U69" s="98"/>
      <c r="V69" s="98"/>
      <c r="W69" s="98"/>
      <c r="X69" s="98"/>
      <c r="Y69" s="98"/>
      <c r="Z69" s="103"/>
      <c r="AA69" s="103"/>
      <c r="AB69" s="103"/>
      <c r="AC69" s="103"/>
      <c r="AD69" s="103"/>
      <c r="AE69" s="103"/>
      <c r="AF69" s="103"/>
      <c r="AG69" s="101"/>
      <c r="AH69" s="101"/>
      <c r="AI69" s="101"/>
      <c r="AJ69" s="101"/>
      <c r="AK69" s="101"/>
      <c r="AL69" s="101"/>
      <c r="AM69" s="101"/>
      <c r="AN69" s="103"/>
      <c r="AO69" s="103"/>
      <c r="AP69" s="103"/>
      <c r="AQ69" s="103"/>
      <c r="AR69" s="103"/>
      <c r="AS69" s="103"/>
      <c r="AT69" s="103"/>
      <c r="AU69" s="101"/>
      <c r="AV69" s="101"/>
      <c r="AW69" s="101"/>
      <c r="AX69" s="101"/>
      <c r="AY69" s="101"/>
      <c r="AZ69" s="101"/>
      <c r="BA69" s="101"/>
      <c r="BB69" s="103"/>
      <c r="BC69" s="103"/>
      <c r="BD69" s="103"/>
      <c r="BE69" s="101"/>
      <c r="BF69" s="101"/>
      <c r="BG69" s="101"/>
      <c r="BH69" s="101"/>
      <c r="BI69" s="101"/>
      <c r="BM69" s="101"/>
      <c r="BN69" s="101"/>
      <c r="BO69" s="101"/>
      <c r="BP69" s="101"/>
      <c r="BQ69" s="101"/>
      <c r="BR69" s="101"/>
      <c r="BS69" s="101"/>
      <c r="BT69" s="104"/>
      <c r="BU69" s="104"/>
      <c r="BV69" s="104"/>
      <c r="BW69" s="104"/>
      <c r="BX69" s="104"/>
      <c r="BY69" s="104"/>
      <c r="BZ69" s="104"/>
      <c r="CA69" s="104"/>
      <c r="CB69" s="104"/>
      <c r="CC69" s="104"/>
      <c r="CD69" s="104"/>
      <c r="CE69" s="104"/>
      <c r="CF69" s="104"/>
      <c r="CG69" s="104"/>
      <c r="CH69" s="104"/>
      <c r="CI69" s="104"/>
      <c r="CJ69" s="104"/>
      <c r="CK69" s="104"/>
      <c r="CL69" s="104"/>
      <c r="CM69" s="104"/>
      <c r="CN69" s="104"/>
      <c r="CO69" s="104"/>
      <c r="CP69" s="98"/>
      <c r="CR69" s="101"/>
      <c r="CS69" s="101"/>
      <c r="CT69" s="101"/>
      <c r="CU69" s="101"/>
      <c r="CV69" s="101"/>
      <c r="FL69" s="103"/>
      <c r="FN69" s="103"/>
      <c r="FP69" s="103"/>
      <c r="FR69" s="103"/>
    </row>
    <row r="70" spans="2:174" x14ac:dyDescent="0.35">
      <c r="B70" s="97"/>
      <c r="G70" s="100"/>
      <c r="K70" s="98"/>
      <c r="L70" s="101"/>
      <c r="M70" s="101"/>
      <c r="N70" s="101"/>
      <c r="O70" s="101"/>
      <c r="P70" s="102"/>
      <c r="Q70" s="101"/>
      <c r="R70" s="98"/>
      <c r="S70" s="98"/>
      <c r="T70" s="98"/>
      <c r="U70" s="98"/>
      <c r="V70" s="98"/>
      <c r="W70" s="98"/>
      <c r="X70" s="98"/>
      <c r="Y70" s="98"/>
      <c r="Z70" s="103"/>
      <c r="AA70" s="103"/>
      <c r="AB70" s="103"/>
      <c r="AC70" s="103"/>
      <c r="AD70" s="103"/>
      <c r="AE70" s="103"/>
      <c r="AF70" s="103"/>
      <c r="AG70" s="101"/>
      <c r="AH70" s="101"/>
      <c r="AI70" s="101"/>
      <c r="AJ70" s="101"/>
      <c r="AK70" s="101"/>
      <c r="AL70" s="101"/>
      <c r="AM70" s="101"/>
      <c r="AN70" s="103"/>
      <c r="AO70" s="103"/>
      <c r="AP70" s="103"/>
      <c r="AQ70" s="103"/>
      <c r="AR70" s="103"/>
      <c r="AS70" s="103"/>
      <c r="AT70" s="103"/>
      <c r="AU70" s="101"/>
      <c r="AV70" s="101"/>
      <c r="AW70" s="101"/>
      <c r="AX70" s="101"/>
      <c r="AY70" s="101"/>
      <c r="AZ70" s="101"/>
      <c r="BA70" s="101"/>
      <c r="BB70" s="103"/>
      <c r="BC70" s="103"/>
      <c r="BD70" s="103"/>
      <c r="BE70" s="101"/>
      <c r="BF70" s="101"/>
      <c r="BG70" s="101"/>
      <c r="BH70" s="101"/>
      <c r="BI70" s="101"/>
      <c r="BM70" s="101"/>
      <c r="BN70" s="101"/>
      <c r="BO70" s="101"/>
      <c r="BP70" s="101"/>
      <c r="BQ70" s="101"/>
      <c r="BR70" s="101"/>
      <c r="BS70" s="101"/>
      <c r="BT70" s="104"/>
      <c r="BU70" s="104"/>
      <c r="BV70" s="104"/>
      <c r="BW70" s="104"/>
      <c r="BX70" s="104"/>
      <c r="BY70" s="104"/>
      <c r="BZ70" s="104"/>
      <c r="CA70" s="104"/>
      <c r="CB70" s="104"/>
      <c r="CC70" s="104"/>
      <c r="CD70" s="104"/>
      <c r="CE70" s="104"/>
      <c r="CF70" s="104"/>
      <c r="CG70" s="104"/>
      <c r="CH70" s="104"/>
      <c r="CI70" s="104"/>
      <c r="CJ70" s="104"/>
      <c r="CK70" s="104"/>
      <c r="CL70" s="104"/>
      <c r="CM70" s="104"/>
      <c r="CN70" s="104"/>
      <c r="CO70" s="104"/>
      <c r="CP70" s="98"/>
      <c r="CR70" s="101"/>
      <c r="CS70" s="101"/>
      <c r="CT70" s="101"/>
      <c r="CU70" s="101"/>
      <c r="CV70" s="101"/>
      <c r="FL70" s="103"/>
      <c r="FN70" s="103"/>
      <c r="FP70" s="103"/>
      <c r="FR70" s="103"/>
    </row>
    <row r="71" spans="2:174" x14ac:dyDescent="0.35">
      <c r="B71" s="97"/>
      <c r="G71" s="100"/>
      <c r="K71" s="98"/>
      <c r="L71" s="101"/>
      <c r="M71" s="101"/>
      <c r="N71" s="101"/>
      <c r="O71" s="101"/>
      <c r="P71" s="102"/>
      <c r="Q71" s="101"/>
      <c r="R71" s="98"/>
      <c r="S71" s="98"/>
      <c r="T71" s="98"/>
      <c r="U71" s="98"/>
      <c r="V71" s="98"/>
      <c r="W71" s="98"/>
      <c r="X71" s="98"/>
      <c r="Y71" s="98"/>
      <c r="Z71" s="103"/>
      <c r="AA71" s="103"/>
      <c r="AB71" s="103"/>
      <c r="AC71" s="103"/>
      <c r="AD71" s="103"/>
      <c r="AE71" s="103"/>
      <c r="AF71" s="103"/>
      <c r="AG71" s="101"/>
      <c r="AH71" s="101"/>
      <c r="AI71" s="101"/>
      <c r="AJ71" s="101"/>
      <c r="AK71" s="101"/>
      <c r="AL71" s="101"/>
      <c r="AM71" s="101"/>
      <c r="AN71" s="103"/>
      <c r="AO71" s="103"/>
      <c r="AP71" s="103"/>
      <c r="AQ71" s="103"/>
      <c r="AR71" s="103"/>
      <c r="AS71" s="103"/>
      <c r="AT71" s="103"/>
      <c r="AU71" s="101"/>
      <c r="AV71" s="101"/>
      <c r="AW71" s="101"/>
      <c r="AX71" s="101"/>
      <c r="AY71" s="101"/>
      <c r="AZ71" s="101"/>
      <c r="BA71" s="101"/>
      <c r="BB71" s="103"/>
      <c r="BC71" s="103"/>
      <c r="BD71" s="103"/>
      <c r="BE71" s="101"/>
      <c r="BF71" s="101"/>
      <c r="BG71" s="101"/>
      <c r="BH71" s="101"/>
      <c r="BI71" s="101"/>
      <c r="BM71" s="101"/>
      <c r="BN71" s="101"/>
      <c r="BO71" s="101"/>
      <c r="BP71" s="101"/>
      <c r="BQ71" s="101"/>
      <c r="BR71" s="101"/>
      <c r="BS71" s="101"/>
      <c r="BT71" s="104"/>
      <c r="BU71" s="104"/>
      <c r="BV71" s="104"/>
      <c r="BW71" s="104"/>
      <c r="BX71" s="104"/>
      <c r="BY71" s="104"/>
      <c r="BZ71" s="104"/>
      <c r="CA71" s="104"/>
      <c r="CB71" s="104"/>
      <c r="CC71" s="104"/>
      <c r="CD71" s="104"/>
      <c r="CE71" s="104"/>
      <c r="CF71" s="104"/>
      <c r="CG71" s="104"/>
      <c r="CH71" s="104"/>
      <c r="CI71" s="104"/>
      <c r="CJ71" s="104"/>
      <c r="CK71" s="104"/>
      <c r="CL71" s="104"/>
      <c r="CM71" s="104"/>
      <c r="CN71" s="104"/>
      <c r="CO71" s="104"/>
      <c r="CP71" s="98"/>
      <c r="CR71" s="101"/>
      <c r="CS71" s="101"/>
      <c r="CT71" s="101"/>
      <c r="CU71" s="101"/>
      <c r="CV71" s="101"/>
      <c r="FL71" s="103"/>
      <c r="FN71" s="103"/>
      <c r="FP71" s="103"/>
      <c r="FR71" s="103"/>
    </row>
    <row r="72" spans="2:174" x14ac:dyDescent="0.35">
      <c r="B72" s="97"/>
      <c r="G72" s="100"/>
      <c r="K72" s="98"/>
      <c r="L72" s="101"/>
      <c r="M72" s="101"/>
      <c r="N72" s="101"/>
      <c r="O72" s="101"/>
      <c r="P72" s="102"/>
      <c r="Q72" s="101"/>
      <c r="R72" s="98"/>
      <c r="S72" s="98"/>
      <c r="T72" s="98"/>
      <c r="U72" s="98"/>
      <c r="V72" s="98"/>
      <c r="W72" s="98"/>
      <c r="X72" s="98"/>
      <c r="Y72" s="98"/>
      <c r="Z72" s="103"/>
      <c r="AA72" s="103"/>
      <c r="AB72" s="103"/>
      <c r="AC72" s="103"/>
      <c r="AD72" s="103"/>
      <c r="AE72" s="103"/>
      <c r="AF72" s="103"/>
      <c r="AG72" s="101"/>
      <c r="AH72" s="101"/>
      <c r="AI72" s="101"/>
      <c r="AJ72" s="101"/>
      <c r="AK72" s="101"/>
      <c r="AL72" s="101"/>
      <c r="AM72" s="101"/>
      <c r="AN72" s="103"/>
      <c r="AO72" s="103"/>
      <c r="AP72" s="103"/>
      <c r="AQ72" s="103"/>
      <c r="AR72" s="103"/>
      <c r="AS72" s="103"/>
      <c r="AT72" s="103"/>
      <c r="AU72" s="101"/>
      <c r="AV72" s="101"/>
      <c r="AW72" s="101"/>
      <c r="AX72" s="101"/>
      <c r="AY72" s="101"/>
      <c r="AZ72" s="101"/>
      <c r="BA72" s="101"/>
      <c r="BB72" s="103"/>
      <c r="BC72" s="103"/>
      <c r="BD72" s="103"/>
      <c r="BE72" s="101"/>
      <c r="BF72" s="101"/>
      <c r="BG72" s="101"/>
      <c r="BH72" s="101"/>
      <c r="BI72" s="101"/>
      <c r="BM72" s="101"/>
      <c r="BN72" s="101"/>
      <c r="BO72" s="101"/>
      <c r="BP72" s="101"/>
      <c r="BQ72" s="101"/>
      <c r="BR72" s="101"/>
      <c r="BS72" s="101"/>
      <c r="BT72" s="104"/>
      <c r="BU72" s="104"/>
      <c r="BV72" s="104"/>
      <c r="BW72" s="104"/>
      <c r="BX72" s="104"/>
      <c r="BY72" s="104"/>
      <c r="BZ72" s="104"/>
      <c r="CA72" s="104"/>
      <c r="CB72" s="104"/>
      <c r="CC72" s="104"/>
      <c r="CD72" s="104"/>
      <c r="CE72" s="104"/>
      <c r="CF72" s="104"/>
      <c r="CG72" s="104"/>
      <c r="CH72" s="104"/>
      <c r="CI72" s="104"/>
      <c r="CJ72" s="104"/>
      <c r="CK72" s="104"/>
      <c r="CL72" s="104"/>
      <c r="CM72" s="104"/>
      <c r="CN72" s="104"/>
      <c r="CO72" s="104"/>
      <c r="CP72" s="98"/>
      <c r="CR72" s="101"/>
      <c r="CS72" s="101"/>
      <c r="CT72" s="101"/>
      <c r="CU72" s="101"/>
      <c r="CV72" s="101"/>
      <c r="FL72" s="103"/>
      <c r="FN72" s="103"/>
      <c r="FP72" s="103"/>
      <c r="FR72" s="103"/>
    </row>
    <row r="73" spans="2:174" x14ac:dyDescent="0.35">
      <c r="B73" s="97"/>
      <c r="G73" s="100"/>
      <c r="K73" s="98"/>
      <c r="L73" s="101"/>
      <c r="M73" s="101"/>
      <c r="N73" s="101"/>
      <c r="O73" s="101"/>
      <c r="P73" s="102"/>
      <c r="Q73" s="101"/>
      <c r="R73" s="98"/>
      <c r="S73" s="98"/>
      <c r="T73" s="98"/>
      <c r="U73" s="98"/>
      <c r="V73" s="98"/>
      <c r="W73" s="98"/>
      <c r="X73" s="98"/>
      <c r="Y73" s="98"/>
      <c r="Z73" s="103"/>
      <c r="AA73" s="103"/>
      <c r="AB73" s="103"/>
      <c r="AC73" s="103"/>
      <c r="AD73" s="103"/>
      <c r="AE73" s="103"/>
      <c r="AF73" s="103"/>
      <c r="AG73" s="101"/>
      <c r="AH73" s="101"/>
      <c r="AI73" s="101"/>
      <c r="AJ73" s="101"/>
      <c r="AK73" s="101"/>
      <c r="AL73" s="101"/>
      <c r="AM73" s="101"/>
      <c r="AN73" s="103"/>
      <c r="AO73" s="103"/>
      <c r="AP73" s="103"/>
      <c r="AQ73" s="103"/>
      <c r="AR73" s="103"/>
      <c r="AS73" s="103"/>
      <c r="AT73" s="103"/>
      <c r="AU73" s="101"/>
      <c r="AV73" s="101"/>
      <c r="AW73" s="101"/>
      <c r="AX73" s="101"/>
      <c r="AY73" s="101"/>
      <c r="AZ73" s="101"/>
      <c r="BA73" s="101"/>
      <c r="BB73" s="103"/>
      <c r="BC73" s="103"/>
      <c r="BD73" s="103"/>
      <c r="BE73" s="101"/>
      <c r="BF73" s="101"/>
      <c r="BG73" s="101"/>
      <c r="BH73" s="101"/>
      <c r="BI73" s="101"/>
      <c r="BM73" s="101"/>
      <c r="BN73" s="101"/>
      <c r="BO73" s="101"/>
      <c r="BP73" s="101"/>
      <c r="BQ73" s="101"/>
      <c r="BR73" s="101"/>
      <c r="BS73" s="101"/>
      <c r="BT73" s="104"/>
      <c r="BU73" s="104"/>
      <c r="BV73" s="104"/>
      <c r="BW73" s="104"/>
      <c r="BX73" s="104"/>
      <c r="BY73" s="104"/>
      <c r="BZ73" s="104"/>
      <c r="CA73" s="104"/>
      <c r="CB73" s="104"/>
      <c r="CC73" s="104"/>
      <c r="CD73" s="104"/>
      <c r="CE73" s="104"/>
      <c r="CF73" s="104"/>
      <c r="CG73" s="104"/>
      <c r="CH73" s="104"/>
      <c r="CI73" s="104"/>
      <c r="CJ73" s="104"/>
      <c r="CK73" s="104"/>
      <c r="CL73" s="104"/>
      <c r="CM73" s="104"/>
      <c r="CN73" s="104"/>
      <c r="CO73" s="104"/>
      <c r="CP73" s="98"/>
      <c r="CR73" s="101"/>
      <c r="CS73" s="101"/>
      <c r="CT73" s="101"/>
      <c r="CU73" s="101"/>
      <c r="CV73" s="101"/>
      <c r="FL73" s="103"/>
      <c r="FN73" s="103"/>
      <c r="FP73" s="103"/>
      <c r="FR73" s="103"/>
    </row>
    <row r="74" spans="2:174" x14ac:dyDescent="0.35">
      <c r="B74" s="97"/>
      <c r="G74" s="100"/>
      <c r="K74" s="98"/>
      <c r="L74" s="101"/>
      <c r="M74" s="101"/>
      <c r="N74" s="101"/>
      <c r="O74" s="101"/>
      <c r="P74" s="102"/>
      <c r="Q74" s="101"/>
      <c r="R74" s="98"/>
      <c r="S74" s="98"/>
      <c r="T74" s="98"/>
      <c r="U74" s="98"/>
      <c r="V74" s="98"/>
      <c r="W74" s="98"/>
      <c r="X74" s="98"/>
      <c r="Y74" s="98"/>
      <c r="Z74" s="103"/>
      <c r="AA74" s="103"/>
      <c r="AB74" s="103"/>
      <c r="AC74" s="103"/>
      <c r="AD74" s="103"/>
      <c r="AE74" s="103"/>
      <c r="AF74" s="103"/>
      <c r="AG74" s="101"/>
      <c r="AH74" s="101"/>
      <c r="AI74" s="101"/>
      <c r="AJ74" s="101"/>
      <c r="AK74" s="101"/>
      <c r="AL74" s="101"/>
      <c r="AM74" s="101"/>
      <c r="AN74" s="103"/>
      <c r="AO74" s="103"/>
      <c r="AP74" s="103"/>
      <c r="AQ74" s="103"/>
      <c r="AR74" s="103"/>
      <c r="AS74" s="103"/>
      <c r="AT74" s="103"/>
      <c r="AU74" s="101"/>
      <c r="AV74" s="101"/>
      <c r="AW74" s="101"/>
      <c r="AX74" s="101"/>
      <c r="AY74" s="101"/>
      <c r="AZ74" s="101"/>
      <c r="BA74" s="101"/>
      <c r="BB74" s="103"/>
      <c r="BC74" s="103"/>
      <c r="BD74" s="103"/>
      <c r="BE74" s="101"/>
      <c r="BF74" s="101"/>
      <c r="BG74" s="101"/>
      <c r="BH74" s="101"/>
      <c r="BI74" s="101"/>
      <c r="BM74" s="101"/>
      <c r="BN74" s="101"/>
      <c r="BO74" s="101"/>
      <c r="BP74" s="101"/>
      <c r="BQ74" s="101"/>
      <c r="BR74" s="101"/>
      <c r="BS74" s="101"/>
      <c r="BT74" s="104"/>
      <c r="BU74" s="104"/>
      <c r="BV74" s="104"/>
      <c r="BW74" s="104"/>
      <c r="BX74" s="104"/>
      <c r="BY74" s="104"/>
      <c r="BZ74" s="104"/>
      <c r="CA74" s="104"/>
      <c r="CB74" s="104"/>
      <c r="CC74" s="104"/>
      <c r="CD74" s="104"/>
      <c r="CE74" s="104"/>
      <c r="CF74" s="104"/>
      <c r="CG74" s="104"/>
      <c r="CH74" s="104"/>
      <c r="CI74" s="104"/>
      <c r="CJ74" s="104"/>
      <c r="CK74" s="104"/>
      <c r="CL74" s="104"/>
      <c r="CM74" s="104"/>
      <c r="CN74" s="104"/>
      <c r="CO74" s="104"/>
      <c r="CP74" s="98"/>
      <c r="CR74" s="101"/>
      <c r="CS74" s="101"/>
      <c r="CT74" s="101"/>
      <c r="CU74" s="101"/>
      <c r="CV74" s="101"/>
      <c r="FL74" s="103"/>
      <c r="FN74" s="103"/>
      <c r="FP74" s="103"/>
      <c r="FR74" s="103"/>
    </row>
    <row r="75" spans="2:174" x14ac:dyDescent="0.35">
      <c r="B75" s="97"/>
      <c r="G75" s="100"/>
      <c r="K75" s="98"/>
      <c r="L75" s="101"/>
      <c r="M75" s="101"/>
      <c r="N75" s="101"/>
      <c r="O75" s="101"/>
      <c r="P75" s="102"/>
      <c r="Q75" s="101"/>
      <c r="R75" s="98"/>
      <c r="S75" s="98"/>
      <c r="T75" s="98"/>
      <c r="U75" s="98"/>
      <c r="V75" s="98"/>
      <c r="W75" s="98"/>
      <c r="X75" s="98"/>
      <c r="Y75" s="98"/>
      <c r="Z75" s="103"/>
      <c r="AA75" s="103"/>
      <c r="AB75" s="103"/>
      <c r="AC75" s="103"/>
      <c r="AD75" s="103"/>
      <c r="AE75" s="103"/>
      <c r="AF75" s="103"/>
      <c r="AG75" s="101"/>
      <c r="AH75" s="101"/>
      <c r="AI75" s="101"/>
      <c r="AJ75" s="101"/>
      <c r="AK75" s="101"/>
      <c r="AL75" s="101"/>
      <c r="AM75" s="101"/>
      <c r="AN75" s="103"/>
      <c r="AO75" s="103"/>
      <c r="AP75" s="103"/>
      <c r="AQ75" s="103"/>
      <c r="AR75" s="103"/>
      <c r="AS75" s="103"/>
      <c r="AT75" s="103"/>
      <c r="AU75" s="101"/>
      <c r="AV75" s="101"/>
      <c r="AW75" s="101"/>
      <c r="AX75" s="101"/>
      <c r="AY75" s="101"/>
      <c r="AZ75" s="101"/>
      <c r="BA75" s="101"/>
      <c r="BB75" s="103"/>
      <c r="BC75" s="103"/>
      <c r="BD75" s="103"/>
      <c r="BE75" s="101"/>
      <c r="BF75" s="101"/>
      <c r="BG75" s="101"/>
      <c r="BH75" s="101"/>
      <c r="BI75" s="101"/>
      <c r="BM75" s="101"/>
      <c r="BN75" s="101"/>
      <c r="BO75" s="101"/>
      <c r="BP75" s="101"/>
      <c r="BQ75" s="101"/>
      <c r="BR75" s="101"/>
      <c r="BS75" s="101"/>
      <c r="BT75" s="104"/>
      <c r="BU75" s="104"/>
      <c r="BV75" s="104"/>
      <c r="BW75" s="104"/>
      <c r="BX75" s="104"/>
      <c r="BY75" s="104"/>
      <c r="BZ75" s="104"/>
      <c r="CA75" s="104"/>
      <c r="CB75" s="104"/>
      <c r="CC75" s="104"/>
      <c r="CD75" s="104"/>
      <c r="CE75" s="104"/>
      <c r="CF75" s="104"/>
      <c r="CG75" s="104"/>
      <c r="CH75" s="104"/>
      <c r="CI75" s="104"/>
      <c r="CJ75" s="104"/>
      <c r="CK75" s="104"/>
      <c r="CL75" s="104"/>
      <c r="CM75" s="104"/>
      <c r="CN75" s="104"/>
      <c r="CO75" s="104"/>
      <c r="CP75" s="98"/>
      <c r="CR75" s="101"/>
      <c r="CS75" s="101"/>
      <c r="CT75" s="101"/>
      <c r="CU75" s="101"/>
      <c r="CV75" s="101"/>
      <c r="FL75" s="103"/>
      <c r="FN75" s="103"/>
      <c r="FP75" s="103"/>
      <c r="FR75" s="103"/>
    </row>
    <row r="76" spans="2:174" x14ac:dyDescent="0.35">
      <c r="B76" s="97"/>
      <c r="G76" s="100"/>
      <c r="K76" s="98"/>
      <c r="L76" s="101"/>
      <c r="M76" s="101"/>
      <c r="N76" s="101"/>
      <c r="O76" s="101"/>
      <c r="P76" s="102"/>
      <c r="Q76" s="101"/>
      <c r="R76" s="98"/>
      <c r="S76" s="98"/>
      <c r="T76" s="98"/>
      <c r="U76" s="98"/>
      <c r="V76" s="98"/>
      <c r="W76" s="98"/>
      <c r="X76" s="98"/>
      <c r="Y76" s="98"/>
      <c r="Z76" s="103"/>
      <c r="AA76" s="103"/>
      <c r="AB76" s="103"/>
      <c r="AC76" s="103"/>
      <c r="AD76" s="103"/>
      <c r="AE76" s="103"/>
      <c r="AF76" s="103"/>
      <c r="AG76" s="101"/>
      <c r="AH76" s="101"/>
      <c r="AI76" s="101"/>
      <c r="AJ76" s="101"/>
      <c r="AK76" s="101"/>
      <c r="AL76" s="101"/>
      <c r="AM76" s="101"/>
      <c r="AN76" s="103"/>
      <c r="AO76" s="103"/>
      <c r="AP76" s="103"/>
      <c r="AQ76" s="103"/>
      <c r="AR76" s="103"/>
      <c r="AS76" s="103"/>
      <c r="AT76" s="103"/>
      <c r="AU76" s="101"/>
      <c r="AV76" s="101"/>
      <c r="AW76" s="101"/>
      <c r="AX76" s="101"/>
      <c r="AY76" s="101"/>
      <c r="AZ76" s="101"/>
      <c r="BA76" s="101"/>
      <c r="BB76" s="103"/>
      <c r="BC76" s="103"/>
      <c r="BD76" s="103"/>
      <c r="BE76" s="101"/>
      <c r="BF76" s="101"/>
      <c r="BG76" s="101"/>
      <c r="BH76" s="101"/>
      <c r="BI76" s="101"/>
      <c r="BM76" s="101"/>
      <c r="BN76" s="101"/>
      <c r="BO76" s="101"/>
      <c r="BP76" s="101"/>
      <c r="BQ76" s="101"/>
      <c r="BR76" s="101"/>
      <c r="BS76" s="101"/>
      <c r="BT76" s="104"/>
      <c r="BU76" s="104"/>
      <c r="BV76" s="104"/>
      <c r="BW76" s="104"/>
      <c r="BX76" s="104"/>
      <c r="BY76" s="104"/>
      <c r="BZ76" s="104"/>
      <c r="CA76" s="104"/>
      <c r="CB76" s="104"/>
      <c r="CC76" s="104"/>
      <c r="CD76" s="104"/>
      <c r="CE76" s="104"/>
      <c r="CF76" s="104"/>
      <c r="CG76" s="104"/>
      <c r="CH76" s="104"/>
      <c r="CI76" s="104"/>
      <c r="CJ76" s="104"/>
      <c r="CK76" s="104"/>
      <c r="CL76" s="104"/>
      <c r="CM76" s="104"/>
      <c r="CN76" s="104"/>
      <c r="CO76" s="104"/>
      <c r="CP76" s="98"/>
      <c r="CR76" s="101"/>
      <c r="CS76" s="101"/>
      <c r="CT76" s="101"/>
      <c r="CU76" s="101"/>
      <c r="CV76" s="101"/>
      <c r="FL76" s="103"/>
      <c r="FN76" s="103"/>
      <c r="FP76" s="103"/>
      <c r="FR76" s="103"/>
    </row>
    <row r="77" spans="2:174" x14ac:dyDescent="0.35">
      <c r="B77" s="97"/>
      <c r="G77" s="100"/>
      <c r="K77" s="98"/>
      <c r="L77" s="101"/>
      <c r="M77" s="101"/>
      <c r="N77" s="101"/>
      <c r="O77" s="101"/>
      <c r="P77" s="102"/>
      <c r="Q77" s="101"/>
      <c r="R77" s="98"/>
      <c r="S77" s="98"/>
      <c r="T77" s="98"/>
      <c r="U77" s="98"/>
      <c r="V77" s="98"/>
      <c r="W77" s="98"/>
      <c r="X77" s="98"/>
      <c r="Y77" s="98"/>
      <c r="Z77" s="103"/>
      <c r="AA77" s="103"/>
      <c r="AB77" s="103"/>
      <c r="AC77" s="103"/>
      <c r="AD77" s="103"/>
      <c r="AE77" s="103"/>
      <c r="AF77" s="103"/>
      <c r="AG77" s="101"/>
      <c r="AH77" s="101"/>
      <c r="AI77" s="101"/>
      <c r="AJ77" s="101"/>
      <c r="AK77" s="101"/>
      <c r="AL77" s="101"/>
      <c r="AM77" s="101"/>
      <c r="AN77" s="103"/>
      <c r="AO77" s="103"/>
      <c r="AP77" s="103"/>
      <c r="AQ77" s="103"/>
      <c r="AR77" s="103"/>
      <c r="AS77" s="103"/>
      <c r="AT77" s="103"/>
      <c r="AU77" s="101"/>
      <c r="AV77" s="101"/>
      <c r="AW77" s="101"/>
      <c r="AX77" s="101"/>
      <c r="AY77" s="101"/>
      <c r="AZ77" s="101"/>
      <c r="BA77" s="101"/>
      <c r="BB77" s="103"/>
      <c r="BC77" s="103"/>
      <c r="BD77" s="103"/>
      <c r="BE77" s="101"/>
      <c r="BF77" s="101"/>
      <c r="BG77" s="101"/>
      <c r="BH77" s="101"/>
      <c r="BI77" s="101"/>
      <c r="BM77" s="101"/>
      <c r="BN77" s="101"/>
      <c r="BO77" s="101"/>
      <c r="BP77" s="101"/>
      <c r="BQ77" s="101"/>
      <c r="BR77" s="101"/>
      <c r="BS77" s="101"/>
      <c r="BT77" s="104"/>
      <c r="BU77" s="104"/>
      <c r="BV77" s="104"/>
      <c r="BW77" s="104"/>
      <c r="BX77" s="104"/>
      <c r="BY77" s="104"/>
      <c r="BZ77" s="104"/>
      <c r="CA77" s="104"/>
      <c r="CB77" s="104"/>
      <c r="CC77" s="104"/>
      <c r="CD77" s="104"/>
      <c r="CE77" s="104"/>
      <c r="CF77" s="104"/>
      <c r="CG77" s="104"/>
      <c r="CH77" s="104"/>
      <c r="CI77" s="104"/>
      <c r="CJ77" s="104"/>
      <c r="CK77" s="104"/>
      <c r="CL77" s="104"/>
      <c r="CM77" s="104"/>
      <c r="CN77" s="104"/>
      <c r="CO77" s="104"/>
      <c r="CP77" s="98"/>
      <c r="CR77" s="101"/>
      <c r="CS77" s="101"/>
      <c r="CT77" s="101"/>
      <c r="CU77" s="101"/>
      <c r="CV77" s="101"/>
      <c r="FL77" s="103"/>
      <c r="FN77" s="103"/>
      <c r="FP77" s="103"/>
      <c r="FR77" s="103"/>
    </row>
    <row r="78" spans="2:174" x14ac:dyDescent="0.35">
      <c r="B78" s="97"/>
      <c r="G78" s="100"/>
      <c r="K78" s="98"/>
      <c r="L78" s="101"/>
      <c r="M78" s="101"/>
      <c r="N78" s="101"/>
      <c r="O78" s="101"/>
      <c r="P78" s="102"/>
      <c r="Q78" s="101"/>
      <c r="R78" s="98"/>
      <c r="S78" s="98"/>
      <c r="T78" s="98"/>
      <c r="U78" s="98"/>
      <c r="V78" s="98"/>
      <c r="W78" s="98"/>
      <c r="X78" s="98"/>
      <c r="Y78" s="98"/>
      <c r="Z78" s="103"/>
      <c r="AA78" s="103"/>
      <c r="AB78" s="103"/>
      <c r="AC78" s="103"/>
      <c r="AD78" s="103"/>
      <c r="AE78" s="103"/>
      <c r="AF78" s="103"/>
      <c r="AG78" s="101"/>
      <c r="AH78" s="101"/>
      <c r="AI78" s="101"/>
      <c r="AJ78" s="101"/>
      <c r="AK78" s="101"/>
      <c r="AL78" s="101"/>
      <c r="AM78" s="101"/>
      <c r="AN78" s="103"/>
      <c r="AO78" s="103"/>
      <c r="AP78" s="103"/>
      <c r="AQ78" s="103"/>
      <c r="AR78" s="103"/>
      <c r="AS78" s="103"/>
      <c r="AT78" s="103"/>
      <c r="AU78" s="101"/>
      <c r="AV78" s="101"/>
      <c r="AW78" s="101"/>
      <c r="AX78" s="101"/>
      <c r="AY78" s="101"/>
      <c r="AZ78" s="101"/>
      <c r="BA78" s="101"/>
      <c r="BB78" s="103"/>
      <c r="BC78" s="103"/>
      <c r="BD78" s="103"/>
      <c r="BE78" s="101"/>
      <c r="BF78" s="101"/>
      <c r="BG78" s="101"/>
      <c r="BH78" s="101"/>
      <c r="BI78" s="101"/>
      <c r="BM78" s="101"/>
      <c r="BN78" s="101"/>
      <c r="BO78" s="101"/>
      <c r="BP78" s="101"/>
      <c r="BQ78" s="101"/>
      <c r="BR78" s="101"/>
      <c r="BS78" s="101"/>
      <c r="BT78" s="104"/>
      <c r="BU78" s="104"/>
      <c r="BV78" s="104"/>
      <c r="BW78" s="104"/>
      <c r="BX78" s="104"/>
      <c r="BY78" s="104"/>
      <c r="BZ78" s="104"/>
      <c r="CA78" s="104"/>
      <c r="CB78" s="104"/>
      <c r="CC78" s="104"/>
      <c r="CD78" s="104"/>
      <c r="CE78" s="104"/>
      <c r="CF78" s="104"/>
      <c r="CG78" s="104"/>
      <c r="CH78" s="104"/>
      <c r="CI78" s="104"/>
      <c r="CJ78" s="104"/>
      <c r="CK78" s="104"/>
      <c r="CL78" s="104"/>
      <c r="CM78" s="104"/>
      <c r="CN78" s="104"/>
      <c r="CO78" s="104"/>
      <c r="CP78" s="98"/>
      <c r="CR78" s="101"/>
      <c r="CS78" s="101"/>
      <c r="CT78" s="101"/>
      <c r="CU78" s="101"/>
      <c r="CV78" s="101"/>
      <c r="FL78" s="103"/>
      <c r="FN78" s="103"/>
      <c r="FP78" s="103"/>
      <c r="FR78" s="103"/>
    </row>
    <row r="79" spans="2:174" x14ac:dyDescent="0.35">
      <c r="B79" s="97"/>
      <c r="G79" s="100"/>
      <c r="K79" s="98"/>
      <c r="L79" s="101"/>
      <c r="M79" s="101"/>
      <c r="N79" s="101"/>
      <c r="O79" s="101"/>
      <c r="P79" s="102"/>
      <c r="Q79" s="101"/>
      <c r="R79" s="98"/>
      <c r="S79" s="98"/>
      <c r="T79" s="98"/>
      <c r="U79" s="98"/>
      <c r="V79" s="98"/>
      <c r="W79" s="98"/>
      <c r="X79" s="98"/>
      <c r="Y79" s="98"/>
      <c r="Z79" s="103"/>
      <c r="AA79" s="103"/>
      <c r="AB79" s="103"/>
      <c r="AC79" s="103"/>
      <c r="AD79" s="103"/>
      <c r="AE79" s="103"/>
      <c r="AF79" s="103"/>
      <c r="AG79" s="101"/>
      <c r="AH79" s="101"/>
      <c r="AI79" s="101"/>
      <c r="AJ79" s="101"/>
      <c r="AK79" s="101"/>
      <c r="AL79" s="101"/>
      <c r="AM79" s="101"/>
      <c r="AN79" s="103"/>
      <c r="AO79" s="103"/>
      <c r="AP79" s="103"/>
      <c r="AQ79" s="103"/>
      <c r="AR79" s="103"/>
      <c r="AS79" s="103"/>
      <c r="AT79" s="103"/>
      <c r="AU79" s="101"/>
      <c r="AV79" s="101"/>
      <c r="AW79" s="101"/>
      <c r="AX79" s="101"/>
      <c r="AY79" s="101"/>
      <c r="AZ79" s="101"/>
      <c r="BA79" s="101"/>
      <c r="BB79" s="103"/>
      <c r="BC79" s="103"/>
      <c r="BD79" s="103"/>
      <c r="BE79" s="101"/>
      <c r="BF79" s="101"/>
      <c r="BG79" s="101"/>
      <c r="BH79" s="101"/>
      <c r="BI79" s="101"/>
      <c r="BM79" s="101"/>
      <c r="BN79" s="101"/>
      <c r="BO79" s="101"/>
      <c r="BP79" s="101"/>
      <c r="BQ79" s="101"/>
      <c r="BR79" s="101"/>
      <c r="BS79" s="101"/>
      <c r="BT79" s="104"/>
      <c r="BU79" s="104"/>
      <c r="BV79" s="104"/>
      <c r="BW79" s="104"/>
      <c r="BX79" s="104"/>
      <c r="BY79" s="104"/>
      <c r="BZ79" s="104"/>
      <c r="CA79" s="104"/>
      <c r="CB79" s="104"/>
      <c r="CC79" s="104"/>
      <c r="CD79" s="104"/>
      <c r="CE79" s="104"/>
      <c r="CF79" s="104"/>
      <c r="CG79" s="104"/>
      <c r="CH79" s="104"/>
      <c r="CI79" s="104"/>
      <c r="CJ79" s="104"/>
      <c r="CK79" s="104"/>
      <c r="CL79" s="104"/>
      <c r="CM79" s="104"/>
      <c r="CN79" s="104"/>
      <c r="CO79" s="104"/>
      <c r="CP79" s="98"/>
      <c r="CR79" s="101"/>
      <c r="CS79" s="101"/>
      <c r="CT79" s="101"/>
      <c r="CU79" s="101"/>
      <c r="CV79" s="101"/>
      <c r="FL79" s="103"/>
      <c r="FN79" s="103"/>
      <c r="FP79" s="103"/>
      <c r="FR79" s="103"/>
    </row>
    <row r="80" spans="2:174" x14ac:dyDescent="0.35">
      <c r="B80" s="97"/>
      <c r="G80" s="100"/>
      <c r="K80" s="98"/>
      <c r="L80" s="101"/>
      <c r="M80" s="101"/>
      <c r="N80" s="101"/>
      <c r="O80" s="101"/>
      <c r="P80" s="102"/>
      <c r="Q80" s="101"/>
      <c r="R80" s="98"/>
      <c r="S80" s="98"/>
      <c r="T80" s="98"/>
      <c r="U80" s="98"/>
      <c r="V80" s="98"/>
      <c r="W80" s="98"/>
      <c r="X80" s="98"/>
      <c r="Y80" s="98"/>
      <c r="Z80" s="103"/>
      <c r="AA80" s="103"/>
      <c r="AB80" s="103"/>
      <c r="AC80" s="103"/>
      <c r="AD80" s="103"/>
      <c r="AE80" s="103"/>
      <c r="AF80" s="103"/>
      <c r="AG80" s="101"/>
      <c r="AH80" s="101"/>
      <c r="AI80" s="101"/>
      <c r="AJ80" s="101"/>
      <c r="AK80" s="101"/>
      <c r="AL80" s="101"/>
      <c r="AM80" s="101"/>
      <c r="AN80" s="103"/>
      <c r="AO80" s="103"/>
      <c r="AP80" s="103"/>
      <c r="AQ80" s="103"/>
      <c r="AR80" s="103"/>
      <c r="AS80" s="103"/>
      <c r="AT80" s="103"/>
      <c r="AU80" s="101"/>
      <c r="AV80" s="101"/>
      <c r="AW80" s="101"/>
      <c r="AX80" s="101"/>
      <c r="AY80" s="101"/>
      <c r="AZ80" s="101"/>
      <c r="BA80" s="101"/>
      <c r="BB80" s="103"/>
      <c r="BC80" s="103"/>
      <c r="BD80" s="103"/>
      <c r="BE80" s="101"/>
      <c r="BF80" s="101"/>
      <c r="BG80" s="101"/>
      <c r="BH80" s="101"/>
      <c r="BI80" s="101"/>
      <c r="BM80" s="101"/>
      <c r="BN80" s="101"/>
      <c r="BO80" s="101"/>
      <c r="BP80" s="101"/>
      <c r="BQ80" s="101"/>
      <c r="BR80" s="101"/>
      <c r="BS80" s="101"/>
      <c r="BT80" s="104"/>
      <c r="BU80" s="104"/>
      <c r="BV80" s="104"/>
      <c r="BW80" s="104"/>
      <c r="BX80" s="104"/>
      <c r="BY80" s="104"/>
      <c r="BZ80" s="104"/>
      <c r="CA80" s="104"/>
      <c r="CB80" s="104"/>
      <c r="CC80" s="104"/>
      <c r="CD80" s="104"/>
      <c r="CE80" s="104"/>
      <c r="CF80" s="104"/>
      <c r="CG80" s="104"/>
      <c r="CH80" s="104"/>
      <c r="CI80" s="104"/>
      <c r="CJ80" s="104"/>
      <c r="CK80" s="104"/>
      <c r="CL80" s="104"/>
      <c r="CM80" s="104"/>
      <c r="CN80" s="104"/>
      <c r="CO80" s="104"/>
      <c r="CP80" s="98"/>
      <c r="CR80" s="101"/>
      <c r="CS80" s="101"/>
      <c r="CT80" s="101"/>
      <c r="CU80" s="101"/>
      <c r="CV80" s="101"/>
      <c r="FL80" s="103"/>
      <c r="FN80" s="103"/>
      <c r="FP80" s="103"/>
      <c r="FR80" s="103"/>
    </row>
    <row r="81" spans="2:174" x14ac:dyDescent="0.35">
      <c r="B81" s="97"/>
      <c r="G81" s="100"/>
      <c r="K81" s="98"/>
      <c r="L81" s="101"/>
      <c r="M81" s="101"/>
      <c r="N81" s="101"/>
      <c r="O81" s="101"/>
      <c r="P81" s="102"/>
      <c r="Q81" s="101"/>
      <c r="R81" s="98"/>
      <c r="S81" s="98"/>
      <c r="T81" s="98"/>
      <c r="U81" s="98"/>
      <c r="V81" s="98"/>
      <c r="W81" s="98"/>
      <c r="X81" s="98"/>
      <c r="Y81" s="98"/>
      <c r="Z81" s="103"/>
      <c r="AA81" s="103"/>
      <c r="AB81" s="103"/>
      <c r="AC81" s="103"/>
      <c r="AD81" s="103"/>
      <c r="AE81" s="103"/>
      <c r="AF81" s="103"/>
      <c r="AG81" s="101"/>
      <c r="AH81" s="101"/>
      <c r="AI81" s="101"/>
      <c r="AJ81" s="101"/>
      <c r="AK81" s="101"/>
      <c r="AL81" s="101"/>
      <c r="AM81" s="101"/>
      <c r="AN81" s="103"/>
      <c r="AO81" s="103"/>
      <c r="AP81" s="103"/>
      <c r="AQ81" s="103"/>
      <c r="AR81" s="103"/>
      <c r="AS81" s="103"/>
      <c r="AT81" s="103"/>
      <c r="AU81" s="101"/>
      <c r="AV81" s="101"/>
      <c r="AW81" s="101"/>
      <c r="AX81" s="101"/>
      <c r="AY81" s="101"/>
      <c r="AZ81" s="101"/>
      <c r="BA81" s="101"/>
      <c r="BB81" s="103"/>
      <c r="BC81" s="103"/>
      <c r="BD81" s="103"/>
      <c r="BE81" s="101"/>
      <c r="BF81" s="101"/>
      <c r="BG81" s="101"/>
      <c r="BH81" s="101"/>
      <c r="BI81" s="101"/>
      <c r="BM81" s="101"/>
      <c r="BN81" s="101"/>
      <c r="BO81" s="101"/>
      <c r="BP81" s="101"/>
      <c r="BQ81" s="101"/>
      <c r="BR81" s="101"/>
      <c r="BS81" s="101"/>
      <c r="BT81" s="104"/>
      <c r="BU81" s="104"/>
      <c r="BV81" s="104"/>
      <c r="BW81" s="104"/>
      <c r="BX81" s="104"/>
      <c r="BY81" s="104"/>
      <c r="BZ81" s="104"/>
      <c r="CA81" s="104"/>
      <c r="CB81" s="104"/>
      <c r="CC81" s="104"/>
      <c r="CD81" s="104"/>
      <c r="CE81" s="104"/>
      <c r="CF81" s="104"/>
      <c r="CG81" s="104"/>
      <c r="CH81" s="104"/>
      <c r="CI81" s="104"/>
      <c r="CJ81" s="104"/>
      <c r="CK81" s="104"/>
      <c r="CL81" s="104"/>
      <c r="CM81" s="104"/>
      <c r="CN81" s="104"/>
      <c r="CO81" s="104"/>
      <c r="CP81" s="98"/>
      <c r="CR81" s="101"/>
      <c r="CS81" s="101"/>
      <c r="CT81" s="101"/>
      <c r="CU81" s="101"/>
      <c r="CV81" s="101"/>
      <c r="FL81" s="103"/>
      <c r="FN81" s="103"/>
      <c r="FP81" s="103"/>
      <c r="FR81" s="103"/>
    </row>
    <row r="82" spans="2:174" x14ac:dyDescent="0.35">
      <c r="B82" s="97"/>
      <c r="G82" s="100"/>
      <c r="K82" s="98"/>
      <c r="L82" s="101"/>
      <c r="M82" s="101"/>
      <c r="N82" s="101"/>
      <c r="O82" s="101"/>
      <c r="P82" s="102"/>
      <c r="Q82" s="101"/>
      <c r="R82" s="98"/>
      <c r="S82" s="98"/>
      <c r="T82" s="98"/>
      <c r="U82" s="98"/>
      <c r="V82" s="98"/>
      <c r="W82" s="98"/>
      <c r="X82" s="98"/>
      <c r="Y82" s="98"/>
      <c r="Z82" s="103"/>
      <c r="AA82" s="103"/>
      <c r="AB82" s="103"/>
      <c r="AC82" s="103"/>
      <c r="AD82" s="103"/>
      <c r="AE82" s="103"/>
      <c r="AF82" s="103"/>
      <c r="AG82" s="101"/>
      <c r="AH82" s="101"/>
      <c r="AI82" s="101"/>
      <c r="AJ82" s="101"/>
      <c r="AK82" s="101"/>
      <c r="AL82" s="101"/>
      <c r="AM82" s="101"/>
      <c r="AN82" s="103"/>
      <c r="AO82" s="103"/>
      <c r="AP82" s="103"/>
      <c r="AQ82" s="103"/>
      <c r="AR82" s="103"/>
      <c r="AS82" s="103"/>
      <c r="AT82" s="103"/>
      <c r="AU82" s="101"/>
      <c r="AV82" s="101"/>
      <c r="AW82" s="101"/>
      <c r="AX82" s="101"/>
      <c r="AY82" s="101"/>
      <c r="AZ82" s="101"/>
      <c r="BA82" s="101"/>
      <c r="BB82" s="103"/>
      <c r="BC82" s="103"/>
      <c r="BD82" s="103"/>
      <c r="BE82" s="101"/>
      <c r="BF82" s="101"/>
      <c r="BG82" s="101"/>
      <c r="BH82" s="101"/>
      <c r="BI82" s="101"/>
      <c r="BM82" s="101"/>
      <c r="BN82" s="101"/>
      <c r="BO82" s="101"/>
      <c r="BP82" s="101"/>
      <c r="BQ82" s="101"/>
      <c r="BR82" s="101"/>
      <c r="BS82" s="101"/>
      <c r="BT82" s="104"/>
      <c r="BU82" s="104"/>
      <c r="BV82" s="104"/>
      <c r="BW82" s="104"/>
      <c r="BX82" s="104"/>
      <c r="BY82" s="104"/>
      <c r="BZ82" s="104"/>
      <c r="CA82" s="104"/>
      <c r="CB82" s="104"/>
      <c r="CC82" s="104"/>
      <c r="CD82" s="104"/>
      <c r="CE82" s="104"/>
      <c r="CF82" s="104"/>
      <c r="CG82" s="104"/>
      <c r="CH82" s="104"/>
      <c r="CI82" s="104"/>
      <c r="CJ82" s="104"/>
      <c r="CK82" s="104"/>
      <c r="CL82" s="104"/>
      <c r="CM82" s="104"/>
      <c r="CN82" s="104"/>
      <c r="CO82" s="104"/>
      <c r="CP82" s="98"/>
      <c r="CR82" s="101"/>
      <c r="CS82" s="101"/>
      <c r="CT82" s="101"/>
      <c r="CU82" s="101"/>
      <c r="CV82" s="101"/>
      <c r="FL82" s="103"/>
      <c r="FN82" s="103"/>
      <c r="FP82" s="103"/>
      <c r="FR82" s="103"/>
    </row>
    <row r="83" spans="2:174" x14ac:dyDescent="0.35">
      <c r="B83" s="97"/>
      <c r="G83" s="100"/>
      <c r="K83" s="98"/>
      <c r="L83" s="101"/>
      <c r="M83" s="101"/>
      <c r="N83" s="101"/>
      <c r="O83" s="101"/>
      <c r="P83" s="102"/>
      <c r="Q83" s="101"/>
      <c r="R83" s="98"/>
      <c r="S83" s="98"/>
      <c r="T83" s="98"/>
      <c r="U83" s="98"/>
      <c r="V83" s="98"/>
      <c r="W83" s="98"/>
      <c r="X83" s="98"/>
      <c r="Y83" s="98"/>
      <c r="Z83" s="103"/>
      <c r="AA83" s="103"/>
      <c r="AB83" s="103"/>
      <c r="AC83" s="103"/>
      <c r="AD83" s="103"/>
      <c r="AE83" s="103"/>
      <c r="AF83" s="103"/>
      <c r="AG83" s="101"/>
      <c r="AH83" s="101"/>
      <c r="AI83" s="101"/>
      <c r="AJ83" s="101"/>
      <c r="AK83" s="101"/>
      <c r="AL83" s="101"/>
      <c r="AM83" s="101"/>
      <c r="AN83" s="103"/>
      <c r="AO83" s="103"/>
      <c r="AP83" s="103"/>
      <c r="AQ83" s="103"/>
      <c r="AR83" s="103"/>
      <c r="AS83" s="103"/>
      <c r="AT83" s="103"/>
      <c r="AU83" s="101"/>
      <c r="AV83" s="101"/>
      <c r="AW83" s="101"/>
      <c r="AX83" s="101"/>
      <c r="AY83" s="101"/>
      <c r="AZ83" s="101"/>
      <c r="BA83" s="101"/>
      <c r="BB83" s="103"/>
      <c r="BC83" s="103"/>
      <c r="BD83" s="103"/>
      <c r="BE83" s="101"/>
      <c r="BF83" s="101"/>
      <c r="BG83" s="101"/>
      <c r="BH83" s="101"/>
      <c r="BI83" s="101"/>
      <c r="BM83" s="101"/>
      <c r="BN83" s="101"/>
      <c r="BO83" s="101"/>
      <c r="BP83" s="101"/>
      <c r="BQ83" s="101"/>
      <c r="BR83" s="101"/>
      <c r="BS83" s="101"/>
      <c r="BT83" s="104"/>
      <c r="BU83" s="104"/>
      <c r="BV83" s="104"/>
      <c r="BW83" s="104"/>
      <c r="BX83" s="104"/>
      <c r="BY83" s="104"/>
      <c r="BZ83" s="104"/>
      <c r="CA83" s="104"/>
      <c r="CB83" s="104"/>
      <c r="CC83" s="104"/>
      <c r="CD83" s="104"/>
      <c r="CE83" s="104"/>
      <c r="CF83" s="104"/>
      <c r="CG83" s="104"/>
      <c r="CH83" s="104"/>
      <c r="CI83" s="104"/>
      <c r="CJ83" s="104"/>
      <c r="CK83" s="104"/>
      <c r="CL83" s="104"/>
      <c r="CM83" s="104"/>
      <c r="CN83" s="104"/>
      <c r="CO83" s="104"/>
      <c r="CP83" s="98"/>
      <c r="CR83" s="101"/>
      <c r="CS83" s="101"/>
      <c r="CT83" s="101"/>
      <c r="CU83" s="101"/>
      <c r="CV83" s="101"/>
      <c r="FL83" s="103"/>
      <c r="FN83" s="103"/>
      <c r="FP83" s="103"/>
      <c r="FR83" s="103"/>
    </row>
    <row r="84" spans="2:174" x14ac:dyDescent="0.35">
      <c r="B84" s="97"/>
      <c r="G84" s="100"/>
      <c r="K84" s="98"/>
      <c r="L84" s="101"/>
      <c r="M84" s="101"/>
      <c r="N84" s="101"/>
      <c r="O84" s="101"/>
      <c r="P84" s="102"/>
      <c r="Q84" s="101"/>
      <c r="R84" s="98"/>
      <c r="S84" s="98"/>
      <c r="T84" s="98"/>
      <c r="U84" s="98"/>
      <c r="V84" s="98"/>
      <c r="W84" s="98"/>
      <c r="X84" s="98"/>
      <c r="Y84" s="98"/>
      <c r="Z84" s="103"/>
      <c r="AA84" s="103"/>
      <c r="AB84" s="103"/>
      <c r="AC84" s="103"/>
      <c r="AD84" s="103"/>
      <c r="AE84" s="103"/>
      <c r="AF84" s="103"/>
      <c r="AG84" s="101"/>
      <c r="AH84" s="101"/>
      <c r="AI84" s="101"/>
      <c r="AJ84" s="101"/>
      <c r="AK84" s="101"/>
      <c r="AL84" s="101"/>
      <c r="AM84" s="101"/>
      <c r="AN84" s="103"/>
      <c r="AO84" s="103"/>
      <c r="AP84" s="103"/>
      <c r="AQ84" s="103"/>
      <c r="AR84" s="103"/>
      <c r="AS84" s="103"/>
      <c r="AT84" s="103"/>
      <c r="AU84" s="101"/>
      <c r="AV84" s="101"/>
      <c r="AW84" s="101"/>
      <c r="AX84" s="101"/>
      <c r="AY84" s="101"/>
      <c r="AZ84" s="101"/>
      <c r="BA84" s="101"/>
      <c r="BB84" s="103"/>
      <c r="BC84" s="103"/>
      <c r="BD84" s="103"/>
      <c r="BE84" s="101"/>
      <c r="BF84" s="101"/>
      <c r="BG84" s="101"/>
      <c r="BH84" s="101"/>
      <c r="BI84" s="101"/>
      <c r="BM84" s="101"/>
      <c r="BN84" s="101"/>
      <c r="BO84" s="101"/>
      <c r="BP84" s="101"/>
      <c r="BQ84" s="101"/>
      <c r="BR84" s="101"/>
      <c r="BS84" s="101"/>
      <c r="BT84" s="104"/>
      <c r="BU84" s="104"/>
      <c r="BV84" s="104"/>
      <c r="BW84" s="104"/>
      <c r="BX84" s="104"/>
      <c r="BY84" s="104"/>
      <c r="BZ84" s="104"/>
      <c r="CA84" s="104"/>
      <c r="CB84" s="104"/>
      <c r="CC84" s="104"/>
      <c r="CD84" s="104"/>
      <c r="CE84" s="104"/>
      <c r="CF84" s="104"/>
      <c r="CG84" s="104"/>
      <c r="CH84" s="104"/>
      <c r="CI84" s="104"/>
      <c r="CJ84" s="104"/>
      <c r="CK84" s="104"/>
      <c r="CL84" s="104"/>
      <c r="CM84" s="104"/>
      <c r="CN84" s="104"/>
      <c r="CO84" s="104"/>
      <c r="CP84" s="98"/>
      <c r="CR84" s="101"/>
      <c r="CS84" s="101"/>
      <c r="CT84" s="101"/>
      <c r="CU84" s="101"/>
      <c r="CV84" s="101"/>
      <c r="FL84" s="103"/>
      <c r="FN84" s="103"/>
      <c r="FP84" s="103"/>
      <c r="FR84" s="103"/>
    </row>
    <row r="85" spans="2:174" x14ac:dyDescent="0.35">
      <c r="B85" s="97"/>
      <c r="G85" s="100"/>
      <c r="K85" s="98"/>
      <c r="L85" s="101"/>
      <c r="M85" s="101"/>
      <c r="N85" s="101"/>
      <c r="O85" s="101"/>
      <c r="P85" s="102"/>
      <c r="Q85" s="101"/>
      <c r="R85" s="98"/>
      <c r="S85" s="98"/>
      <c r="T85" s="98"/>
      <c r="U85" s="98"/>
      <c r="V85" s="98"/>
      <c r="W85" s="98"/>
      <c r="X85" s="98"/>
      <c r="Y85" s="98"/>
      <c r="Z85" s="103"/>
      <c r="AA85" s="103"/>
      <c r="AB85" s="103"/>
      <c r="AC85" s="103"/>
      <c r="AD85" s="103"/>
      <c r="AE85" s="103"/>
      <c r="AF85" s="103"/>
      <c r="AG85" s="101"/>
      <c r="AH85" s="101"/>
      <c r="AI85" s="101"/>
      <c r="AJ85" s="101"/>
      <c r="AK85" s="101"/>
      <c r="AL85" s="101"/>
      <c r="AM85" s="101"/>
      <c r="AN85" s="103"/>
      <c r="AO85" s="103"/>
      <c r="AP85" s="103"/>
      <c r="AQ85" s="103"/>
      <c r="AR85" s="103"/>
      <c r="AS85" s="103"/>
      <c r="AT85" s="103"/>
      <c r="AU85" s="101"/>
      <c r="AV85" s="101"/>
      <c r="AW85" s="101"/>
      <c r="AX85" s="101"/>
      <c r="AY85" s="101"/>
      <c r="AZ85" s="101"/>
      <c r="BA85" s="101"/>
      <c r="BB85" s="103"/>
      <c r="BC85" s="103"/>
      <c r="BD85" s="103"/>
      <c r="BE85" s="101"/>
      <c r="BF85" s="101"/>
      <c r="BG85" s="101"/>
      <c r="BH85" s="101"/>
      <c r="BI85" s="101"/>
      <c r="BM85" s="101"/>
      <c r="BN85" s="101"/>
      <c r="BO85" s="101"/>
      <c r="BP85" s="101"/>
      <c r="BQ85" s="101"/>
      <c r="BR85" s="101"/>
      <c r="BS85" s="101"/>
      <c r="BT85" s="104"/>
      <c r="BU85" s="104"/>
      <c r="BV85" s="104"/>
      <c r="BW85" s="104"/>
      <c r="BX85" s="104"/>
      <c r="BY85" s="104"/>
      <c r="BZ85" s="104"/>
      <c r="CA85" s="104"/>
      <c r="CB85" s="104"/>
      <c r="CC85" s="104"/>
      <c r="CD85" s="104"/>
      <c r="CE85" s="104"/>
      <c r="CF85" s="104"/>
      <c r="CG85" s="104"/>
      <c r="CH85" s="104"/>
      <c r="CI85" s="104"/>
      <c r="CJ85" s="104"/>
      <c r="CK85" s="104"/>
      <c r="CL85" s="104"/>
      <c r="CM85" s="104"/>
      <c r="CN85" s="104"/>
      <c r="CO85" s="104"/>
      <c r="CP85" s="98"/>
      <c r="CR85" s="101"/>
      <c r="CS85" s="101"/>
      <c r="CT85" s="101"/>
      <c r="CU85" s="101"/>
      <c r="CV85" s="101"/>
      <c r="FL85" s="103"/>
      <c r="FN85" s="103"/>
      <c r="FP85" s="103"/>
      <c r="FR85" s="103"/>
    </row>
    <row r="86" spans="2:174" x14ac:dyDescent="0.35">
      <c r="B86" s="97"/>
      <c r="G86" s="100"/>
      <c r="K86" s="98"/>
      <c r="L86" s="101"/>
      <c r="M86" s="101"/>
      <c r="N86" s="101"/>
      <c r="O86" s="101"/>
      <c r="P86" s="102"/>
      <c r="Q86" s="101"/>
      <c r="R86" s="98"/>
      <c r="S86" s="98"/>
      <c r="T86" s="98"/>
      <c r="U86" s="98"/>
      <c r="V86" s="98"/>
      <c r="W86" s="98"/>
      <c r="X86" s="98"/>
      <c r="Y86" s="98"/>
      <c r="Z86" s="103"/>
      <c r="AA86" s="103"/>
      <c r="AB86" s="103"/>
      <c r="AC86" s="103"/>
      <c r="AD86" s="103"/>
      <c r="AE86" s="103"/>
      <c r="AF86" s="103"/>
      <c r="AG86" s="101"/>
      <c r="AH86" s="101"/>
      <c r="AI86" s="101"/>
      <c r="AJ86" s="101"/>
      <c r="AK86" s="101"/>
      <c r="AL86" s="101"/>
      <c r="AM86" s="101"/>
      <c r="AN86" s="103"/>
      <c r="AO86" s="103"/>
      <c r="AP86" s="103"/>
      <c r="AQ86" s="103"/>
      <c r="AR86" s="103"/>
      <c r="AS86" s="103"/>
      <c r="AT86" s="103"/>
      <c r="AU86" s="101"/>
      <c r="AV86" s="101"/>
      <c r="AW86" s="101"/>
      <c r="AX86" s="101"/>
      <c r="AY86" s="101"/>
      <c r="AZ86" s="101"/>
      <c r="BA86" s="101"/>
      <c r="BB86" s="103"/>
      <c r="BC86" s="103"/>
      <c r="BD86" s="103"/>
      <c r="BE86" s="101"/>
      <c r="BF86" s="101"/>
      <c r="BG86" s="101"/>
      <c r="BH86" s="101"/>
      <c r="BI86" s="101"/>
      <c r="BM86" s="101"/>
      <c r="BN86" s="101"/>
      <c r="BO86" s="101"/>
      <c r="BP86" s="101"/>
      <c r="BQ86" s="101"/>
      <c r="BR86" s="101"/>
      <c r="BS86" s="101"/>
      <c r="BT86" s="104"/>
      <c r="BU86" s="104"/>
      <c r="BV86" s="104"/>
      <c r="BW86" s="104"/>
      <c r="BX86" s="104"/>
      <c r="BY86" s="104"/>
      <c r="BZ86" s="104"/>
      <c r="CA86" s="104"/>
      <c r="CB86" s="104"/>
      <c r="CC86" s="104"/>
      <c r="CD86" s="104"/>
      <c r="CE86" s="104"/>
      <c r="CF86" s="104"/>
      <c r="CG86" s="104"/>
      <c r="CH86" s="104"/>
      <c r="CI86" s="104"/>
      <c r="CJ86" s="104"/>
      <c r="CK86" s="104"/>
      <c r="CL86" s="104"/>
      <c r="CM86" s="104"/>
      <c r="CN86" s="104"/>
      <c r="CO86" s="104"/>
      <c r="CP86" s="98"/>
      <c r="CR86" s="101"/>
      <c r="CS86" s="101"/>
      <c r="CT86" s="101"/>
      <c r="CU86" s="101"/>
      <c r="CV86" s="101"/>
      <c r="FL86" s="103"/>
      <c r="FN86" s="103"/>
      <c r="FP86" s="103"/>
      <c r="FR86" s="103"/>
    </row>
    <row r="87" spans="2:174" x14ac:dyDescent="0.35">
      <c r="B87" s="97"/>
      <c r="G87" s="100"/>
      <c r="K87" s="98"/>
      <c r="L87" s="101"/>
      <c r="M87" s="101"/>
      <c r="N87" s="101"/>
      <c r="O87" s="101"/>
      <c r="P87" s="102"/>
      <c r="Q87" s="101"/>
      <c r="R87" s="98"/>
      <c r="S87" s="98"/>
      <c r="T87" s="98"/>
      <c r="U87" s="98"/>
      <c r="V87" s="98"/>
      <c r="W87" s="98"/>
      <c r="X87" s="98"/>
      <c r="Y87" s="98"/>
      <c r="Z87" s="103"/>
      <c r="AA87" s="103"/>
      <c r="AB87" s="103"/>
      <c r="AC87" s="103"/>
      <c r="AD87" s="103"/>
      <c r="AE87" s="103"/>
      <c r="AF87" s="103"/>
      <c r="AG87" s="101"/>
      <c r="AH87" s="101"/>
      <c r="AI87" s="101"/>
      <c r="AJ87" s="101"/>
      <c r="AK87" s="101"/>
      <c r="AL87" s="101"/>
      <c r="AM87" s="101"/>
      <c r="AN87" s="103"/>
      <c r="AO87" s="103"/>
      <c r="AP87" s="103"/>
      <c r="AQ87" s="103"/>
      <c r="AR87" s="103"/>
      <c r="AS87" s="103"/>
      <c r="AT87" s="103"/>
      <c r="AU87" s="101"/>
      <c r="AV87" s="101"/>
      <c r="AW87" s="101"/>
      <c r="AX87" s="101"/>
      <c r="AY87" s="101"/>
      <c r="AZ87" s="101"/>
      <c r="BA87" s="101"/>
      <c r="BB87" s="103"/>
      <c r="BC87" s="103"/>
      <c r="BD87" s="103"/>
      <c r="BE87" s="101"/>
      <c r="BF87" s="101"/>
      <c r="BG87" s="101"/>
      <c r="BH87" s="101"/>
      <c r="BI87" s="101"/>
      <c r="BM87" s="101"/>
      <c r="BN87" s="101"/>
      <c r="BO87" s="101"/>
      <c r="BP87" s="101"/>
      <c r="BQ87" s="101"/>
      <c r="BR87" s="101"/>
      <c r="BS87" s="101"/>
      <c r="BT87" s="104"/>
      <c r="BU87" s="104"/>
      <c r="BV87" s="104"/>
      <c r="BW87" s="104"/>
      <c r="BX87" s="104"/>
      <c r="BY87" s="104"/>
      <c r="BZ87" s="104"/>
      <c r="CA87" s="104"/>
      <c r="CB87" s="104"/>
      <c r="CC87" s="104"/>
      <c r="CD87" s="104"/>
      <c r="CE87" s="104"/>
      <c r="CF87" s="104"/>
      <c r="CG87" s="104"/>
      <c r="CH87" s="104"/>
      <c r="CI87" s="104"/>
      <c r="CJ87" s="104"/>
      <c r="CK87" s="104"/>
      <c r="CL87" s="104"/>
      <c r="CM87" s="104"/>
      <c r="CN87" s="104"/>
      <c r="CO87" s="104"/>
      <c r="CP87" s="98"/>
      <c r="CR87" s="101"/>
      <c r="CS87" s="101"/>
      <c r="CT87" s="101"/>
      <c r="CU87" s="101"/>
      <c r="CV87" s="101"/>
      <c r="FL87" s="103"/>
      <c r="FN87" s="103"/>
      <c r="FP87" s="103"/>
      <c r="FR87" s="103"/>
    </row>
    <row r="88" spans="2:174" x14ac:dyDescent="0.35">
      <c r="B88" s="97"/>
      <c r="G88" s="100"/>
      <c r="K88" s="98"/>
      <c r="L88" s="101"/>
      <c r="M88" s="101"/>
      <c r="N88" s="101"/>
      <c r="O88" s="101"/>
      <c r="P88" s="102"/>
      <c r="Q88" s="101"/>
      <c r="R88" s="98"/>
      <c r="S88" s="98"/>
      <c r="T88" s="98"/>
      <c r="U88" s="98"/>
      <c r="V88" s="98"/>
      <c r="W88" s="98"/>
      <c r="X88" s="98"/>
      <c r="Y88" s="98"/>
      <c r="Z88" s="103"/>
      <c r="AA88" s="103"/>
      <c r="AB88" s="103"/>
      <c r="AC88" s="103"/>
      <c r="AD88" s="103"/>
      <c r="AE88" s="103"/>
      <c r="AF88" s="103"/>
      <c r="AG88" s="101"/>
      <c r="AH88" s="101"/>
      <c r="AI88" s="101"/>
      <c r="AJ88" s="101"/>
      <c r="AK88" s="101"/>
      <c r="AL88" s="101"/>
      <c r="AM88" s="101"/>
      <c r="AN88" s="103"/>
      <c r="AO88" s="103"/>
      <c r="AP88" s="103"/>
      <c r="AQ88" s="103"/>
      <c r="AR88" s="103"/>
      <c r="AS88" s="103"/>
      <c r="AT88" s="103"/>
      <c r="AU88" s="101"/>
      <c r="AV88" s="101"/>
      <c r="AW88" s="101"/>
      <c r="AX88" s="101"/>
      <c r="AY88" s="101"/>
      <c r="AZ88" s="101"/>
      <c r="BA88" s="101"/>
      <c r="BB88" s="103"/>
      <c r="BC88" s="103"/>
      <c r="BD88" s="103"/>
      <c r="BE88" s="101"/>
      <c r="BF88" s="101"/>
      <c r="BG88" s="101"/>
      <c r="BH88" s="101"/>
      <c r="BI88" s="101"/>
      <c r="BM88" s="101"/>
      <c r="BN88" s="101"/>
      <c r="BO88" s="101"/>
      <c r="BP88" s="101"/>
      <c r="BQ88" s="101"/>
      <c r="BR88" s="101"/>
      <c r="BS88" s="101"/>
      <c r="BT88" s="104"/>
      <c r="BU88" s="104"/>
      <c r="BV88" s="104"/>
      <c r="BW88" s="104"/>
      <c r="BX88" s="104"/>
      <c r="BY88" s="104"/>
      <c r="BZ88" s="104"/>
      <c r="CA88" s="104"/>
      <c r="CB88" s="104"/>
      <c r="CC88" s="104"/>
      <c r="CD88" s="104"/>
      <c r="CE88" s="104"/>
      <c r="CF88" s="104"/>
      <c r="CG88" s="104"/>
      <c r="CH88" s="104"/>
      <c r="CI88" s="104"/>
      <c r="CJ88" s="104"/>
      <c r="CK88" s="104"/>
      <c r="CL88" s="104"/>
      <c r="CM88" s="104"/>
      <c r="CN88" s="104"/>
      <c r="CO88" s="104"/>
      <c r="CP88" s="98"/>
      <c r="CR88" s="101"/>
      <c r="CS88" s="101"/>
      <c r="CT88" s="101"/>
      <c r="CU88" s="101"/>
      <c r="CV88" s="101"/>
      <c r="FL88" s="103"/>
      <c r="FN88" s="103"/>
      <c r="FP88" s="103"/>
      <c r="FR88" s="103"/>
    </row>
    <row r="89" spans="2:174" x14ac:dyDescent="0.35">
      <c r="B89" s="97"/>
      <c r="G89" s="100"/>
      <c r="K89" s="98"/>
      <c r="L89" s="101"/>
      <c r="M89" s="101"/>
      <c r="N89" s="101"/>
      <c r="O89" s="101"/>
      <c r="P89" s="102"/>
      <c r="Q89" s="101"/>
      <c r="R89" s="98"/>
      <c r="S89" s="98"/>
      <c r="T89" s="98"/>
      <c r="U89" s="98"/>
      <c r="V89" s="98"/>
      <c r="W89" s="98"/>
      <c r="X89" s="98"/>
      <c r="Y89" s="98"/>
      <c r="Z89" s="103"/>
      <c r="AA89" s="103"/>
      <c r="AB89" s="103"/>
      <c r="AC89" s="103"/>
      <c r="AD89" s="103"/>
      <c r="AE89" s="103"/>
      <c r="AF89" s="103"/>
      <c r="AG89" s="101"/>
      <c r="AH89" s="101"/>
      <c r="AI89" s="101"/>
      <c r="AJ89" s="101"/>
      <c r="AK89" s="101"/>
      <c r="AL89" s="101"/>
      <c r="AM89" s="101"/>
      <c r="AN89" s="103"/>
      <c r="AO89" s="103"/>
      <c r="AP89" s="103"/>
      <c r="AQ89" s="103"/>
      <c r="AR89" s="103"/>
      <c r="AS89" s="103"/>
      <c r="AT89" s="103"/>
      <c r="AU89" s="101"/>
      <c r="AV89" s="101"/>
      <c r="AW89" s="101"/>
      <c r="AX89" s="101"/>
      <c r="AY89" s="101"/>
      <c r="AZ89" s="101"/>
      <c r="BA89" s="101"/>
      <c r="BB89" s="103"/>
      <c r="BC89" s="103"/>
      <c r="BD89" s="103"/>
      <c r="BE89" s="101"/>
      <c r="BF89" s="101"/>
      <c r="BG89" s="101"/>
      <c r="BH89" s="101"/>
      <c r="BI89" s="101"/>
      <c r="BM89" s="101"/>
      <c r="BN89" s="101"/>
      <c r="BO89" s="101"/>
      <c r="BP89" s="101"/>
      <c r="BQ89" s="101"/>
      <c r="BR89" s="101"/>
      <c r="BS89" s="101"/>
      <c r="BT89" s="104"/>
      <c r="BU89" s="104"/>
      <c r="BV89" s="104"/>
      <c r="BW89" s="104"/>
      <c r="BX89" s="104"/>
      <c r="BY89" s="104"/>
      <c r="BZ89" s="104"/>
      <c r="CA89" s="104"/>
      <c r="CB89" s="104"/>
      <c r="CC89" s="104"/>
      <c r="CD89" s="104"/>
      <c r="CE89" s="104"/>
      <c r="CF89" s="104"/>
      <c r="CG89" s="104"/>
      <c r="CH89" s="104"/>
      <c r="CI89" s="104"/>
      <c r="CJ89" s="104"/>
      <c r="CK89" s="104"/>
      <c r="CL89" s="104"/>
      <c r="CM89" s="104"/>
      <c r="CN89" s="104"/>
      <c r="CO89" s="104"/>
      <c r="CP89" s="98"/>
      <c r="CR89" s="101"/>
      <c r="CS89" s="101"/>
      <c r="CT89" s="101"/>
      <c r="CU89" s="101"/>
      <c r="CV89" s="101"/>
      <c r="FL89" s="103"/>
      <c r="FN89" s="103"/>
      <c r="FP89" s="103"/>
      <c r="FR89" s="103"/>
    </row>
    <row r="90" spans="2:174" x14ac:dyDescent="0.35">
      <c r="B90" s="97"/>
      <c r="G90" s="100"/>
      <c r="K90" s="98"/>
      <c r="L90" s="101"/>
      <c r="M90" s="101"/>
      <c r="N90" s="101"/>
      <c r="O90" s="101"/>
      <c r="P90" s="102"/>
      <c r="Q90" s="101"/>
      <c r="R90" s="98"/>
      <c r="S90" s="98"/>
      <c r="T90" s="98"/>
      <c r="U90" s="98"/>
      <c r="V90" s="98"/>
      <c r="W90" s="98"/>
      <c r="X90" s="98"/>
      <c r="Y90" s="98"/>
      <c r="Z90" s="103"/>
      <c r="AA90" s="103"/>
      <c r="AB90" s="103"/>
      <c r="AC90" s="103"/>
      <c r="AD90" s="103"/>
      <c r="AE90" s="103"/>
      <c r="AF90" s="103"/>
      <c r="AG90" s="101"/>
      <c r="AH90" s="101"/>
      <c r="AI90" s="101"/>
      <c r="AJ90" s="101"/>
      <c r="AK90" s="101"/>
      <c r="AL90" s="101"/>
      <c r="AM90" s="101"/>
      <c r="AN90" s="103"/>
      <c r="AO90" s="103"/>
      <c r="AP90" s="103"/>
      <c r="AQ90" s="103"/>
      <c r="AR90" s="103"/>
      <c r="AS90" s="103"/>
      <c r="AT90" s="103"/>
      <c r="AU90" s="101"/>
      <c r="AV90" s="101"/>
      <c r="AW90" s="101"/>
      <c r="AX90" s="101"/>
      <c r="AY90" s="101"/>
      <c r="AZ90" s="101"/>
      <c r="BA90" s="101"/>
      <c r="BB90" s="103"/>
      <c r="BC90" s="103"/>
      <c r="BD90" s="103"/>
      <c r="BE90" s="101"/>
      <c r="BF90" s="101"/>
      <c r="BG90" s="101"/>
      <c r="BH90" s="101"/>
      <c r="BI90" s="101"/>
      <c r="BM90" s="101"/>
      <c r="BN90" s="101"/>
      <c r="BO90" s="101"/>
      <c r="BP90" s="101"/>
      <c r="BQ90" s="101"/>
      <c r="BR90" s="101"/>
      <c r="BS90" s="101"/>
      <c r="BT90" s="104"/>
      <c r="BU90" s="104"/>
      <c r="BV90" s="104"/>
      <c r="BW90" s="104"/>
      <c r="BX90" s="104"/>
      <c r="BY90" s="104"/>
      <c r="BZ90" s="104"/>
      <c r="CA90" s="104"/>
      <c r="CB90" s="104"/>
      <c r="CC90" s="104"/>
      <c r="CD90" s="104"/>
      <c r="CE90" s="104"/>
      <c r="CF90" s="104"/>
      <c r="CG90" s="104"/>
      <c r="CH90" s="104"/>
      <c r="CI90" s="104"/>
      <c r="CJ90" s="104"/>
      <c r="CK90" s="104"/>
      <c r="CL90" s="104"/>
      <c r="CM90" s="104"/>
      <c r="CN90" s="104"/>
      <c r="CO90" s="104"/>
      <c r="CP90" s="98"/>
      <c r="CR90" s="101"/>
      <c r="CS90" s="101"/>
      <c r="CT90" s="101"/>
      <c r="CU90" s="101"/>
      <c r="CV90" s="101"/>
      <c r="FL90" s="103"/>
      <c r="FN90" s="103"/>
      <c r="FP90" s="103"/>
      <c r="FR90" s="103"/>
    </row>
    <row r="91" spans="2:174" x14ac:dyDescent="0.35">
      <c r="B91" s="97"/>
      <c r="G91" s="100"/>
      <c r="K91" s="98"/>
      <c r="L91" s="101"/>
      <c r="M91" s="101"/>
      <c r="N91" s="101"/>
      <c r="O91" s="101"/>
      <c r="P91" s="102"/>
      <c r="Q91" s="101"/>
      <c r="R91" s="98"/>
      <c r="S91" s="98"/>
      <c r="T91" s="98"/>
      <c r="U91" s="98"/>
      <c r="V91" s="98"/>
      <c r="W91" s="98"/>
      <c r="X91" s="98"/>
      <c r="Y91" s="98"/>
      <c r="Z91" s="103"/>
      <c r="AA91" s="103"/>
      <c r="AB91" s="103"/>
      <c r="AC91" s="103"/>
      <c r="AD91" s="103"/>
      <c r="AE91" s="103"/>
      <c r="AF91" s="103"/>
      <c r="AG91" s="101"/>
      <c r="AH91" s="101"/>
      <c r="AI91" s="101"/>
      <c r="AJ91" s="101"/>
      <c r="AK91" s="101"/>
      <c r="AL91" s="101"/>
      <c r="AM91" s="101"/>
      <c r="AN91" s="103"/>
      <c r="AO91" s="103"/>
      <c r="AP91" s="103"/>
      <c r="AQ91" s="103"/>
      <c r="AR91" s="103"/>
      <c r="AS91" s="103"/>
      <c r="AT91" s="103"/>
      <c r="AU91" s="101"/>
      <c r="AV91" s="101"/>
      <c r="AW91" s="101"/>
      <c r="AX91" s="101"/>
      <c r="AY91" s="101"/>
      <c r="AZ91" s="101"/>
      <c r="BA91" s="101"/>
      <c r="BB91" s="103"/>
      <c r="BC91" s="103"/>
      <c r="BD91" s="103"/>
      <c r="BE91" s="101"/>
      <c r="BF91" s="101"/>
      <c r="BG91" s="101"/>
      <c r="BH91" s="101"/>
      <c r="BI91" s="101"/>
      <c r="BM91" s="101"/>
      <c r="BN91" s="101"/>
      <c r="BO91" s="101"/>
      <c r="BP91" s="101"/>
      <c r="BQ91" s="101"/>
      <c r="BR91" s="101"/>
      <c r="BS91" s="101"/>
      <c r="BT91" s="104"/>
      <c r="BU91" s="104"/>
      <c r="BV91" s="104"/>
      <c r="BW91" s="104"/>
      <c r="BX91" s="104"/>
      <c r="BY91" s="104"/>
      <c r="BZ91" s="104"/>
      <c r="CA91" s="104"/>
      <c r="CB91" s="104"/>
      <c r="CC91" s="104"/>
      <c r="CD91" s="104"/>
      <c r="CE91" s="104"/>
      <c r="CF91" s="104"/>
      <c r="CG91" s="104"/>
      <c r="CH91" s="104"/>
      <c r="CI91" s="104"/>
      <c r="CJ91" s="104"/>
      <c r="CK91" s="104"/>
      <c r="CL91" s="104"/>
      <c r="CM91" s="104"/>
      <c r="CN91" s="104"/>
      <c r="CO91" s="104"/>
      <c r="CP91" s="98"/>
      <c r="CR91" s="101"/>
      <c r="CS91" s="101"/>
      <c r="CT91" s="101"/>
      <c r="CU91" s="101"/>
      <c r="CV91" s="101"/>
      <c r="FL91" s="103"/>
      <c r="FN91" s="103"/>
      <c r="FP91" s="103"/>
      <c r="FR91" s="103"/>
    </row>
    <row r="92" spans="2:174" x14ac:dyDescent="0.35">
      <c r="B92" s="97"/>
      <c r="G92" s="100"/>
      <c r="K92" s="98"/>
      <c r="L92" s="101"/>
      <c r="M92" s="101"/>
      <c r="N92" s="101"/>
      <c r="O92" s="101"/>
      <c r="P92" s="102"/>
      <c r="Q92" s="101"/>
      <c r="R92" s="98"/>
      <c r="S92" s="98"/>
      <c r="T92" s="98"/>
      <c r="U92" s="98"/>
      <c r="V92" s="98"/>
      <c r="W92" s="98"/>
      <c r="X92" s="98"/>
      <c r="Y92" s="98"/>
      <c r="Z92" s="103"/>
      <c r="AA92" s="103"/>
      <c r="AB92" s="103"/>
      <c r="AC92" s="103"/>
      <c r="AD92" s="103"/>
      <c r="AE92" s="103"/>
      <c r="AF92" s="103"/>
      <c r="AG92" s="101"/>
      <c r="AH92" s="101"/>
      <c r="AI92" s="101"/>
      <c r="AJ92" s="101"/>
      <c r="AK92" s="101"/>
      <c r="AL92" s="101"/>
      <c r="AM92" s="101"/>
      <c r="AN92" s="103"/>
      <c r="AO92" s="103"/>
      <c r="AP92" s="103"/>
      <c r="AQ92" s="103"/>
      <c r="AR92" s="103"/>
      <c r="AS92" s="103"/>
      <c r="AT92" s="103"/>
      <c r="AU92" s="101"/>
      <c r="AV92" s="101"/>
      <c r="AW92" s="101"/>
      <c r="AX92" s="101"/>
      <c r="AY92" s="101"/>
      <c r="AZ92" s="101"/>
      <c r="BA92" s="101"/>
      <c r="BB92" s="103"/>
      <c r="BC92" s="103"/>
      <c r="BD92" s="103"/>
      <c r="BE92" s="101"/>
      <c r="BF92" s="101"/>
      <c r="BG92" s="101"/>
      <c r="BH92" s="101"/>
      <c r="BI92" s="101"/>
      <c r="BM92" s="101"/>
      <c r="BN92" s="101"/>
      <c r="BO92" s="101"/>
      <c r="BP92" s="101"/>
      <c r="BQ92" s="101"/>
      <c r="BR92" s="101"/>
      <c r="BS92" s="101"/>
      <c r="BT92" s="104"/>
      <c r="BU92" s="104"/>
      <c r="BV92" s="104"/>
      <c r="BW92" s="104"/>
      <c r="BX92" s="104"/>
      <c r="BY92" s="104"/>
      <c r="BZ92" s="104"/>
      <c r="CA92" s="104"/>
      <c r="CB92" s="104"/>
      <c r="CC92" s="104"/>
      <c r="CD92" s="104"/>
      <c r="CE92" s="104"/>
      <c r="CF92" s="104"/>
      <c r="CG92" s="104"/>
      <c r="CH92" s="104"/>
      <c r="CI92" s="104"/>
      <c r="CJ92" s="104"/>
      <c r="CK92" s="104"/>
      <c r="CL92" s="104"/>
      <c r="CM92" s="104"/>
      <c r="CN92" s="104"/>
      <c r="CO92" s="104"/>
      <c r="CP92" s="98"/>
      <c r="CR92" s="101"/>
      <c r="CS92" s="101"/>
      <c r="CT92" s="101"/>
      <c r="CU92" s="101"/>
      <c r="CV92" s="101"/>
      <c r="FL92" s="103"/>
      <c r="FN92" s="103"/>
      <c r="FP92" s="103"/>
      <c r="FR92" s="103"/>
    </row>
    <row r="93" spans="2:174" x14ac:dyDescent="0.35">
      <c r="B93" s="97"/>
      <c r="G93" s="100"/>
      <c r="K93" s="98"/>
      <c r="L93" s="101"/>
      <c r="M93" s="101"/>
      <c r="N93" s="101"/>
      <c r="O93" s="101"/>
      <c r="P93" s="102"/>
      <c r="Q93" s="101"/>
      <c r="R93" s="98"/>
      <c r="S93" s="98"/>
      <c r="T93" s="98"/>
      <c r="U93" s="98"/>
      <c r="V93" s="98"/>
      <c r="W93" s="98"/>
      <c r="X93" s="98"/>
      <c r="Y93" s="98"/>
      <c r="Z93" s="103"/>
      <c r="AA93" s="103"/>
      <c r="AB93" s="103"/>
      <c r="AC93" s="103"/>
      <c r="AD93" s="103"/>
      <c r="AE93" s="103"/>
      <c r="AF93" s="103"/>
      <c r="AG93" s="101"/>
      <c r="AH93" s="101"/>
      <c r="AI93" s="101"/>
      <c r="AJ93" s="101"/>
      <c r="AK93" s="101"/>
      <c r="AL93" s="101"/>
      <c r="AM93" s="101"/>
      <c r="AN93" s="103"/>
      <c r="AO93" s="103"/>
      <c r="AP93" s="103"/>
      <c r="AQ93" s="103"/>
      <c r="AR93" s="103"/>
      <c r="AS93" s="103"/>
      <c r="AT93" s="103"/>
      <c r="AU93" s="101"/>
      <c r="AV93" s="101"/>
      <c r="AW93" s="101"/>
      <c r="AX93" s="101"/>
      <c r="AY93" s="101"/>
      <c r="AZ93" s="101"/>
      <c r="BA93" s="101"/>
      <c r="BB93" s="103"/>
      <c r="BC93" s="103"/>
      <c r="BD93" s="103"/>
      <c r="BE93" s="101"/>
      <c r="BF93" s="101"/>
      <c r="BG93" s="101"/>
      <c r="BH93" s="101"/>
      <c r="BI93" s="101"/>
      <c r="BM93" s="101"/>
      <c r="BN93" s="101"/>
      <c r="BO93" s="101"/>
      <c r="BP93" s="101"/>
      <c r="BQ93" s="101"/>
      <c r="BR93" s="101"/>
      <c r="BS93" s="101"/>
      <c r="BT93" s="104"/>
      <c r="BU93" s="104"/>
      <c r="BV93" s="104"/>
      <c r="BW93" s="104"/>
      <c r="BX93" s="104"/>
      <c r="BY93" s="104"/>
      <c r="BZ93" s="104"/>
      <c r="CA93" s="104"/>
      <c r="CB93" s="104"/>
      <c r="CC93" s="104"/>
      <c r="CD93" s="104"/>
      <c r="CE93" s="104"/>
      <c r="CF93" s="104"/>
      <c r="CG93" s="104"/>
      <c r="CH93" s="104"/>
      <c r="CI93" s="104"/>
      <c r="CJ93" s="104"/>
      <c r="CK93" s="104"/>
      <c r="CL93" s="104"/>
      <c r="CM93" s="104"/>
      <c r="CN93" s="104"/>
      <c r="CO93" s="104"/>
      <c r="CP93" s="98"/>
      <c r="CR93" s="101"/>
      <c r="CS93" s="101"/>
      <c r="CT93" s="101"/>
      <c r="CU93" s="101"/>
      <c r="CV93" s="101"/>
      <c r="FL93" s="103"/>
      <c r="FN93" s="103"/>
      <c r="FP93" s="103"/>
      <c r="FR93" s="103"/>
    </row>
    <row r="94" spans="2:174" x14ac:dyDescent="0.35">
      <c r="B94" s="97"/>
      <c r="G94" s="100"/>
      <c r="K94" s="98"/>
      <c r="L94" s="101"/>
      <c r="M94" s="101"/>
      <c r="N94" s="101"/>
      <c r="O94" s="101"/>
      <c r="P94" s="102"/>
      <c r="Q94" s="101"/>
      <c r="R94" s="98"/>
      <c r="S94" s="98"/>
      <c r="T94" s="98"/>
      <c r="U94" s="98"/>
      <c r="V94" s="98"/>
      <c r="W94" s="98"/>
      <c r="X94" s="98"/>
      <c r="Y94" s="98"/>
      <c r="Z94" s="103"/>
      <c r="AA94" s="103"/>
      <c r="AB94" s="103"/>
      <c r="AC94" s="103"/>
      <c r="AD94" s="103"/>
      <c r="AE94" s="103"/>
      <c r="AF94" s="103"/>
      <c r="AG94" s="101"/>
      <c r="AH94" s="101"/>
      <c r="AI94" s="101"/>
      <c r="AJ94" s="101"/>
      <c r="AK94" s="101"/>
      <c r="AL94" s="101"/>
      <c r="AM94" s="101"/>
      <c r="AN94" s="103"/>
      <c r="AO94" s="103"/>
      <c r="AP94" s="103"/>
      <c r="AQ94" s="103"/>
      <c r="AR94" s="103"/>
      <c r="AS94" s="103"/>
      <c r="AT94" s="103"/>
      <c r="AU94" s="101"/>
      <c r="AV94" s="101"/>
      <c r="AW94" s="101"/>
      <c r="AX94" s="101"/>
      <c r="AY94" s="101"/>
      <c r="AZ94" s="101"/>
      <c r="BA94" s="101"/>
      <c r="BB94" s="103"/>
      <c r="BC94" s="103"/>
      <c r="BD94" s="103"/>
      <c r="BE94" s="101"/>
      <c r="BF94" s="101"/>
      <c r="BG94" s="101"/>
      <c r="BH94" s="101"/>
      <c r="BI94" s="101"/>
      <c r="BM94" s="101"/>
      <c r="BN94" s="101"/>
      <c r="BO94" s="101"/>
      <c r="BP94" s="101"/>
      <c r="BQ94" s="101"/>
      <c r="BR94" s="101"/>
      <c r="BS94" s="101"/>
      <c r="BT94" s="104"/>
      <c r="BU94" s="104"/>
      <c r="BV94" s="104"/>
      <c r="BW94" s="104"/>
      <c r="BX94" s="104"/>
      <c r="BY94" s="104"/>
      <c r="BZ94" s="104"/>
      <c r="CA94" s="104"/>
      <c r="CB94" s="104"/>
      <c r="CC94" s="104"/>
      <c r="CD94" s="104"/>
      <c r="CE94" s="104"/>
      <c r="CF94" s="104"/>
      <c r="CG94" s="104"/>
      <c r="CH94" s="104"/>
      <c r="CI94" s="104"/>
      <c r="CJ94" s="104"/>
      <c r="CK94" s="104"/>
      <c r="CL94" s="104"/>
      <c r="CM94" s="104"/>
      <c r="CN94" s="104"/>
      <c r="CO94" s="104"/>
      <c r="CP94" s="98"/>
      <c r="CR94" s="101"/>
      <c r="CS94" s="101"/>
      <c r="CT94" s="101"/>
      <c r="CU94" s="101"/>
      <c r="CV94" s="101"/>
      <c r="FL94" s="103"/>
      <c r="FN94" s="103"/>
      <c r="FP94" s="103"/>
      <c r="FR94" s="103"/>
    </row>
    <row r="95" spans="2:174" x14ac:dyDescent="0.35">
      <c r="B95" s="97"/>
      <c r="G95" s="100"/>
      <c r="K95" s="98"/>
      <c r="L95" s="101"/>
      <c r="M95" s="101"/>
      <c r="N95" s="101"/>
      <c r="O95" s="101"/>
      <c r="P95" s="102"/>
      <c r="Q95" s="101"/>
      <c r="R95" s="98"/>
      <c r="S95" s="98"/>
      <c r="T95" s="98"/>
      <c r="U95" s="98"/>
      <c r="V95" s="98"/>
      <c r="W95" s="98"/>
      <c r="X95" s="98"/>
      <c r="Y95" s="98"/>
      <c r="Z95" s="103"/>
      <c r="AA95" s="103"/>
      <c r="AB95" s="103"/>
      <c r="AC95" s="103"/>
      <c r="AD95" s="103"/>
      <c r="AE95" s="103"/>
      <c r="AF95" s="103"/>
      <c r="AG95" s="101"/>
      <c r="AH95" s="101"/>
      <c r="AI95" s="101"/>
      <c r="AJ95" s="101"/>
      <c r="AK95" s="101"/>
      <c r="AL95" s="101"/>
      <c r="AM95" s="101"/>
      <c r="AN95" s="103"/>
      <c r="AO95" s="103"/>
      <c r="AP95" s="103"/>
      <c r="AQ95" s="103"/>
      <c r="AR95" s="103"/>
      <c r="AS95" s="103"/>
      <c r="AT95" s="103"/>
      <c r="AU95" s="101"/>
      <c r="AV95" s="101"/>
      <c r="AW95" s="101"/>
      <c r="AX95" s="101"/>
      <c r="AY95" s="101"/>
      <c r="AZ95" s="101"/>
      <c r="BA95" s="101"/>
      <c r="BB95" s="103"/>
      <c r="BC95" s="103"/>
      <c r="BD95" s="103"/>
      <c r="BE95" s="101"/>
      <c r="BF95" s="101"/>
      <c r="BG95" s="101"/>
      <c r="BH95" s="101"/>
      <c r="BI95" s="101"/>
      <c r="BM95" s="101"/>
      <c r="BN95" s="101"/>
      <c r="BO95" s="101"/>
      <c r="BP95" s="101"/>
      <c r="BQ95" s="101"/>
      <c r="BR95" s="101"/>
      <c r="BS95" s="101"/>
      <c r="BT95" s="104"/>
      <c r="BU95" s="104"/>
      <c r="BV95" s="104"/>
      <c r="BW95" s="104"/>
      <c r="BX95" s="104"/>
      <c r="BY95" s="104"/>
      <c r="BZ95" s="104"/>
      <c r="CA95" s="104"/>
      <c r="CB95" s="104"/>
      <c r="CC95" s="104"/>
      <c r="CD95" s="104"/>
      <c r="CE95" s="104"/>
      <c r="CF95" s="104"/>
      <c r="CG95" s="104"/>
      <c r="CH95" s="104"/>
      <c r="CI95" s="104"/>
      <c r="CJ95" s="104"/>
      <c r="CK95" s="104"/>
      <c r="CL95" s="104"/>
      <c r="CM95" s="104"/>
      <c r="CN95" s="104"/>
      <c r="CO95" s="104"/>
      <c r="CP95" s="98"/>
      <c r="CR95" s="101"/>
      <c r="CS95" s="101"/>
      <c r="CT95" s="101"/>
      <c r="CU95" s="101"/>
      <c r="CV95" s="101"/>
      <c r="FL95" s="103"/>
      <c r="FN95" s="103"/>
      <c r="FP95" s="103"/>
      <c r="FR95" s="103"/>
    </row>
    <row r="96" spans="2:174" x14ac:dyDescent="0.35">
      <c r="B96" s="97"/>
      <c r="G96" s="100"/>
      <c r="K96" s="98"/>
      <c r="L96" s="101"/>
      <c r="M96" s="101"/>
      <c r="N96" s="101"/>
      <c r="O96" s="101"/>
      <c r="P96" s="102"/>
      <c r="Q96" s="101"/>
      <c r="R96" s="98"/>
      <c r="S96" s="98"/>
      <c r="T96" s="98"/>
      <c r="U96" s="98"/>
      <c r="V96" s="98"/>
      <c r="W96" s="98"/>
      <c r="X96" s="98"/>
      <c r="Y96" s="98"/>
      <c r="Z96" s="103"/>
      <c r="AA96" s="103"/>
      <c r="AB96" s="103"/>
      <c r="AC96" s="103"/>
      <c r="AD96" s="103"/>
      <c r="AE96" s="103"/>
      <c r="AF96" s="103"/>
      <c r="AG96" s="101"/>
      <c r="AH96" s="101"/>
      <c r="AI96" s="101"/>
      <c r="AJ96" s="101"/>
      <c r="AK96" s="101"/>
      <c r="AL96" s="101"/>
      <c r="AM96" s="101"/>
      <c r="AN96" s="103"/>
      <c r="AO96" s="103"/>
      <c r="AP96" s="103"/>
      <c r="AQ96" s="103"/>
      <c r="AR96" s="103"/>
      <c r="AS96" s="103"/>
      <c r="AT96" s="103"/>
      <c r="AU96" s="101"/>
      <c r="AV96" s="101"/>
      <c r="AW96" s="101"/>
      <c r="AX96" s="101"/>
      <c r="AY96" s="101"/>
      <c r="AZ96" s="101"/>
      <c r="BA96" s="101"/>
      <c r="BB96" s="103"/>
      <c r="BC96" s="103"/>
      <c r="BD96" s="103"/>
      <c r="BE96" s="101"/>
      <c r="BF96" s="101"/>
      <c r="BG96" s="101"/>
      <c r="BH96" s="101"/>
      <c r="BI96" s="101"/>
      <c r="BM96" s="101"/>
      <c r="BN96" s="101"/>
      <c r="BO96" s="101"/>
      <c r="BP96" s="101"/>
      <c r="BQ96" s="101"/>
      <c r="BR96" s="101"/>
      <c r="BS96" s="101"/>
      <c r="BT96" s="104"/>
      <c r="BU96" s="104"/>
      <c r="BV96" s="104"/>
      <c r="BW96" s="104"/>
      <c r="BX96" s="104"/>
      <c r="BY96" s="104"/>
      <c r="BZ96" s="104"/>
      <c r="CA96" s="104"/>
      <c r="CB96" s="104"/>
      <c r="CC96" s="104"/>
      <c r="CD96" s="104"/>
      <c r="CE96" s="104"/>
      <c r="CF96" s="104"/>
      <c r="CG96" s="104"/>
      <c r="CH96" s="104"/>
      <c r="CI96" s="104"/>
      <c r="CJ96" s="104"/>
      <c r="CK96" s="104"/>
      <c r="CL96" s="104"/>
      <c r="CM96" s="104"/>
      <c r="CN96" s="104"/>
      <c r="CO96" s="104"/>
      <c r="CP96" s="98"/>
      <c r="CR96" s="101"/>
      <c r="CS96" s="101"/>
      <c r="CT96" s="101"/>
      <c r="CU96" s="101"/>
      <c r="CV96" s="101"/>
      <c r="FL96" s="103"/>
      <c r="FN96" s="103"/>
      <c r="FP96" s="103"/>
      <c r="FR96" s="103"/>
    </row>
    <row r="97" spans="2:174" x14ac:dyDescent="0.35">
      <c r="B97" s="97"/>
      <c r="G97" s="100"/>
      <c r="K97" s="98"/>
      <c r="L97" s="101"/>
      <c r="M97" s="101"/>
      <c r="N97" s="101"/>
      <c r="O97" s="101"/>
      <c r="P97" s="102"/>
      <c r="Q97" s="101"/>
      <c r="R97" s="98"/>
      <c r="S97" s="98"/>
      <c r="T97" s="98"/>
      <c r="U97" s="98"/>
      <c r="V97" s="98"/>
      <c r="W97" s="98"/>
      <c r="X97" s="98"/>
      <c r="Y97" s="98"/>
      <c r="Z97" s="103"/>
      <c r="AA97" s="103"/>
      <c r="AB97" s="103"/>
      <c r="AC97" s="103"/>
      <c r="AD97" s="103"/>
      <c r="AE97" s="103"/>
      <c r="AF97" s="103"/>
      <c r="AG97" s="101"/>
      <c r="AH97" s="101"/>
      <c r="AI97" s="101"/>
      <c r="AJ97" s="101"/>
      <c r="AK97" s="101"/>
      <c r="AL97" s="101"/>
      <c r="AM97" s="101"/>
      <c r="AN97" s="103"/>
      <c r="AO97" s="103"/>
      <c r="AP97" s="103"/>
      <c r="AQ97" s="103"/>
      <c r="AR97" s="103"/>
      <c r="AS97" s="103"/>
      <c r="AT97" s="103"/>
      <c r="AU97" s="101"/>
      <c r="AV97" s="101"/>
      <c r="AW97" s="101"/>
      <c r="AX97" s="101"/>
      <c r="AY97" s="101"/>
      <c r="AZ97" s="101"/>
      <c r="BA97" s="101"/>
      <c r="BB97" s="103"/>
      <c r="BC97" s="103"/>
      <c r="BD97" s="103"/>
      <c r="BE97" s="101"/>
      <c r="BF97" s="101"/>
      <c r="BG97" s="101"/>
      <c r="BH97" s="101"/>
      <c r="BI97" s="101"/>
      <c r="BM97" s="101"/>
      <c r="BN97" s="101"/>
      <c r="BO97" s="101"/>
      <c r="BP97" s="101"/>
      <c r="BQ97" s="101"/>
      <c r="BR97" s="101"/>
      <c r="BS97" s="101"/>
      <c r="BT97" s="104"/>
      <c r="BU97" s="104"/>
      <c r="BV97" s="104"/>
      <c r="BW97" s="104"/>
      <c r="BX97" s="104"/>
      <c r="BY97" s="104"/>
      <c r="BZ97" s="104"/>
      <c r="CA97" s="104"/>
      <c r="CB97" s="104"/>
      <c r="CC97" s="104"/>
      <c r="CD97" s="104"/>
      <c r="CE97" s="104"/>
      <c r="CF97" s="104"/>
      <c r="CG97" s="104"/>
      <c r="CH97" s="104"/>
      <c r="CI97" s="104"/>
      <c r="CJ97" s="104"/>
      <c r="CK97" s="104"/>
      <c r="CL97" s="104"/>
      <c r="CM97" s="104"/>
      <c r="CN97" s="104"/>
      <c r="CO97" s="104"/>
      <c r="CP97" s="98"/>
      <c r="CR97" s="101"/>
      <c r="CS97" s="101"/>
      <c r="CT97" s="101"/>
      <c r="CU97" s="101"/>
      <c r="CV97" s="101"/>
      <c r="FL97" s="103"/>
      <c r="FN97" s="103"/>
      <c r="FP97" s="103"/>
      <c r="FR97" s="103"/>
    </row>
    <row r="98" spans="2:174" x14ac:dyDescent="0.35">
      <c r="B98" s="97"/>
      <c r="G98" s="100"/>
      <c r="K98" s="98"/>
      <c r="L98" s="101"/>
      <c r="M98" s="101"/>
      <c r="N98" s="101"/>
      <c r="O98" s="101"/>
      <c r="P98" s="102"/>
      <c r="Q98" s="101"/>
      <c r="R98" s="98"/>
      <c r="S98" s="98"/>
      <c r="T98" s="98"/>
      <c r="U98" s="98"/>
      <c r="V98" s="98"/>
      <c r="W98" s="98"/>
      <c r="X98" s="98"/>
      <c r="Y98" s="98"/>
      <c r="Z98" s="103"/>
      <c r="AA98" s="103"/>
      <c r="AB98" s="103"/>
      <c r="AC98" s="103"/>
      <c r="AD98" s="103"/>
      <c r="AE98" s="103"/>
      <c r="AF98" s="103"/>
      <c r="AG98" s="101"/>
      <c r="AH98" s="101"/>
      <c r="AI98" s="101"/>
      <c r="AJ98" s="101"/>
      <c r="AK98" s="101"/>
      <c r="AL98" s="101"/>
      <c r="AM98" s="101"/>
      <c r="AN98" s="103"/>
      <c r="AO98" s="103"/>
      <c r="AP98" s="103"/>
      <c r="AQ98" s="103"/>
      <c r="AR98" s="103"/>
      <c r="AS98" s="103"/>
      <c r="AT98" s="103"/>
      <c r="AU98" s="101"/>
      <c r="AV98" s="101"/>
      <c r="AW98" s="101"/>
      <c r="AX98" s="101"/>
      <c r="AY98" s="101"/>
      <c r="AZ98" s="101"/>
      <c r="BA98" s="101"/>
      <c r="BB98" s="103"/>
      <c r="BC98" s="103"/>
      <c r="BD98" s="103"/>
      <c r="BE98" s="101"/>
      <c r="BF98" s="101"/>
      <c r="BG98" s="101"/>
      <c r="BH98" s="101"/>
      <c r="BI98" s="101"/>
      <c r="BM98" s="101"/>
      <c r="BN98" s="101"/>
      <c r="BO98" s="101"/>
      <c r="BP98" s="101"/>
      <c r="BQ98" s="101"/>
      <c r="BR98" s="101"/>
      <c r="BS98" s="101"/>
      <c r="BT98" s="104"/>
      <c r="BU98" s="104"/>
      <c r="BV98" s="104"/>
      <c r="BW98" s="104"/>
      <c r="BX98" s="104"/>
      <c r="BY98" s="104"/>
      <c r="BZ98" s="104"/>
      <c r="CA98" s="104"/>
      <c r="CB98" s="104"/>
      <c r="CC98" s="104"/>
      <c r="CD98" s="104"/>
      <c r="CE98" s="104"/>
      <c r="CF98" s="104"/>
      <c r="CG98" s="104"/>
      <c r="CH98" s="104"/>
      <c r="CI98" s="104"/>
      <c r="CJ98" s="104"/>
      <c r="CK98" s="104"/>
      <c r="CL98" s="104"/>
      <c r="CM98" s="104"/>
      <c r="CN98" s="104"/>
      <c r="CO98" s="104"/>
      <c r="CP98" s="98"/>
      <c r="CR98" s="101"/>
      <c r="CS98" s="101"/>
      <c r="CT98" s="101"/>
      <c r="CU98" s="101"/>
      <c r="CV98" s="101"/>
      <c r="FL98" s="103"/>
      <c r="FN98" s="103"/>
      <c r="FP98" s="103"/>
      <c r="FR98" s="103"/>
    </row>
    <row r="99" spans="2:174" x14ac:dyDescent="0.35">
      <c r="B99" s="97"/>
      <c r="G99" s="100"/>
      <c r="K99" s="98"/>
      <c r="L99" s="101"/>
      <c r="M99" s="101"/>
      <c r="N99" s="101"/>
      <c r="O99" s="101"/>
      <c r="P99" s="102"/>
      <c r="Q99" s="101"/>
      <c r="R99" s="98"/>
      <c r="S99" s="98"/>
      <c r="T99" s="98"/>
      <c r="U99" s="98"/>
      <c r="V99" s="98"/>
      <c r="W99" s="98"/>
      <c r="X99" s="98"/>
      <c r="Y99" s="98"/>
      <c r="Z99" s="103"/>
      <c r="AA99" s="103"/>
      <c r="AB99" s="103"/>
      <c r="AC99" s="103"/>
      <c r="AD99" s="103"/>
      <c r="AE99" s="103"/>
      <c r="AF99" s="103"/>
      <c r="AG99" s="101"/>
      <c r="AH99" s="101"/>
      <c r="AI99" s="101"/>
      <c r="AJ99" s="101"/>
      <c r="AK99" s="101"/>
      <c r="AL99" s="101"/>
      <c r="AM99" s="101"/>
      <c r="AN99" s="103"/>
      <c r="AO99" s="103"/>
      <c r="AP99" s="103"/>
      <c r="AQ99" s="103"/>
      <c r="AR99" s="103"/>
      <c r="AS99" s="103"/>
      <c r="AT99" s="103"/>
      <c r="AU99" s="101"/>
      <c r="AV99" s="101"/>
      <c r="AW99" s="101"/>
      <c r="AX99" s="101"/>
      <c r="AY99" s="101"/>
      <c r="AZ99" s="101"/>
      <c r="BA99" s="101"/>
      <c r="BB99" s="103"/>
      <c r="BC99" s="103"/>
      <c r="BD99" s="103"/>
      <c r="BE99" s="101"/>
      <c r="BF99" s="101"/>
      <c r="BG99" s="101"/>
      <c r="BH99" s="101"/>
      <c r="BI99" s="101"/>
      <c r="BM99" s="101"/>
      <c r="BN99" s="101"/>
      <c r="BO99" s="101"/>
      <c r="BP99" s="101"/>
      <c r="BQ99" s="101"/>
      <c r="BR99" s="101"/>
      <c r="BS99" s="101"/>
      <c r="BT99" s="104"/>
      <c r="BU99" s="104"/>
      <c r="BV99" s="104"/>
      <c r="BW99" s="104"/>
      <c r="BX99" s="104"/>
      <c r="BY99" s="104"/>
      <c r="BZ99" s="104"/>
      <c r="CA99" s="104"/>
      <c r="CB99" s="104"/>
      <c r="CC99" s="104"/>
      <c r="CD99" s="104"/>
      <c r="CE99" s="104"/>
      <c r="CF99" s="104"/>
      <c r="CG99" s="104"/>
      <c r="CH99" s="104"/>
      <c r="CI99" s="104"/>
      <c r="CJ99" s="104"/>
      <c r="CK99" s="104"/>
      <c r="CL99" s="104"/>
      <c r="CM99" s="104"/>
      <c r="CN99" s="104"/>
      <c r="CO99" s="104"/>
      <c r="CP99" s="98"/>
      <c r="CR99" s="101"/>
      <c r="CS99" s="101"/>
      <c r="CT99" s="101"/>
      <c r="CU99" s="101"/>
      <c r="CV99" s="101"/>
      <c r="FL99" s="103"/>
      <c r="FN99" s="103"/>
      <c r="FP99" s="103"/>
      <c r="FR99" s="103"/>
    </row>
    <row r="100" spans="2:174" x14ac:dyDescent="0.35">
      <c r="B100" s="97"/>
      <c r="G100" s="100"/>
      <c r="K100" s="98"/>
      <c r="L100" s="101"/>
      <c r="M100" s="101"/>
      <c r="N100" s="101"/>
      <c r="O100" s="101"/>
      <c r="P100" s="102"/>
      <c r="Q100" s="101"/>
      <c r="R100" s="98"/>
      <c r="S100" s="98"/>
      <c r="T100" s="98"/>
      <c r="U100" s="98"/>
      <c r="V100" s="98"/>
      <c r="W100" s="98"/>
      <c r="X100" s="98"/>
      <c r="Y100" s="98"/>
      <c r="Z100" s="103"/>
      <c r="AA100" s="103"/>
      <c r="AB100" s="103"/>
      <c r="AC100" s="103"/>
      <c r="AD100" s="103"/>
      <c r="AE100" s="103"/>
      <c r="AF100" s="103"/>
      <c r="AG100" s="101"/>
      <c r="AH100" s="101"/>
      <c r="AI100" s="101"/>
      <c r="AJ100" s="101"/>
      <c r="AK100" s="101"/>
      <c r="AL100" s="101"/>
      <c r="AM100" s="101"/>
      <c r="AN100" s="103"/>
      <c r="AO100" s="103"/>
      <c r="AP100" s="103"/>
      <c r="AQ100" s="103"/>
      <c r="AR100" s="103"/>
      <c r="AS100" s="103"/>
      <c r="AT100" s="103"/>
      <c r="AU100" s="101"/>
      <c r="AV100" s="101"/>
      <c r="AW100" s="101"/>
      <c r="AX100" s="101"/>
      <c r="AY100" s="101"/>
      <c r="AZ100" s="101"/>
      <c r="BA100" s="101"/>
      <c r="BB100" s="103"/>
      <c r="BC100" s="103"/>
      <c r="BD100" s="103"/>
      <c r="BE100" s="101"/>
      <c r="BF100" s="101"/>
      <c r="BG100" s="101"/>
      <c r="BH100" s="101"/>
      <c r="BI100" s="101"/>
      <c r="BM100" s="101"/>
      <c r="BN100" s="101"/>
      <c r="BO100" s="101"/>
      <c r="BP100" s="101"/>
      <c r="BQ100" s="101"/>
      <c r="BR100" s="101"/>
      <c r="BS100" s="101"/>
      <c r="BT100" s="104"/>
      <c r="BU100" s="104"/>
      <c r="BV100" s="104"/>
      <c r="BW100" s="104"/>
      <c r="BX100" s="104"/>
      <c r="BY100" s="104"/>
      <c r="BZ100" s="104"/>
      <c r="CA100" s="104"/>
      <c r="CB100" s="104"/>
      <c r="CC100" s="104"/>
      <c r="CD100" s="104"/>
      <c r="CE100" s="104"/>
      <c r="CF100" s="104"/>
      <c r="CG100" s="104"/>
      <c r="CH100" s="104"/>
      <c r="CI100" s="104"/>
      <c r="CJ100" s="104"/>
      <c r="CK100" s="104"/>
      <c r="CL100" s="104"/>
      <c r="CM100" s="104"/>
      <c r="CN100" s="104"/>
      <c r="CO100" s="104"/>
      <c r="CP100" s="98"/>
      <c r="CR100" s="101"/>
      <c r="CS100" s="101"/>
      <c r="CT100" s="101"/>
      <c r="CU100" s="101"/>
      <c r="CV100" s="101"/>
      <c r="FL100" s="103"/>
      <c r="FN100" s="103"/>
      <c r="FP100" s="103"/>
      <c r="FR100" s="103"/>
    </row>
    <row r="101" spans="2:174" x14ac:dyDescent="0.35">
      <c r="B101" s="97"/>
      <c r="G101" s="100"/>
      <c r="K101" s="98"/>
      <c r="L101" s="101"/>
      <c r="M101" s="101"/>
      <c r="N101" s="101"/>
      <c r="O101" s="101"/>
      <c r="P101" s="102"/>
      <c r="Q101" s="101"/>
      <c r="R101" s="98"/>
      <c r="S101" s="98"/>
      <c r="T101" s="98"/>
      <c r="U101" s="98"/>
      <c r="V101" s="98"/>
      <c r="W101" s="98"/>
      <c r="X101" s="98"/>
      <c r="Y101" s="98"/>
      <c r="Z101" s="103"/>
      <c r="AA101" s="103"/>
      <c r="AB101" s="103"/>
      <c r="AC101" s="103"/>
      <c r="AD101" s="103"/>
      <c r="AE101" s="103"/>
      <c r="AF101" s="103"/>
      <c r="AG101" s="101"/>
      <c r="AH101" s="101"/>
      <c r="AI101" s="101"/>
      <c r="AJ101" s="101"/>
      <c r="AK101" s="101"/>
      <c r="AL101" s="101"/>
      <c r="AM101" s="101"/>
      <c r="AN101" s="103"/>
      <c r="AO101" s="103"/>
      <c r="AP101" s="103"/>
      <c r="AQ101" s="103"/>
      <c r="AR101" s="103"/>
      <c r="AS101" s="103"/>
      <c r="AT101" s="103"/>
      <c r="AU101" s="101"/>
      <c r="AV101" s="101"/>
      <c r="AW101" s="101"/>
      <c r="AX101" s="101"/>
      <c r="AY101" s="101"/>
      <c r="AZ101" s="101"/>
      <c r="BA101" s="101"/>
      <c r="BB101" s="103"/>
      <c r="BC101" s="103"/>
      <c r="BD101" s="103"/>
      <c r="BE101" s="101"/>
      <c r="BF101" s="101"/>
      <c r="BG101" s="101"/>
      <c r="BH101" s="101"/>
      <c r="BI101" s="101"/>
      <c r="BM101" s="101"/>
      <c r="BN101" s="101"/>
      <c r="BO101" s="101"/>
      <c r="BP101" s="101"/>
      <c r="BQ101" s="101"/>
      <c r="BR101" s="101"/>
      <c r="BS101" s="101"/>
      <c r="BT101" s="104"/>
      <c r="BU101" s="104"/>
      <c r="BV101" s="104"/>
      <c r="BW101" s="104"/>
      <c r="BX101" s="104"/>
      <c r="BY101" s="104"/>
      <c r="BZ101" s="104"/>
      <c r="CA101" s="104"/>
      <c r="CB101" s="104"/>
      <c r="CC101" s="104"/>
      <c r="CD101" s="104"/>
      <c r="CE101" s="104"/>
      <c r="CF101" s="104"/>
      <c r="CG101" s="104"/>
      <c r="CH101" s="104"/>
      <c r="CI101" s="104"/>
      <c r="CJ101" s="104"/>
      <c r="CK101" s="104"/>
      <c r="CL101" s="104"/>
      <c r="CM101" s="104"/>
      <c r="CN101" s="104"/>
      <c r="CO101" s="104"/>
      <c r="CP101" s="98"/>
      <c r="CR101" s="101"/>
      <c r="CS101" s="101"/>
      <c r="CT101" s="101"/>
      <c r="CU101" s="101"/>
      <c r="CV101" s="101"/>
      <c r="FL101" s="103"/>
      <c r="FN101" s="103"/>
      <c r="FP101" s="103"/>
      <c r="FR101" s="103"/>
    </row>
    <row r="102" spans="2:174" x14ac:dyDescent="0.35">
      <c r="B102" s="97"/>
      <c r="G102" s="100"/>
      <c r="K102" s="98"/>
      <c r="L102" s="101"/>
      <c r="M102" s="101"/>
      <c r="N102" s="101"/>
      <c r="O102" s="101"/>
      <c r="P102" s="102"/>
      <c r="Q102" s="101"/>
      <c r="R102" s="98"/>
      <c r="S102" s="98"/>
      <c r="T102" s="98"/>
      <c r="U102" s="98"/>
      <c r="V102" s="98"/>
      <c r="W102" s="98"/>
      <c r="X102" s="98"/>
      <c r="Y102" s="98"/>
      <c r="Z102" s="103"/>
      <c r="AA102" s="103"/>
      <c r="AB102" s="103"/>
      <c r="AC102" s="103"/>
      <c r="AD102" s="103"/>
      <c r="AE102" s="103"/>
      <c r="AF102" s="103"/>
      <c r="AG102" s="101"/>
      <c r="AH102" s="101"/>
      <c r="AI102" s="101"/>
      <c r="AJ102" s="101"/>
      <c r="AK102" s="101"/>
      <c r="AL102" s="101"/>
      <c r="AM102" s="101"/>
      <c r="AN102" s="103"/>
      <c r="AO102" s="103"/>
      <c r="AP102" s="103"/>
      <c r="AQ102" s="103"/>
      <c r="AR102" s="103"/>
      <c r="AS102" s="103"/>
      <c r="AT102" s="103"/>
      <c r="AU102" s="101"/>
      <c r="AV102" s="101"/>
      <c r="AW102" s="101"/>
      <c r="AX102" s="101"/>
      <c r="AY102" s="101"/>
      <c r="AZ102" s="101"/>
      <c r="BA102" s="101"/>
      <c r="BB102" s="103"/>
      <c r="BC102" s="103"/>
      <c r="BD102" s="103"/>
      <c r="BE102" s="101"/>
      <c r="BF102" s="101"/>
      <c r="BG102" s="101"/>
      <c r="BH102" s="101"/>
      <c r="BI102" s="101"/>
      <c r="BM102" s="101"/>
      <c r="BN102" s="101"/>
      <c r="BO102" s="101"/>
      <c r="BP102" s="101"/>
      <c r="BQ102" s="101"/>
      <c r="BR102" s="101"/>
      <c r="BS102" s="101"/>
      <c r="BT102" s="104"/>
      <c r="BU102" s="104"/>
      <c r="BV102" s="104"/>
      <c r="BW102" s="104"/>
      <c r="BX102" s="104"/>
      <c r="BY102" s="104"/>
      <c r="BZ102" s="104"/>
      <c r="CA102" s="104"/>
      <c r="CB102" s="104"/>
      <c r="CC102" s="104"/>
      <c r="CD102" s="104"/>
      <c r="CE102" s="104"/>
      <c r="CF102" s="104"/>
      <c r="CG102" s="104"/>
      <c r="CH102" s="104"/>
      <c r="CI102" s="104"/>
      <c r="CJ102" s="104"/>
      <c r="CK102" s="104"/>
      <c r="CL102" s="104"/>
      <c r="CM102" s="104"/>
      <c r="CN102" s="104"/>
      <c r="CO102" s="104"/>
      <c r="CP102" s="98"/>
      <c r="CR102" s="101"/>
      <c r="CS102" s="101"/>
      <c r="CT102" s="101"/>
      <c r="CU102" s="101"/>
      <c r="CV102" s="101"/>
      <c r="FL102" s="103"/>
      <c r="FN102" s="103"/>
      <c r="FP102" s="103"/>
      <c r="FR102" s="103"/>
    </row>
    <row r="103" spans="2:174" x14ac:dyDescent="0.35">
      <c r="B103" s="97"/>
      <c r="G103" s="100"/>
      <c r="K103" s="98"/>
      <c r="L103" s="101"/>
      <c r="M103" s="101"/>
      <c r="N103" s="101"/>
      <c r="O103" s="101"/>
      <c r="P103" s="102"/>
      <c r="Q103" s="101"/>
      <c r="R103" s="98"/>
      <c r="S103" s="98"/>
      <c r="T103" s="98"/>
      <c r="U103" s="98"/>
      <c r="V103" s="98"/>
      <c r="W103" s="98"/>
      <c r="X103" s="98"/>
      <c r="Y103" s="98"/>
      <c r="Z103" s="103"/>
      <c r="AA103" s="103"/>
      <c r="AB103" s="103"/>
      <c r="AC103" s="103"/>
      <c r="AD103" s="103"/>
      <c r="AE103" s="103"/>
      <c r="AF103" s="103"/>
      <c r="AG103" s="101"/>
      <c r="AH103" s="101"/>
      <c r="AI103" s="101"/>
      <c r="AJ103" s="101"/>
      <c r="AK103" s="101"/>
      <c r="AL103" s="101"/>
      <c r="AM103" s="101"/>
      <c r="AN103" s="103"/>
      <c r="AO103" s="103"/>
      <c r="AP103" s="103"/>
      <c r="AQ103" s="103"/>
      <c r="AR103" s="103"/>
      <c r="AS103" s="103"/>
      <c r="AT103" s="103"/>
      <c r="AU103" s="101"/>
      <c r="AV103" s="101"/>
      <c r="AW103" s="101"/>
      <c r="AX103" s="101"/>
      <c r="AY103" s="101"/>
      <c r="AZ103" s="101"/>
      <c r="BA103" s="101"/>
      <c r="BB103" s="103"/>
      <c r="BC103" s="103"/>
      <c r="BD103" s="103"/>
      <c r="BE103" s="101"/>
      <c r="BF103" s="101"/>
      <c r="BG103" s="101"/>
      <c r="BH103" s="101"/>
      <c r="BI103" s="101"/>
      <c r="BM103" s="101"/>
      <c r="BN103" s="101"/>
      <c r="BO103" s="101"/>
      <c r="BP103" s="101"/>
      <c r="BQ103" s="101"/>
      <c r="BR103" s="101"/>
      <c r="BS103" s="101"/>
      <c r="BT103" s="104"/>
      <c r="BU103" s="104"/>
      <c r="BV103" s="104"/>
      <c r="BW103" s="104"/>
      <c r="BX103" s="104"/>
      <c r="BY103" s="104"/>
      <c r="BZ103" s="104"/>
      <c r="CA103" s="104"/>
      <c r="CB103" s="104"/>
      <c r="CC103" s="104"/>
      <c r="CD103" s="104"/>
      <c r="CE103" s="104"/>
      <c r="CF103" s="104"/>
      <c r="CG103" s="104"/>
      <c r="CH103" s="104"/>
      <c r="CI103" s="104"/>
      <c r="CJ103" s="104"/>
      <c r="CK103" s="104"/>
      <c r="CL103" s="104"/>
      <c r="CM103" s="104"/>
      <c r="CN103" s="104"/>
      <c r="CO103" s="104"/>
      <c r="CP103" s="98"/>
      <c r="CR103" s="101"/>
      <c r="CS103" s="101"/>
      <c r="CT103" s="101"/>
      <c r="CU103" s="101"/>
      <c r="CV103" s="101"/>
      <c r="FL103" s="103"/>
      <c r="FN103" s="103"/>
      <c r="FP103" s="103"/>
      <c r="FR103" s="103"/>
    </row>
    <row r="104" spans="2:174" x14ac:dyDescent="0.35">
      <c r="B104" s="97"/>
      <c r="G104" s="100"/>
      <c r="K104" s="98"/>
      <c r="L104" s="101"/>
      <c r="M104" s="101"/>
      <c r="N104" s="101"/>
      <c r="O104" s="101"/>
      <c r="P104" s="102"/>
      <c r="Q104" s="101"/>
      <c r="R104" s="98"/>
      <c r="S104" s="98"/>
      <c r="T104" s="98"/>
      <c r="U104" s="98"/>
      <c r="V104" s="98"/>
      <c r="W104" s="98"/>
      <c r="X104" s="98"/>
      <c r="Y104" s="98"/>
      <c r="Z104" s="103"/>
      <c r="AA104" s="103"/>
      <c r="AB104" s="103"/>
      <c r="AC104" s="103"/>
      <c r="AD104" s="103"/>
      <c r="AE104" s="103"/>
      <c r="AF104" s="103"/>
      <c r="AG104" s="101"/>
      <c r="AH104" s="101"/>
      <c r="AI104" s="101"/>
      <c r="AJ104" s="101"/>
      <c r="AK104" s="101"/>
      <c r="AL104" s="101"/>
      <c r="AM104" s="101"/>
      <c r="AN104" s="103"/>
      <c r="AO104" s="103"/>
      <c r="AP104" s="103"/>
      <c r="AQ104" s="103"/>
      <c r="AR104" s="103"/>
      <c r="AS104" s="103"/>
      <c r="AT104" s="103"/>
      <c r="AU104" s="101"/>
      <c r="AV104" s="101"/>
      <c r="AW104" s="101"/>
      <c r="AX104" s="101"/>
      <c r="AY104" s="101"/>
      <c r="AZ104" s="101"/>
      <c r="BA104" s="101"/>
      <c r="BB104" s="103"/>
      <c r="BC104" s="103"/>
      <c r="BD104" s="103"/>
      <c r="BE104" s="101"/>
      <c r="BF104" s="101"/>
      <c r="BG104" s="101"/>
      <c r="BH104" s="101"/>
      <c r="BI104" s="101"/>
      <c r="BM104" s="101"/>
      <c r="BN104" s="101"/>
      <c r="BO104" s="101"/>
      <c r="BP104" s="101"/>
      <c r="BQ104" s="101"/>
      <c r="BR104" s="101"/>
      <c r="BS104" s="101"/>
      <c r="BT104" s="104"/>
      <c r="BU104" s="104"/>
      <c r="BV104" s="104"/>
      <c r="BW104" s="104"/>
      <c r="BX104" s="104"/>
      <c r="BY104" s="104"/>
      <c r="BZ104" s="104"/>
      <c r="CA104" s="104"/>
      <c r="CB104" s="104"/>
      <c r="CC104" s="104"/>
      <c r="CD104" s="104"/>
      <c r="CE104" s="104"/>
      <c r="CF104" s="104"/>
      <c r="CG104" s="104"/>
      <c r="CH104" s="104"/>
      <c r="CI104" s="104"/>
      <c r="CJ104" s="104"/>
      <c r="CK104" s="104"/>
      <c r="CL104" s="104"/>
      <c r="CM104" s="104"/>
      <c r="CN104" s="104"/>
      <c r="CO104" s="104"/>
      <c r="CP104" s="98"/>
      <c r="CR104" s="101"/>
      <c r="CS104" s="101"/>
      <c r="CT104" s="101"/>
      <c r="CU104" s="101"/>
      <c r="CV104" s="101"/>
      <c r="FL104" s="103"/>
      <c r="FN104" s="103"/>
      <c r="FP104" s="103"/>
      <c r="FR104" s="103"/>
    </row>
    <row r="105" spans="2:174" x14ac:dyDescent="0.35">
      <c r="B105" s="97"/>
      <c r="G105" s="100"/>
      <c r="K105" s="98"/>
      <c r="L105" s="101"/>
      <c r="M105" s="101"/>
      <c r="N105" s="101"/>
      <c r="O105" s="101"/>
      <c r="P105" s="102"/>
      <c r="Q105" s="101"/>
      <c r="R105" s="98"/>
      <c r="S105" s="98"/>
      <c r="T105" s="98"/>
      <c r="U105" s="98"/>
      <c r="V105" s="98"/>
      <c r="W105" s="98"/>
      <c r="X105" s="98"/>
      <c r="Y105" s="98"/>
      <c r="Z105" s="103"/>
      <c r="AA105" s="103"/>
      <c r="AB105" s="103"/>
      <c r="AC105" s="103"/>
      <c r="AD105" s="103"/>
      <c r="AE105" s="103"/>
      <c r="AF105" s="103"/>
      <c r="AG105" s="101"/>
      <c r="AH105" s="101"/>
      <c r="AI105" s="101"/>
      <c r="AJ105" s="101"/>
      <c r="AK105" s="101"/>
      <c r="AL105" s="101"/>
      <c r="AM105" s="101"/>
      <c r="AN105" s="103"/>
      <c r="AO105" s="103"/>
      <c r="AP105" s="103"/>
      <c r="AQ105" s="103"/>
      <c r="AR105" s="103"/>
      <c r="AS105" s="103"/>
      <c r="AT105" s="103"/>
      <c r="AU105" s="101"/>
      <c r="AV105" s="101"/>
      <c r="AW105" s="101"/>
      <c r="AX105" s="101"/>
      <c r="AY105" s="101"/>
      <c r="AZ105" s="101"/>
      <c r="BA105" s="101"/>
      <c r="BB105" s="103"/>
      <c r="BC105" s="103"/>
      <c r="BD105" s="103"/>
      <c r="BE105" s="101"/>
      <c r="BF105" s="101"/>
      <c r="BG105" s="101"/>
      <c r="BH105" s="101"/>
      <c r="BI105" s="101"/>
      <c r="BM105" s="101"/>
      <c r="BN105" s="101"/>
      <c r="BO105" s="101"/>
      <c r="BP105" s="101"/>
      <c r="BQ105" s="101"/>
      <c r="BR105" s="101"/>
      <c r="BS105" s="101"/>
      <c r="BT105" s="104"/>
      <c r="BU105" s="104"/>
      <c r="BV105" s="104"/>
      <c r="BW105" s="104"/>
      <c r="BX105" s="104"/>
      <c r="BY105" s="104"/>
      <c r="BZ105" s="104"/>
      <c r="CA105" s="104"/>
      <c r="CB105" s="104"/>
      <c r="CC105" s="104"/>
      <c r="CD105" s="104"/>
      <c r="CE105" s="104"/>
      <c r="CF105" s="104"/>
      <c r="CG105" s="104"/>
      <c r="CH105" s="104"/>
      <c r="CI105" s="104"/>
      <c r="CJ105" s="104"/>
      <c r="CK105" s="104"/>
      <c r="CL105" s="104"/>
      <c r="CM105" s="104"/>
      <c r="CN105" s="104"/>
      <c r="CO105" s="104"/>
      <c r="CP105" s="98"/>
      <c r="CR105" s="101"/>
      <c r="CS105" s="101"/>
      <c r="CT105" s="101"/>
      <c r="CU105" s="101"/>
      <c r="CV105" s="101"/>
      <c r="FL105" s="103"/>
      <c r="FN105" s="103"/>
      <c r="FP105" s="103"/>
      <c r="FR105" s="103"/>
    </row>
    <row r="106" spans="2:174" x14ac:dyDescent="0.35">
      <c r="B106" s="97"/>
      <c r="G106" s="100"/>
      <c r="K106" s="98"/>
      <c r="L106" s="101"/>
      <c r="M106" s="101"/>
      <c r="N106" s="101"/>
      <c r="O106" s="101"/>
      <c r="P106" s="102"/>
      <c r="Q106" s="101"/>
      <c r="R106" s="98"/>
      <c r="S106" s="98"/>
      <c r="T106" s="98"/>
      <c r="U106" s="98"/>
      <c r="V106" s="98"/>
      <c r="W106" s="98"/>
      <c r="X106" s="98"/>
      <c r="Y106" s="98"/>
      <c r="Z106" s="103"/>
      <c r="AA106" s="103"/>
      <c r="AB106" s="103"/>
      <c r="AC106" s="103"/>
      <c r="AD106" s="103"/>
      <c r="AE106" s="103"/>
      <c r="AF106" s="103"/>
      <c r="AG106" s="101"/>
      <c r="AH106" s="101"/>
      <c r="AI106" s="101"/>
      <c r="AJ106" s="101"/>
      <c r="AK106" s="101"/>
      <c r="AL106" s="101"/>
      <c r="AM106" s="101"/>
      <c r="AN106" s="103"/>
      <c r="AO106" s="103"/>
      <c r="AP106" s="103"/>
      <c r="AQ106" s="103"/>
      <c r="AR106" s="103"/>
      <c r="AS106" s="103"/>
      <c r="AT106" s="103"/>
      <c r="AU106" s="101"/>
      <c r="AV106" s="101"/>
      <c r="AW106" s="101"/>
      <c r="AX106" s="101"/>
      <c r="AY106" s="101"/>
      <c r="AZ106" s="101"/>
      <c r="BA106" s="101"/>
      <c r="BB106" s="103"/>
      <c r="BC106" s="103"/>
      <c r="BD106" s="103"/>
      <c r="BE106" s="101"/>
      <c r="BF106" s="101"/>
      <c r="BG106" s="101"/>
      <c r="BH106" s="101"/>
      <c r="BI106" s="101"/>
      <c r="BM106" s="101"/>
      <c r="BN106" s="101"/>
      <c r="BO106" s="101"/>
      <c r="BP106" s="101"/>
      <c r="BQ106" s="101"/>
      <c r="BR106" s="101"/>
      <c r="BS106" s="101"/>
      <c r="BT106" s="104"/>
      <c r="BU106" s="104"/>
      <c r="BV106" s="104"/>
      <c r="BW106" s="104"/>
      <c r="BX106" s="104"/>
      <c r="BY106" s="104"/>
      <c r="BZ106" s="104"/>
      <c r="CA106" s="104"/>
      <c r="CB106" s="104"/>
      <c r="CC106" s="104"/>
      <c r="CD106" s="104"/>
      <c r="CE106" s="104"/>
      <c r="CF106" s="104"/>
      <c r="CG106" s="104"/>
      <c r="CH106" s="104"/>
      <c r="CI106" s="104"/>
      <c r="CJ106" s="104"/>
      <c r="CK106" s="104"/>
      <c r="CL106" s="104"/>
      <c r="CM106" s="104"/>
      <c r="CN106" s="104"/>
      <c r="CO106" s="104"/>
      <c r="CP106" s="98"/>
      <c r="CR106" s="101"/>
      <c r="CS106" s="101"/>
      <c r="CT106" s="101"/>
      <c r="CU106" s="101"/>
      <c r="CV106" s="101"/>
      <c r="FL106" s="103"/>
      <c r="FN106" s="103"/>
      <c r="FP106" s="103"/>
      <c r="FR106" s="103"/>
    </row>
    <row r="107" spans="2:174" x14ac:dyDescent="0.35">
      <c r="B107" s="97"/>
      <c r="G107" s="100"/>
      <c r="K107" s="98"/>
      <c r="L107" s="101"/>
      <c r="M107" s="101"/>
      <c r="N107" s="101"/>
      <c r="O107" s="101"/>
      <c r="P107" s="102"/>
      <c r="Q107" s="101"/>
      <c r="R107" s="98"/>
      <c r="S107" s="98"/>
      <c r="T107" s="98"/>
      <c r="U107" s="98"/>
      <c r="V107" s="98"/>
      <c r="W107" s="98"/>
      <c r="X107" s="98"/>
      <c r="Y107" s="98"/>
      <c r="Z107" s="103"/>
      <c r="AA107" s="103"/>
      <c r="AB107" s="103"/>
      <c r="AC107" s="103"/>
      <c r="AD107" s="103"/>
      <c r="AE107" s="103"/>
      <c r="AF107" s="103"/>
      <c r="AG107" s="101"/>
      <c r="AH107" s="101"/>
      <c r="AI107" s="101"/>
      <c r="AJ107" s="101"/>
      <c r="AK107" s="101"/>
      <c r="AL107" s="101"/>
      <c r="AM107" s="101"/>
      <c r="AN107" s="103"/>
      <c r="AO107" s="103"/>
      <c r="AP107" s="103"/>
      <c r="AQ107" s="103"/>
      <c r="AR107" s="103"/>
      <c r="AS107" s="103"/>
      <c r="AT107" s="103"/>
      <c r="AU107" s="101"/>
      <c r="AV107" s="101"/>
      <c r="AW107" s="101"/>
      <c r="AX107" s="101"/>
      <c r="AY107" s="101"/>
      <c r="AZ107" s="101"/>
      <c r="BA107" s="101"/>
      <c r="BB107" s="103"/>
      <c r="BC107" s="103"/>
      <c r="BD107" s="103"/>
      <c r="BE107" s="101"/>
      <c r="BF107" s="101"/>
      <c r="BG107" s="101"/>
      <c r="BH107" s="101"/>
      <c r="BI107" s="101"/>
      <c r="BM107" s="101"/>
      <c r="BN107" s="101"/>
      <c r="BO107" s="101"/>
      <c r="BP107" s="101"/>
      <c r="BQ107" s="101"/>
      <c r="BR107" s="101"/>
      <c r="BS107" s="101"/>
      <c r="BT107" s="104"/>
      <c r="BU107" s="104"/>
      <c r="BV107" s="104"/>
      <c r="BW107" s="104"/>
      <c r="BX107" s="104"/>
      <c r="BY107" s="104"/>
      <c r="BZ107" s="104"/>
      <c r="CA107" s="104"/>
      <c r="CB107" s="104"/>
      <c r="CC107" s="104"/>
      <c r="CD107" s="104"/>
      <c r="CE107" s="104"/>
      <c r="CF107" s="104"/>
      <c r="CG107" s="104"/>
      <c r="CH107" s="104"/>
      <c r="CI107" s="104"/>
      <c r="CJ107" s="104"/>
      <c r="CK107" s="104"/>
      <c r="CL107" s="104"/>
      <c r="CM107" s="104"/>
      <c r="CN107" s="104"/>
      <c r="CO107" s="104"/>
      <c r="CP107" s="98"/>
      <c r="CR107" s="101"/>
      <c r="CS107" s="101"/>
      <c r="CT107" s="101"/>
      <c r="CU107" s="101"/>
      <c r="CV107" s="101"/>
      <c r="FL107" s="103"/>
      <c r="FN107" s="103"/>
      <c r="FP107" s="103"/>
      <c r="FR107" s="103"/>
    </row>
    <row r="108" spans="2:174" x14ac:dyDescent="0.35">
      <c r="B108" s="97"/>
      <c r="G108" s="100"/>
      <c r="K108" s="98"/>
      <c r="L108" s="101"/>
      <c r="M108" s="101"/>
      <c r="N108" s="101"/>
      <c r="O108" s="101"/>
      <c r="P108" s="102"/>
      <c r="Q108" s="101"/>
      <c r="R108" s="98"/>
      <c r="S108" s="98"/>
      <c r="T108" s="98"/>
      <c r="U108" s="98"/>
      <c r="V108" s="98"/>
      <c r="W108" s="98"/>
      <c r="X108" s="98"/>
      <c r="Y108" s="98"/>
      <c r="Z108" s="103"/>
      <c r="AA108" s="103"/>
      <c r="AB108" s="103"/>
      <c r="AC108" s="103"/>
      <c r="AD108" s="103"/>
      <c r="AE108" s="103"/>
      <c r="AF108" s="103"/>
      <c r="AG108" s="101"/>
      <c r="AH108" s="101"/>
      <c r="AI108" s="101"/>
      <c r="AJ108" s="101"/>
      <c r="AK108" s="101"/>
      <c r="AL108" s="101"/>
      <c r="AM108" s="101"/>
      <c r="AN108" s="103"/>
      <c r="AO108" s="103"/>
      <c r="AP108" s="103"/>
      <c r="AQ108" s="103"/>
      <c r="AR108" s="103"/>
      <c r="AS108" s="103"/>
      <c r="AT108" s="103"/>
      <c r="AU108" s="101"/>
      <c r="AV108" s="101"/>
      <c r="AW108" s="101"/>
      <c r="AX108" s="101"/>
      <c r="AY108" s="101"/>
      <c r="AZ108" s="101"/>
      <c r="BA108" s="101"/>
      <c r="BB108" s="103"/>
      <c r="BC108" s="103"/>
      <c r="BD108" s="103"/>
      <c r="BE108" s="101"/>
      <c r="BF108" s="101"/>
      <c r="BG108" s="101"/>
      <c r="BH108" s="101"/>
      <c r="BI108" s="101"/>
      <c r="BM108" s="101"/>
      <c r="BN108" s="101"/>
      <c r="BO108" s="101"/>
      <c r="BP108" s="101"/>
      <c r="BQ108" s="101"/>
      <c r="BR108" s="101"/>
      <c r="BS108" s="101"/>
      <c r="BT108" s="104"/>
      <c r="BU108" s="104"/>
      <c r="BV108" s="104"/>
      <c r="BW108" s="104"/>
      <c r="BX108" s="104"/>
      <c r="BY108" s="104"/>
      <c r="BZ108" s="104"/>
      <c r="CA108" s="104"/>
      <c r="CB108" s="104"/>
      <c r="CC108" s="104"/>
      <c r="CD108" s="104"/>
      <c r="CE108" s="104"/>
      <c r="CF108" s="104"/>
      <c r="CG108" s="104"/>
      <c r="CH108" s="104"/>
      <c r="CI108" s="104"/>
      <c r="CJ108" s="104"/>
      <c r="CK108" s="104"/>
      <c r="CL108" s="104"/>
      <c r="CM108" s="104"/>
      <c r="CN108" s="104"/>
      <c r="CO108" s="104"/>
      <c r="CP108" s="98"/>
      <c r="CR108" s="101"/>
      <c r="CS108" s="101"/>
      <c r="CT108" s="101"/>
      <c r="CU108" s="101"/>
      <c r="CV108" s="101"/>
      <c r="FL108" s="103"/>
      <c r="FN108" s="103"/>
      <c r="FP108" s="103"/>
      <c r="FR108" s="103"/>
    </row>
    <row r="109" spans="2:174" x14ac:dyDescent="0.35">
      <c r="B109" s="97"/>
      <c r="G109" s="100"/>
      <c r="K109" s="98"/>
      <c r="L109" s="101"/>
      <c r="M109" s="101"/>
      <c r="N109" s="101"/>
      <c r="O109" s="101"/>
      <c r="P109" s="102"/>
      <c r="Q109" s="101"/>
      <c r="R109" s="98"/>
      <c r="S109" s="98"/>
      <c r="T109" s="98"/>
      <c r="U109" s="98"/>
      <c r="V109" s="98"/>
      <c r="W109" s="98"/>
      <c r="X109" s="98"/>
      <c r="Y109" s="98"/>
      <c r="Z109" s="103"/>
      <c r="AA109" s="103"/>
      <c r="AB109" s="103"/>
      <c r="AC109" s="103"/>
      <c r="AD109" s="103"/>
      <c r="AE109" s="103"/>
      <c r="AF109" s="103"/>
      <c r="AG109" s="101"/>
      <c r="AH109" s="101"/>
      <c r="AI109" s="101"/>
      <c r="AJ109" s="101"/>
      <c r="AK109" s="101"/>
      <c r="AL109" s="101"/>
      <c r="AM109" s="101"/>
      <c r="AN109" s="103"/>
      <c r="AO109" s="103"/>
      <c r="AP109" s="103"/>
      <c r="AQ109" s="103"/>
      <c r="AR109" s="103"/>
      <c r="AS109" s="103"/>
      <c r="AT109" s="103"/>
      <c r="AU109" s="101"/>
      <c r="AV109" s="101"/>
      <c r="AW109" s="101"/>
      <c r="AX109" s="101"/>
      <c r="AY109" s="101"/>
      <c r="AZ109" s="101"/>
      <c r="BA109" s="101"/>
      <c r="BB109" s="103"/>
      <c r="BC109" s="103"/>
      <c r="BD109" s="103"/>
      <c r="BE109" s="101"/>
      <c r="BF109" s="101"/>
      <c r="BG109" s="101"/>
      <c r="BH109" s="101"/>
      <c r="BI109" s="101"/>
      <c r="BM109" s="101"/>
      <c r="BN109" s="101"/>
      <c r="BO109" s="101"/>
      <c r="BP109" s="101"/>
      <c r="BQ109" s="101"/>
      <c r="BR109" s="101"/>
      <c r="BS109" s="101"/>
      <c r="BT109" s="104"/>
      <c r="BU109" s="104"/>
      <c r="BV109" s="104"/>
      <c r="BW109" s="104"/>
      <c r="BX109" s="104"/>
      <c r="BY109" s="104"/>
      <c r="BZ109" s="104"/>
      <c r="CA109" s="104"/>
      <c r="CB109" s="104"/>
      <c r="CC109" s="104"/>
      <c r="CD109" s="104"/>
      <c r="CE109" s="104"/>
      <c r="CF109" s="104"/>
      <c r="CG109" s="104"/>
      <c r="CH109" s="104"/>
      <c r="CI109" s="104"/>
      <c r="CJ109" s="104"/>
      <c r="CK109" s="104"/>
      <c r="CL109" s="104"/>
      <c r="CM109" s="104"/>
      <c r="CN109" s="104"/>
      <c r="CO109" s="104"/>
      <c r="CP109" s="98"/>
      <c r="CR109" s="101"/>
      <c r="CS109" s="101"/>
      <c r="CT109" s="101"/>
      <c r="CU109" s="101"/>
      <c r="CV109" s="101"/>
      <c r="FL109" s="103"/>
      <c r="FN109" s="103"/>
      <c r="FP109" s="103"/>
      <c r="FR109" s="103"/>
    </row>
    <row r="110" spans="2:174" x14ac:dyDescent="0.35">
      <c r="B110" s="97"/>
      <c r="G110" s="100"/>
      <c r="K110" s="98"/>
      <c r="L110" s="101"/>
      <c r="M110" s="101"/>
      <c r="N110" s="101"/>
      <c r="O110" s="101"/>
      <c r="P110" s="102"/>
      <c r="Q110" s="101"/>
      <c r="R110" s="98"/>
      <c r="S110" s="98"/>
      <c r="T110" s="98"/>
      <c r="U110" s="98"/>
      <c r="V110" s="98"/>
      <c r="W110" s="98"/>
      <c r="X110" s="98"/>
      <c r="Y110" s="98"/>
      <c r="Z110" s="103"/>
      <c r="AA110" s="103"/>
      <c r="AB110" s="103"/>
      <c r="AC110" s="103"/>
      <c r="AD110" s="103"/>
      <c r="AE110" s="103"/>
      <c r="AF110" s="103"/>
      <c r="AG110" s="101"/>
      <c r="AH110" s="101"/>
      <c r="AI110" s="101"/>
      <c r="AJ110" s="101"/>
      <c r="AK110" s="101"/>
      <c r="AL110" s="101"/>
      <c r="AM110" s="101"/>
      <c r="AN110" s="103"/>
      <c r="AO110" s="103"/>
      <c r="AP110" s="103"/>
      <c r="AQ110" s="103"/>
      <c r="AR110" s="103"/>
      <c r="AS110" s="103"/>
      <c r="AT110" s="103"/>
      <c r="AU110" s="101"/>
      <c r="AV110" s="101"/>
      <c r="AW110" s="101"/>
      <c r="AX110" s="101"/>
      <c r="AY110" s="101"/>
      <c r="AZ110" s="101"/>
      <c r="BA110" s="101"/>
      <c r="BB110" s="103"/>
      <c r="BC110" s="103"/>
      <c r="BD110" s="103"/>
      <c r="BE110" s="101"/>
      <c r="BF110" s="101"/>
      <c r="BG110" s="101"/>
      <c r="BH110" s="101"/>
      <c r="BI110" s="101"/>
      <c r="BM110" s="101"/>
      <c r="BN110" s="101"/>
      <c r="BO110" s="101"/>
      <c r="BP110" s="101"/>
      <c r="BQ110" s="101"/>
      <c r="BR110" s="101"/>
      <c r="BS110" s="101"/>
      <c r="BT110" s="104"/>
      <c r="BU110" s="104"/>
      <c r="BV110" s="104"/>
      <c r="BW110" s="104"/>
      <c r="BX110" s="104"/>
      <c r="BY110" s="104"/>
      <c r="BZ110" s="104"/>
      <c r="CA110" s="104"/>
      <c r="CB110" s="104"/>
      <c r="CC110" s="104"/>
      <c r="CD110" s="104"/>
      <c r="CE110" s="104"/>
      <c r="CF110" s="104"/>
      <c r="CG110" s="104"/>
      <c r="CH110" s="104"/>
      <c r="CI110" s="104"/>
      <c r="CJ110" s="104"/>
      <c r="CK110" s="104"/>
      <c r="CL110" s="104"/>
      <c r="CM110" s="104"/>
      <c r="CN110" s="104"/>
      <c r="CO110" s="104"/>
      <c r="CP110" s="98"/>
      <c r="CR110" s="101"/>
      <c r="CS110" s="101"/>
      <c r="CT110" s="101"/>
      <c r="CU110" s="101"/>
      <c r="CV110" s="101"/>
      <c r="FL110" s="103"/>
      <c r="FN110" s="103"/>
      <c r="FP110" s="103"/>
      <c r="FR110" s="103"/>
    </row>
    <row r="111" spans="2:174" x14ac:dyDescent="0.35">
      <c r="B111" s="97"/>
      <c r="G111" s="100"/>
      <c r="K111" s="98"/>
      <c r="L111" s="101"/>
      <c r="M111" s="101"/>
      <c r="N111" s="101"/>
      <c r="O111" s="101"/>
      <c r="P111" s="102"/>
      <c r="Q111" s="101"/>
      <c r="R111" s="98"/>
      <c r="S111" s="98"/>
      <c r="T111" s="98"/>
      <c r="U111" s="98"/>
      <c r="V111" s="98"/>
      <c r="W111" s="98"/>
      <c r="X111" s="98"/>
      <c r="Y111" s="98"/>
      <c r="Z111" s="103"/>
      <c r="AA111" s="103"/>
      <c r="AB111" s="103"/>
      <c r="AC111" s="103"/>
      <c r="AD111" s="103"/>
      <c r="AE111" s="103"/>
      <c r="AF111" s="103"/>
      <c r="AG111" s="101"/>
      <c r="AH111" s="101"/>
      <c r="AI111" s="101"/>
      <c r="AJ111" s="101"/>
      <c r="AK111" s="101"/>
      <c r="AL111" s="101"/>
      <c r="AM111" s="101"/>
      <c r="AN111" s="103"/>
      <c r="AO111" s="103"/>
      <c r="AP111" s="103"/>
      <c r="AQ111" s="103"/>
      <c r="AR111" s="103"/>
      <c r="AS111" s="103"/>
      <c r="AT111" s="103"/>
      <c r="AU111" s="101"/>
      <c r="AV111" s="101"/>
      <c r="AW111" s="101"/>
      <c r="AX111" s="101"/>
      <c r="AY111" s="101"/>
      <c r="AZ111" s="101"/>
      <c r="BA111" s="101"/>
      <c r="BB111" s="103"/>
      <c r="BC111" s="103"/>
      <c r="BD111" s="103"/>
      <c r="BE111" s="101"/>
      <c r="BF111" s="101"/>
      <c r="BG111" s="101"/>
      <c r="BH111" s="101"/>
      <c r="BI111" s="101"/>
      <c r="BM111" s="101"/>
      <c r="BN111" s="101"/>
      <c r="BO111" s="101"/>
      <c r="BP111" s="101"/>
      <c r="BQ111" s="101"/>
      <c r="BR111" s="101"/>
      <c r="BS111" s="101"/>
      <c r="BT111" s="104"/>
      <c r="BU111" s="104"/>
      <c r="BV111" s="104"/>
      <c r="BW111" s="104"/>
      <c r="BX111" s="104"/>
      <c r="BY111" s="104"/>
      <c r="BZ111" s="104"/>
      <c r="CA111" s="104"/>
      <c r="CB111" s="104"/>
      <c r="CC111" s="104"/>
      <c r="CD111" s="104"/>
      <c r="CE111" s="104"/>
      <c r="CF111" s="104"/>
      <c r="CG111" s="104"/>
      <c r="CH111" s="104"/>
      <c r="CI111" s="104"/>
      <c r="CJ111" s="104"/>
      <c r="CK111" s="104"/>
      <c r="CL111" s="104"/>
      <c r="CM111" s="104"/>
      <c r="CN111" s="104"/>
      <c r="CO111" s="104"/>
      <c r="CP111" s="98"/>
      <c r="CR111" s="101"/>
      <c r="CS111" s="101"/>
      <c r="CT111" s="101"/>
      <c r="CU111" s="101"/>
      <c r="CV111" s="101"/>
      <c r="FL111" s="103"/>
      <c r="FN111" s="103"/>
      <c r="FP111" s="103"/>
      <c r="FR111" s="103"/>
    </row>
    <row r="112" spans="2:174" x14ac:dyDescent="0.35">
      <c r="B112" s="97"/>
      <c r="G112" s="100"/>
      <c r="K112" s="98"/>
      <c r="L112" s="101"/>
      <c r="M112" s="101"/>
      <c r="N112" s="101"/>
      <c r="O112" s="101"/>
      <c r="P112" s="102"/>
      <c r="Q112" s="101"/>
      <c r="R112" s="98"/>
      <c r="S112" s="98"/>
      <c r="T112" s="98"/>
      <c r="U112" s="98"/>
      <c r="V112" s="98"/>
      <c r="W112" s="98"/>
      <c r="X112" s="98"/>
      <c r="Y112" s="98"/>
      <c r="Z112" s="103"/>
      <c r="AA112" s="103"/>
      <c r="AB112" s="103"/>
      <c r="AC112" s="103"/>
      <c r="AD112" s="103"/>
      <c r="AE112" s="103"/>
      <c r="AF112" s="103"/>
      <c r="AG112" s="101"/>
      <c r="AH112" s="101"/>
      <c r="AI112" s="101"/>
      <c r="AJ112" s="101"/>
      <c r="AK112" s="101"/>
      <c r="AL112" s="101"/>
      <c r="AM112" s="101"/>
      <c r="AN112" s="103"/>
      <c r="AO112" s="103"/>
      <c r="AP112" s="103"/>
      <c r="AQ112" s="103"/>
      <c r="AR112" s="103"/>
      <c r="AS112" s="103"/>
      <c r="AT112" s="103"/>
      <c r="AU112" s="101"/>
      <c r="AV112" s="101"/>
      <c r="AW112" s="101"/>
      <c r="AX112" s="101"/>
      <c r="AY112" s="101"/>
      <c r="AZ112" s="101"/>
      <c r="BA112" s="101"/>
      <c r="BB112" s="103"/>
      <c r="BC112" s="103"/>
      <c r="BD112" s="103"/>
      <c r="BE112" s="101"/>
      <c r="BF112" s="101"/>
      <c r="BG112" s="101"/>
      <c r="BH112" s="101"/>
      <c r="BI112" s="101"/>
      <c r="BM112" s="101"/>
      <c r="BN112" s="101"/>
      <c r="BO112" s="101"/>
      <c r="BP112" s="101"/>
      <c r="BQ112" s="101"/>
      <c r="BR112" s="101"/>
      <c r="BS112" s="101"/>
      <c r="BT112" s="104"/>
      <c r="BU112" s="104"/>
      <c r="BV112" s="104"/>
      <c r="BW112" s="104"/>
      <c r="BX112" s="104"/>
      <c r="BY112" s="104"/>
      <c r="BZ112" s="104"/>
      <c r="CA112" s="104"/>
      <c r="CB112" s="104"/>
      <c r="CC112" s="104"/>
      <c r="CD112" s="104"/>
      <c r="CE112" s="104"/>
      <c r="CF112" s="104"/>
      <c r="CG112" s="104"/>
      <c r="CH112" s="104"/>
      <c r="CI112" s="104"/>
      <c r="CJ112" s="104"/>
      <c r="CK112" s="104"/>
      <c r="CL112" s="104"/>
      <c r="CM112" s="104"/>
      <c r="CN112" s="104"/>
      <c r="CO112" s="104"/>
      <c r="CP112" s="98"/>
      <c r="CR112" s="101"/>
      <c r="CS112" s="101"/>
      <c r="CT112" s="101"/>
      <c r="CU112" s="101"/>
      <c r="CV112" s="101"/>
      <c r="FL112" s="103"/>
      <c r="FN112" s="103"/>
      <c r="FP112" s="103"/>
      <c r="FR112" s="103"/>
    </row>
    <row r="113" spans="2:174" x14ac:dyDescent="0.35">
      <c r="B113" s="97"/>
      <c r="G113" s="100"/>
      <c r="K113" s="98"/>
      <c r="L113" s="101"/>
      <c r="M113" s="101"/>
      <c r="N113" s="101"/>
      <c r="O113" s="101"/>
      <c r="P113" s="102"/>
      <c r="Q113" s="101"/>
      <c r="R113" s="98"/>
      <c r="S113" s="98"/>
      <c r="T113" s="98"/>
      <c r="U113" s="98"/>
      <c r="V113" s="98"/>
      <c r="W113" s="98"/>
      <c r="X113" s="98"/>
      <c r="Y113" s="98"/>
      <c r="Z113" s="103"/>
      <c r="AA113" s="103"/>
      <c r="AB113" s="103"/>
      <c r="AC113" s="103"/>
      <c r="AD113" s="103"/>
      <c r="AE113" s="103"/>
      <c r="AF113" s="103"/>
      <c r="AG113" s="101"/>
      <c r="AH113" s="101"/>
      <c r="AI113" s="101"/>
      <c r="AJ113" s="101"/>
      <c r="AK113" s="101"/>
      <c r="AL113" s="101"/>
      <c r="AM113" s="101"/>
      <c r="AN113" s="103"/>
      <c r="AO113" s="103"/>
      <c r="AP113" s="103"/>
      <c r="AQ113" s="103"/>
      <c r="AR113" s="103"/>
      <c r="AS113" s="103"/>
      <c r="AT113" s="103"/>
      <c r="AU113" s="101"/>
      <c r="AV113" s="101"/>
      <c r="AW113" s="101"/>
      <c r="AX113" s="101"/>
      <c r="AY113" s="101"/>
      <c r="AZ113" s="101"/>
      <c r="BA113" s="101"/>
      <c r="BB113" s="103"/>
      <c r="BC113" s="103"/>
      <c r="BD113" s="103"/>
      <c r="BE113" s="101"/>
      <c r="BF113" s="101"/>
      <c r="BG113" s="101"/>
      <c r="BH113" s="101"/>
      <c r="BI113" s="101"/>
      <c r="BM113" s="101"/>
      <c r="BN113" s="101"/>
      <c r="BO113" s="101"/>
      <c r="BP113" s="101"/>
      <c r="BQ113" s="101"/>
      <c r="BR113" s="101"/>
      <c r="BS113" s="101"/>
      <c r="BT113" s="104"/>
      <c r="BU113" s="104"/>
      <c r="BV113" s="104"/>
      <c r="BW113" s="104"/>
      <c r="BX113" s="104"/>
      <c r="BY113" s="104"/>
      <c r="BZ113" s="104"/>
      <c r="CA113" s="104"/>
      <c r="CB113" s="104"/>
      <c r="CC113" s="104"/>
      <c r="CD113" s="104"/>
      <c r="CE113" s="104"/>
      <c r="CF113" s="104"/>
      <c r="CG113" s="104"/>
      <c r="CH113" s="104"/>
      <c r="CI113" s="104"/>
      <c r="CJ113" s="104"/>
      <c r="CK113" s="104"/>
      <c r="CL113" s="104"/>
      <c r="CM113" s="104"/>
      <c r="CN113" s="104"/>
      <c r="CO113" s="104"/>
      <c r="CP113" s="98"/>
      <c r="CR113" s="101"/>
      <c r="CS113" s="101"/>
      <c r="CT113" s="101"/>
      <c r="CU113" s="101"/>
      <c r="CV113" s="101"/>
      <c r="FL113" s="103"/>
      <c r="FN113" s="103"/>
      <c r="FP113" s="103"/>
      <c r="FR113" s="103"/>
    </row>
    <row r="114" spans="2:174" x14ac:dyDescent="0.35">
      <c r="B114" s="97"/>
      <c r="G114" s="100"/>
      <c r="K114" s="98"/>
      <c r="L114" s="101"/>
      <c r="M114" s="101"/>
      <c r="N114" s="101"/>
      <c r="O114" s="101"/>
      <c r="P114" s="102"/>
      <c r="Q114" s="101"/>
      <c r="R114" s="98"/>
      <c r="S114" s="98"/>
      <c r="T114" s="98"/>
      <c r="U114" s="98"/>
      <c r="V114" s="98"/>
      <c r="W114" s="98"/>
      <c r="X114" s="98"/>
      <c r="Y114" s="98"/>
      <c r="Z114" s="103"/>
      <c r="AA114" s="103"/>
      <c r="AB114" s="103"/>
      <c r="AC114" s="103"/>
      <c r="AD114" s="103"/>
      <c r="AE114" s="103"/>
      <c r="AF114" s="103"/>
      <c r="AG114" s="101"/>
      <c r="AH114" s="101"/>
      <c r="AI114" s="101"/>
      <c r="AJ114" s="101"/>
      <c r="AK114" s="101"/>
      <c r="AL114" s="101"/>
      <c r="AM114" s="101"/>
      <c r="AN114" s="103"/>
      <c r="AO114" s="103"/>
      <c r="AP114" s="103"/>
      <c r="AQ114" s="103"/>
      <c r="AR114" s="103"/>
      <c r="AS114" s="103"/>
      <c r="AT114" s="103"/>
      <c r="AU114" s="101"/>
      <c r="AV114" s="101"/>
      <c r="AW114" s="101"/>
      <c r="AX114" s="101"/>
      <c r="AY114" s="101"/>
      <c r="AZ114" s="101"/>
      <c r="BA114" s="101"/>
      <c r="BB114" s="103"/>
      <c r="BC114" s="103"/>
      <c r="BD114" s="103"/>
      <c r="BE114" s="101"/>
      <c r="BF114" s="101"/>
      <c r="BG114" s="101"/>
      <c r="BH114" s="101"/>
      <c r="BI114" s="101"/>
      <c r="BM114" s="101"/>
      <c r="BN114" s="101"/>
      <c r="BO114" s="101"/>
      <c r="BP114" s="101"/>
      <c r="BQ114" s="101"/>
      <c r="BR114" s="101"/>
      <c r="BS114" s="101"/>
      <c r="BT114" s="104"/>
      <c r="BU114" s="104"/>
      <c r="BV114" s="104"/>
      <c r="BW114" s="104"/>
      <c r="BX114" s="104"/>
      <c r="BY114" s="104"/>
      <c r="BZ114" s="104"/>
      <c r="CA114" s="104"/>
      <c r="CB114" s="104"/>
      <c r="CC114" s="104"/>
      <c r="CD114" s="104"/>
      <c r="CE114" s="104"/>
      <c r="CF114" s="104"/>
      <c r="CG114" s="104"/>
      <c r="CH114" s="104"/>
      <c r="CI114" s="104"/>
      <c r="CJ114" s="104"/>
      <c r="CK114" s="104"/>
      <c r="CL114" s="104"/>
      <c r="CM114" s="104"/>
      <c r="CN114" s="104"/>
      <c r="CO114" s="104"/>
      <c r="CP114" s="98"/>
      <c r="CR114" s="101"/>
      <c r="CS114" s="101"/>
      <c r="CT114" s="101"/>
      <c r="CU114" s="101"/>
      <c r="CV114" s="101"/>
      <c r="FL114" s="103"/>
      <c r="FN114" s="103"/>
      <c r="FP114" s="103"/>
      <c r="FR114" s="103"/>
    </row>
    <row r="115" spans="2:174" x14ac:dyDescent="0.35">
      <c r="B115" s="97"/>
      <c r="G115" s="100"/>
      <c r="K115" s="98"/>
      <c r="L115" s="101"/>
      <c r="M115" s="101"/>
      <c r="N115" s="101"/>
      <c r="O115" s="101"/>
      <c r="P115" s="102"/>
      <c r="Q115" s="101"/>
      <c r="R115" s="98"/>
      <c r="S115" s="98"/>
      <c r="T115" s="98"/>
      <c r="U115" s="98"/>
      <c r="V115" s="98"/>
      <c r="W115" s="98"/>
      <c r="X115" s="98"/>
      <c r="Y115" s="98"/>
      <c r="Z115" s="103"/>
      <c r="AA115" s="103"/>
      <c r="AB115" s="103"/>
      <c r="AC115" s="103"/>
      <c r="AD115" s="103"/>
      <c r="AE115" s="103"/>
      <c r="AF115" s="103"/>
      <c r="AG115" s="101"/>
      <c r="AH115" s="101"/>
      <c r="AI115" s="101"/>
      <c r="AJ115" s="101"/>
      <c r="AK115" s="101"/>
      <c r="AL115" s="101"/>
      <c r="AM115" s="101"/>
      <c r="AN115" s="103"/>
      <c r="AO115" s="103"/>
      <c r="AP115" s="103"/>
      <c r="AQ115" s="103"/>
      <c r="AR115" s="103"/>
      <c r="AS115" s="103"/>
      <c r="AT115" s="103"/>
      <c r="AU115" s="101"/>
      <c r="AV115" s="101"/>
      <c r="AW115" s="101"/>
      <c r="AX115" s="101"/>
      <c r="AY115" s="101"/>
      <c r="AZ115" s="101"/>
      <c r="BA115" s="101"/>
      <c r="BB115" s="103"/>
      <c r="BC115" s="103"/>
      <c r="BD115" s="103"/>
      <c r="BE115" s="101"/>
      <c r="BF115" s="101"/>
      <c r="BG115" s="101"/>
      <c r="BH115" s="101"/>
      <c r="BI115" s="101"/>
      <c r="BM115" s="101"/>
      <c r="BN115" s="101"/>
      <c r="BO115" s="101"/>
      <c r="BP115" s="101"/>
      <c r="BQ115" s="101"/>
      <c r="BR115" s="101"/>
      <c r="BS115" s="101"/>
      <c r="BT115" s="104"/>
      <c r="BU115" s="104"/>
      <c r="BV115" s="104"/>
      <c r="BW115" s="104"/>
      <c r="BX115" s="104"/>
      <c r="BY115" s="104"/>
      <c r="BZ115" s="104"/>
      <c r="CA115" s="104"/>
      <c r="CB115" s="104"/>
      <c r="CC115" s="104"/>
      <c r="CD115" s="104"/>
      <c r="CE115" s="104"/>
      <c r="CF115" s="104"/>
      <c r="CG115" s="104"/>
      <c r="CH115" s="104"/>
      <c r="CI115" s="104"/>
      <c r="CJ115" s="104"/>
      <c r="CK115" s="104"/>
      <c r="CL115" s="104"/>
      <c r="CM115" s="104"/>
      <c r="CN115" s="104"/>
      <c r="CO115" s="104"/>
      <c r="CP115" s="98"/>
      <c r="CR115" s="101"/>
      <c r="CS115" s="101"/>
      <c r="CT115" s="101"/>
      <c r="CU115" s="101"/>
      <c r="CV115" s="101"/>
      <c r="FL115" s="103"/>
      <c r="FN115" s="103"/>
      <c r="FP115" s="103"/>
      <c r="FR115" s="103"/>
    </row>
    <row r="116" spans="2:174" x14ac:dyDescent="0.35">
      <c r="B116" s="97"/>
      <c r="G116" s="100"/>
      <c r="K116" s="98"/>
      <c r="L116" s="101"/>
      <c r="M116" s="101"/>
      <c r="N116" s="101"/>
      <c r="O116" s="101"/>
      <c r="P116" s="102"/>
      <c r="Q116" s="101"/>
      <c r="R116" s="98"/>
      <c r="S116" s="98"/>
      <c r="T116" s="98"/>
      <c r="U116" s="98"/>
      <c r="V116" s="98"/>
      <c r="W116" s="98"/>
      <c r="X116" s="98"/>
      <c r="Y116" s="98"/>
      <c r="Z116" s="103"/>
      <c r="AA116" s="103"/>
      <c r="AB116" s="103"/>
      <c r="AC116" s="103"/>
      <c r="AD116" s="103"/>
      <c r="AE116" s="103"/>
      <c r="AF116" s="103"/>
      <c r="AG116" s="101"/>
      <c r="AH116" s="101"/>
      <c r="AI116" s="101"/>
      <c r="AJ116" s="101"/>
      <c r="AK116" s="101"/>
      <c r="AL116" s="101"/>
      <c r="AM116" s="101"/>
      <c r="AN116" s="103"/>
      <c r="AO116" s="103"/>
      <c r="AP116" s="103"/>
      <c r="AQ116" s="103"/>
      <c r="AR116" s="103"/>
      <c r="AS116" s="103"/>
      <c r="AT116" s="103"/>
      <c r="AU116" s="101"/>
      <c r="AV116" s="101"/>
      <c r="AW116" s="101"/>
      <c r="AX116" s="101"/>
      <c r="AY116" s="101"/>
      <c r="AZ116" s="101"/>
      <c r="BA116" s="101"/>
      <c r="BB116" s="103"/>
      <c r="BC116" s="103"/>
      <c r="BD116" s="103"/>
      <c r="BE116" s="101"/>
      <c r="BF116" s="101"/>
      <c r="BG116" s="101"/>
      <c r="BH116" s="101"/>
      <c r="BI116" s="101"/>
      <c r="BM116" s="101"/>
      <c r="BN116" s="101"/>
      <c r="BO116" s="101"/>
      <c r="BP116" s="101"/>
      <c r="BQ116" s="101"/>
      <c r="BR116" s="101"/>
      <c r="BS116" s="101"/>
      <c r="BT116" s="104"/>
      <c r="BU116" s="104"/>
      <c r="BV116" s="104"/>
      <c r="BW116" s="104"/>
      <c r="BX116" s="104"/>
      <c r="BY116" s="104"/>
      <c r="BZ116" s="104"/>
      <c r="CA116" s="104"/>
      <c r="CB116" s="104"/>
      <c r="CC116" s="104"/>
      <c r="CD116" s="104"/>
      <c r="CE116" s="104"/>
      <c r="CF116" s="104"/>
      <c r="CG116" s="104"/>
      <c r="CH116" s="104"/>
      <c r="CI116" s="104"/>
      <c r="CJ116" s="104"/>
      <c r="CK116" s="104"/>
      <c r="CL116" s="104"/>
      <c r="CM116" s="104"/>
      <c r="CN116" s="104"/>
      <c r="CO116" s="104"/>
      <c r="CP116" s="98"/>
      <c r="CR116" s="101"/>
      <c r="CS116" s="101"/>
      <c r="CT116" s="101"/>
      <c r="CU116" s="101"/>
      <c r="CV116" s="101"/>
      <c r="FL116" s="103"/>
      <c r="FN116" s="103"/>
      <c r="FP116" s="103"/>
      <c r="FR116" s="103"/>
    </row>
    <row r="117" spans="2:174" x14ac:dyDescent="0.35">
      <c r="B117" s="97"/>
      <c r="G117" s="100"/>
      <c r="K117" s="98"/>
      <c r="L117" s="101"/>
      <c r="M117" s="101"/>
      <c r="N117" s="101"/>
      <c r="O117" s="101"/>
      <c r="P117" s="102"/>
      <c r="Q117" s="101"/>
      <c r="R117" s="98"/>
      <c r="S117" s="98"/>
      <c r="T117" s="98"/>
      <c r="U117" s="98"/>
      <c r="V117" s="98"/>
      <c r="W117" s="98"/>
      <c r="X117" s="98"/>
      <c r="Y117" s="98"/>
      <c r="Z117" s="103"/>
      <c r="AA117" s="103"/>
      <c r="AB117" s="103"/>
      <c r="AC117" s="103"/>
      <c r="AD117" s="103"/>
      <c r="AE117" s="103"/>
      <c r="AF117" s="103"/>
      <c r="AG117" s="101"/>
      <c r="AH117" s="101"/>
      <c r="AI117" s="101"/>
      <c r="AJ117" s="101"/>
      <c r="AK117" s="101"/>
      <c r="AL117" s="101"/>
      <c r="AM117" s="101"/>
      <c r="AN117" s="103"/>
      <c r="AO117" s="103"/>
      <c r="AP117" s="103"/>
      <c r="AQ117" s="103"/>
      <c r="AR117" s="103"/>
      <c r="AS117" s="103"/>
      <c r="AT117" s="103"/>
      <c r="AU117" s="101"/>
      <c r="AV117" s="101"/>
      <c r="AW117" s="101"/>
      <c r="AX117" s="101"/>
      <c r="AY117" s="101"/>
      <c r="AZ117" s="101"/>
      <c r="BA117" s="101"/>
      <c r="BB117" s="103"/>
      <c r="BC117" s="103"/>
      <c r="BD117" s="103"/>
      <c r="BE117" s="101"/>
      <c r="BF117" s="101"/>
      <c r="BG117" s="101"/>
      <c r="BH117" s="101"/>
      <c r="BI117" s="101"/>
      <c r="BM117" s="101"/>
      <c r="BN117" s="101"/>
      <c r="BO117" s="101"/>
      <c r="BP117" s="101"/>
      <c r="BQ117" s="101"/>
      <c r="BR117" s="101"/>
      <c r="BS117" s="101"/>
      <c r="BT117" s="104"/>
      <c r="BU117" s="104"/>
      <c r="BV117" s="104"/>
      <c r="BW117" s="104"/>
      <c r="BX117" s="104"/>
      <c r="BY117" s="104"/>
      <c r="BZ117" s="104"/>
      <c r="CA117" s="104"/>
      <c r="CB117" s="104"/>
      <c r="CC117" s="104"/>
      <c r="CD117" s="104"/>
      <c r="CE117" s="104"/>
      <c r="CF117" s="104"/>
      <c r="CG117" s="104"/>
      <c r="CH117" s="104"/>
      <c r="CI117" s="104"/>
      <c r="CJ117" s="104"/>
      <c r="CK117" s="104"/>
      <c r="CL117" s="104"/>
      <c r="CM117" s="104"/>
      <c r="CN117" s="104"/>
      <c r="CO117" s="104"/>
      <c r="CP117" s="98"/>
      <c r="CR117" s="101"/>
      <c r="CS117" s="101"/>
      <c r="CT117" s="101"/>
      <c r="CU117" s="101"/>
      <c r="CV117" s="101"/>
      <c r="FL117" s="103"/>
      <c r="FN117" s="103"/>
      <c r="FP117" s="103"/>
      <c r="FR117" s="103"/>
    </row>
    <row r="118" spans="2:174" x14ac:dyDescent="0.35">
      <c r="B118" s="97"/>
      <c r="G118" s="100"/>
      <c r="K118" s="98"/>
      <c r="L118" s="101"/>
      <c r="M118" s="101"/>
      <c r="N118" s="101"/>
      <c r="O118" s="101"/>
      <c r="P118" s="102"/>
      <c r="Q118" s="101"/>
      <c r="R118" s="98"/>
      <c r="S118" s="98"/>
      <c r="T118" s="98"/>
      <c r="U118" s="98"/>
      <c r="V118" s="98"/>
      <c r="W118" s="98"/>
      <c r="X118" s="98"/>
      <c r="Y118" s="98"/>
      <c r="Z118" s="103"/>
      <c r="AA118" s="103"/>
      <c r="AB118" s="103"/>
      <c r="AC118" s="103"/>
      <c r="AD118" s="103"/>
      <c r="AE118" s="103"/>
      <c r="AF118" s="103"/>
      <c r="AG118" s="101"/>
      <c r="AH118" s="101"/>
      <c r="AI118" s="101"/>
      <c r="AJ118" s="101"/>
      <c r="AK118" s="101"/>
      <c r="AL118" s="101"/>
      <c r="AM118" s="101"/>
      <c r="AN118" s="103"/>
      <c r="AO118" s="103"/>
      <c r="AP118" s="103"/>
      <c r="AQ118" s="103"/>
      <c r="AR118" s="103"/>
      <c r="AS118" s="103"/>
      <c r="AT118" s="103"/>
      <c r="AU118" s="101"/>
      <c r="AV118" s="101"/>
      <c r="AW118" s="101"/>
      <c r="AX118" s="101"/>
      <c r="AY118" s="101"/>
      <c r="AZ118" s="101"/>
      <c r="BA118" s="101"/>
      <c r="BB118" s="103"/>
      <c r="BC118" s="103"/>
      <c r="BD118" s="103"/>
      <c r="BE118" s="101"/>
      <c r="BF118" s="101"/>
      <c r="BG118" s="101"/>
      <c r="BH118" s="101"/>
      <c r="BI118" s="101"/>
      <c r="BM118" s="101"/>
      <c r="BN118" s="101"/>
      <c r="BO118" s="101"/>
      <c r="BP118" s="101"/>
      <c r="BQ118" s="101"/>
      <c r="BR118" s="101"/>
      <c r="BS118" s="101"/>
      <c r="BT118" s="104"/>
      <c r="BU118" s="104"/>
      <c r="BV118" s="104"/>
      <c r="BW118" s="104"/>
      <c r="BX118" s="104"/>
      <c r="BY118" s="104"/>
      <c r="BZ118" s="104"/>
      <c r="CA118" s="104"/>
      <c r="CB118" s="104"/>
      <c r="CC118" s="104"/>
      <c r="CD118" s="104"/>
      <c r="CE118" s="104"/>
      <c r="CF118" s="104"/>
      <c r="CG118" s="104"/>
      <c r="CH118" s="104"/>
      <c r="CI118" s="104"/>
      <c r="CJ118" s="104"/>
      <c r="CK118" s="104"/>
      <c r="CL118" s="104"/>
      <c r="CM118" s="104"/>
      <c r="CN118" s="104"/>
      <c r="CO118" s="104"/>
      <c r="CP118" s="98"/>
      <c r="CR118" s="101"/>
      <c r="CS118" s="101"/>
      <c r="CT118" s="101"/>
      <c r="CU118" s="101"/>
      <c r="CV118" s="101"/>
      <c r="FL118" s="103"/>
      <c r="FN118" s="103"/>
      <c r="FP118" s="103"/>
      <c r="FR118" s="103"/>
    </row>
    <row r="119" spans="2:174" x14ac:dyDescent="0.35">
      <c r="B119" s="97"/>
      <c r="G119" s="100"/>
      <c r="K119" s="98"/>
      <c r="L119" s="101"/>
      <c r="M119" s="101"/>
      <c r="N119" s="101"/>
      <c r="O119" s="101"/>
      <c r="P119" s="102"/>
      <c r="Q119" s="101"/>
      <c r="R119" s="98"/>
      <c r="S119" s="98"/>
      <c r="T119" s="98"/>
      <c r="U119" s="98"/>
      <c r="V119" s="98"/>
      <c r="W119" s="98"/>
      <c r="X119" s="98"/>
      <c r="Y119" s="98"/>
      <c r="Z119" s="103"/>
      <c r="AA119" s="103"/>
      <c r="AB119" s="103"/>
      <c r="AC119" s="103"/>
      <c r="AD119" s="103"/>
      <c r="AE119" s="103"/>
      <c r="AF119" s="103"/>
      <c r="AG119" s="101"/>
      <c r="AH119" s="101"/>
      <c r="AI119" s="101"/>
      <c r="AJ119" s="101"/>
      <c r="AK119" s="101"/>
      <c r="AL119" s="101"/>
      <c r="AM119" s="101"/>
      <c r="AN119" s="103"/>
      <c r="AO119" s="103"/>
      <c r="AP119" s="103"/>
      <c r="AQ119" s="103"/>
      <c r="AR119" s="103"/>
      <c r="AS119" s="103"/>
      <c r="AT119" s="103"/>
      <c r="AU119" s="101"/>
      <c r="AV119" s="101"/>
      <c r="AW119" s="101"/>
      <c r="AX119" s="101"/>
      <c r="AY119" s="101"/>
      <c r="AZ119" s="101"/>
      <c r="BA119" s="101"/>
      <c r="BB119" s="103"/>
      <c r="BC119" s="103"/>
      <c r="BD119" s="103"/>
      <c r="BE119" s="101"/>
      <c r="BF119" s="101"/>
      <c r="BG119" s="101"/>
      <c r="BH119" s="101"/>
      <c r="BI119" s="101"/>
      <c r="BM119" s="101"/>
      <c r="BN119" s="101"/>
      <c r="BO119" s="101"/>
      <c r="BP119" s="101"/>
      <c r="BQ119" s="101"/>
      <c r="BR119" s="101"/>
      <c r="BS119" s="101"/>
      <c r="BT119" s="104"/>
      <c r="BU119" s="104"/>
      <c r="BV119" s="104"/>
      <c r="BW119" s="104"/>
      <c r="BX119" s="104"/>
      <c r="BY119" s="104"/>
      <c r="BZ119" s="104"/>
      <c r="CA119" s="104"/>
      <c r="CB119" s="104"/>
      <c r="CC119" s="104"/>
      <c r="CD119" s="104"/>
      <c r="CE119" s="104"/>
      <c r="CF119" s="104"/>
      <c r="CG119" s="104"/>
      <c r="CH119" s="104"/>
      <c r="CI119" s="104"/>
      <c r="CJ119" s="104"/>
      <c r="CK119" s="104"/>
      <c r="CL119" s="104"/>
      <c r="CM119" s="104"/>
      <c r="CN119" s="104"/>
      <c r="CO119" s="104"/>
      <c r="CP119" s="98"/>
      <c r="CR119" s="101"/>
      <c r="CS119" s="101"/>
      <c r="CT119" s="101"/>
      <c r="CU119" s="101"/>
      <c r="CV119" s="101"/>
      <c r="FL119" s="103"/>
      <c r="FN119" s="103"/>
      <c r="FP119" s="103"/>
      <c r="FR119" s="103"/>
    </row>
    <row r="120" spans="2:174" x14ac:dyDescent="0.35">
      <c r="B120" s="97"/>
      <c r="G120" s="100"/>
      <c r="K120" s="98"/>
      <c r="L120" s="101"/>
      <c r="M120" s="101"/>
      <c r="N120" s="101"/>
      <c r="O120" s="101"/>
      <c r="P120" s="102"/>
      <c r="Q120" s="101"/>
      <c r="R120" s="98"/>
      <c r="S120" s="98"/>
      <c r="T120" s="98"/>
      <c r="U120" s="98"/>
      <c r="V120" s="98"/>
      <c r="W120" s="98"/>
      <c r="X120" s="98"/>
      <c r="Y120" s="98"/>
      <c r="Z120" s="103"/>
      <c r="AA120" s="103"/>
      <c r="AB120" s="103"/>
      <c r="AC120" s="103"/>
      <c r="AD120" s="103"/>
      <c r="AE120" s="103"/>
      <c r="AF120" s="103"/>
      <c r="AG120" s="101"/>
      <c r="AH120" s="101"/>
      <c r="AI120" s="101"/>
      <c r="AJ120" s="101"/>
      <c r="AK120" s="101"/>
      <c r="AL120" s="101"/>
      <c r="AM120" s="101"/>
      <c r="AN120" s="103"/>
      <c r="AO120" s="103"/>
      <c r="AP120" s="103"/>
      <c r="AQ120" s="103"/>
      <c r="AR120" s="103"/>
      <c r="AS120" s="103"/>
      <c r="AT120" s="103"/>
      <c r="AU120" s="101"/>
      <c r="AV120" s="101"/>
      <c r="AW120" s="101"/>
      <c r="AX120" s="101"/>
      <c r="AY120" s="101"/>
      <c r="AZ120" s="101"/>
      <c r="BA120" s="101"/>
      <c r="BB120" s="103"/>
      <c r="BC120" s="103"/>
      <c r="BD120" s="103"/>
      <c r="BE120" s="101"/>
      <c r="BF120" s="101"/>
      <c r="BG120" s="101"/>
      <c r="BH120" s="101"/>
      <c r="BI120" s="101"/>
      <c r="BM120" s="101"/>
      <c r="BN120" s="101"/>
      <c r="BO120" s="101"/>
      <c r="BP120" s="101"/>
      <c r="BQ120" s="101"/>
      <c r="BR120" s="101"/>
      <c r="BS120" s="101"/>
      <c r="BT120" s="104"/>
      <c r="BU120" s="104"/>
      <c r="BV120" s="104"/>
      <c r="BW120" s="104"/>
      <c r="BX120" s="104"/>
      <c r="BY120" s="104"/>
      <c r="BZ120" s="104"/>
      <c r="CA120" s="104"/>
      <c r="CB120" s="104"/>
      <c r="CC120" s="104"/>
      <c r="CD120" s="104"/>
      <c r="CE120" s="104"/>
      <c r="CF120" s="104"/>
      <c r="CG120" s="104"/>
      <c r="CH120" s="104"/>
      <c r="CI120" s="104"/>
      <c r="CJ120" s="104"/>
      <c r="CK120" s="104"/>
      <c r="CL120" s="104"/>
      <c r="CM120" s="104"/>
      <c r="CN120" s="104"/>
      <c r="CO120" s="104"/>
      <c r="CP120" s="98"/>
      <c r="CR120" s="101"/>
      <c r="CS120" s="101"/>
      <c r="CT120" s="101"/>
      <c r="CU120" s="101"/>
      <c r="CV120" s="101"/>
      <c r="FL120" s="103"/>
      <c r="FN120" s="103"/>
      <c r="FP120" s="103"/>
      <c r="FR120" s="103"/>
    </row>
    <row r="121" spans="2:174" x14ac:dyDescent="0.35">
      <c r="B121" s="97"/>
      <c r="G121" s="100"/>
      <c r="K121" s="98"/>
      <c r="L121" s="101"/>
      <c r="M121" s="101"/>
      <c r="N121" s="101"/>
      <c r="O121" s="101"/>
      <c r="P121" s="102"/>
      <c r="Q121" s="101"/>
      <c r="R121" s="98"/>
      <c r="S121" s="98"/>
      <c r="T121" s="98"/>
      <c r="U121" s="98"/>
      <c r="V121" s="98"/>
      <c r="W121" s="98"/>
      <c r="X121" s="98"/>
      <c r="Y121" s="98"/>
      <c r="Z121" s="103"/>
      <c r="AA121" s="103"/>
      <c r="AB121" s="103"/>
      <c r="AC121" s="103"/>
      <c r="AD121" s="103"/>
      <c r="AE121" s="103"/>
      <c r="AF121" s="103"/>
      <c r="AG121" s="101"/>
      <c r="AH121" s="101"/>
      <c r="AI121" s="101"/>
      <c r="AJ121" s="101"/>
      <c r="AK121" s="101"/>
      <c r="AL121" s="101"/>
      <c r="AM121" s="101"/>
      <c r="AN121" s="103"/>
      <c r="AO121" s="103"/>
      <c r="AP121" s="103"/>
      <c r="AQ121" s="103"/>
      <c r="AR121" s="103"/>
      <c r="AS121" s="103"/>
      <c r="AT121" s="103"/>
      <c r="AU121" s="101"/>
      <c r="AV121" s="101"/>
      <c r="AW121" s="101"/>
      <c r="AX121" s="101"/>
      <c r="AY121" s="101"/>
      <c r="AZ121" s="101"/>
      <c r="BA121" s="101"/>
      <c r="BB121" s="103"/>
      <c r="BC121" s="103"/>
      <c r="BD121" s="103"/>
      <c r="BE121" s="101"/>
      <c r="BF121" s="101"/>
      <c r="BG121" s="101"/>
      <c r="BH121" s="101"/>
      <c r="BI121" s="101"/>
      <c r="BM121" s="101"/>
      <c r="BN121" s="101"/>
      <c r="BO121" s="101"/>
      <c r="BP121" s="101"/>
      <c r="BQ121" s="101"/>
      <c r="BR121" s="101"/>
      <c r="BS121" s="101"/>
      <c r="BT121" s="104"/>
      <c r="BU121" s="104"/>
      <c r="BV121" s="104"/>
      <c r="BW121" s="104"/>
      <c r="BX121" s="104"/>
      <c r="BY121" s="104"/>
      <c r="BZ121" s="104"/>
      <c r="CA121" s="104"/>
      <c r="CB121" s="104"/>
      <c r="CC121" s="104"/>
      <c r="CD121" s="104"/>
      <c r="CE121" s="104"/>
      <c r="CF121" s="104"/>
      <c r="CG121" s="104"/>
      <c r="CH121" s="104"/>
      <c r="CI121" s="104"/>
      <c r="CJ121" s="104"/>
      <c r="CK121" s="104"/>
      <c r="CL121" s="104"/>
      <c r="CM121" s="104"/>
      <c r="CN121" s="104"/>
      <c r="CO121" s="104"/>
      <c r="CP121" s="98"/>
      <c r="CR121" s="101"/>
      <c r="CS121" s="101"/>
      <c r="CT121" s="101"/>
      <c r="CU121" s="101"/>
      <c r="CV121" s="101"/>
      <c r="FL121" s="103"/>
      <c r="FN121" s="103"/>
      <c r="FP121" s="103"/>
      <c r="FR121" s="103"/>
    </row>
    <row r="122" spans="2:174" x14ac:dyDescent="0.35">
      <c r="B122" s="97"/>
      <c r="G122" s="100"/>
      <c r="K122" s="98"/>
      <c r="L122" s="101"/>
      <c r="M122" s="101"/>
      <c r="N122" s="101"/>
      <c r="O122" s="101"/>
      <c r="P122" s="102"/>
      <c r="Q122" s="101"/>
      <c r="R122" s="98"/>
      <c r="S122" s="98"/>
      <c r="T122" s="98"/>
      <c r="U122" s="98"/>
      <c r="V122" s="98"/>
      <c r="W122" s="98"/>
      <c r="X122" s="98"/>
      <c r="Y122" s="98"/>
      <c r="Z122" s="103"/>
      <c r="AA122" s="103"/>
      <c r="AB122" s="103"/>
      <c r="AC122" s="103"/>
      <c r="AD122" s="103"/>
      <c r="AE122" s="103"/>
      <c r="AF122" s="103"/>
      <c r="AG122" s="101"/>
      <c r="AH122" s="101"/>
      <c r="AI122" s="101"/>
      <c r="AJ122" s="101"/>
      <c r="AK122" s="101"/>
      <c r="AL122" s="101"/>
      <c r="AM122" s="101"/>
      <c r="AN122" s="103"/>
      <c r="AO122" s="103"/>
      <c r="AP122" s="103"/>
      <c r="AQ122" s="103"/>
      <c r="AR122" s="103"/>
      <c r="AS122" s="103"/>
      <c r="AT122" s="103"/>
      <c r="AU122" s="101"/>
      <c r="AV122" s="101"/>
      <c r="AW122" s="101"/>
      <c r="AX122" s="101"/>
      <c r="AY122" s="101"/>
      <c r="AZ122" s="101"/>
      <c r="BA122" s="101"/>
      <c r="BB122" s="103"/>
      <c r="BC122" s="103"/>
      <c r="BD122" s="103"/>
      <c r="BE122" s="101"/>
      <c r="BF122" s="101"/>
      <c r="BG122" s="101"/>
      <c r="BH122" s="101"/>
      <c r="BI122" s="101"/>
      <c r="BM122" s="101"/>
      <c r="BN122" s="101"/>
      <c r="BO122" s="101"/>
      <c r="BP122" s="101"/>
      <c r="BQ122" s="101"/>
      <c r="BR122" s="101"/>
      <c r="BS122" s="101"/>
      <c r="BT122" s="104"/>
      <c r="BU122" s="104"/>
      <c r="BV122" s="104"/>
      <c r="BW122" s="104"/>
      <c r="BX122" s="104"/>
      <c r="BY122" s="104"/>
      <c r="BZ122" s="104"/>
      <c r="CA122" s="104"/>
      <c r="CB122" s="104"/>
      <c r="CC122" s="104"/>
      <c r="CD122" s="104"/>
      <c r="CE122" s="104"/>
      <c r="CF122" s="104"/>
      <c r="CG122" s="104"/>
      <c r="CH122" s="104"/>
      <c r="CI122" s="104"/>
      <c r="CJ122" s="104"/>
      <c r="CK122" s="104"/>
      <c r="CL122" s="104"/>
      <c r="CM122" s="104"/>
      <c r="CN122" s="104"/>
      <c r="CO122" s="104"/>
      <c r="CP122" s="98"/>
      <c r="CR122" s="101"/>
      <c r="CS122" s="101"/>
      <c r="CT122" s="101"/>
      <c r="CU122" s="101"/>
      <c r="CV122" s="101"/>
      <c r="FL122" s="103"/>
      <c r="FN122" s="103"/>
      <c r="FP122" s="103"/>
      <c r="FR122" s="103"/>
    </row>
    <row r="123" spans="2:174" x14ac:dyDescent="0.35">
      <c r="B123" s="97"/>
      <c r="G123" s="100"/>
      <c r="K123" s="98"/>
      <c r="L123" s="101"/>
      <c r="M123" s="101"/>
      <c r="N123" s="101"/>
      <c r="O123" s="101"/>
      <c r="P123" s="102"/>
      <c r="Q123" s="101"/>
      <c r="R123" s="98"/>
      <c r="S123" s="98"/>
      <c r="T123" s="98"/>
      <c r="U123" s="98"/>
      <c r="V123" s="98"/>
      <c r="W123" s="98"/>
      <c r="X123" s="98"/>
      <c r="Y123" s="98"/>
      <c r="Z123" s="103"/>
      <c r="AA123" s="103"/>
      <c r="AB123" s="103"/>
      <c r="AC123" s="103"/>
      <c r="AD123" s="103"/>
      <c r="AE123" s="103"/>
      <c r="AF123" s="103"/>
      <c r="AG123" s="101"/>
      <c r="AH123" s="101"/>
      <c r="AI123" s="101"/>
      <c r="AJ123" s="101"/>
      <c r="AK123" s="101"/>
      <c r="AL123" s="101"/>
      <c r="AM123" s="101"/>
      <c r="AN123" s="103"/>
      <c r="AO123" s="103"/>
      <c r="AP123" s="103"/>
      <c r="AQ123" s="103"/>
      <c r="AR123" s="103"/>
      <c r="AS123" s="103"/>
      <c r="AT123" s="103"/>
      <c r="AU123" s="101"/>
      <c r="AV123" s="101"/>
      <c r="AW123" s="101"/>
      <c r="AX123" s="101"/>
      <c r="AY123" s="101"/>
      <c r="AZ123" s="101"/>
      <c r="BA123" s="101"/>
      <c r="BB123" s="103"/>
      <c r="BC123" s="103"/>
      <c r="BD123" s="103"/>
      <c r="BE123" s="101"/>
      <c r="BF123" s="101"/>
      <c r="BG123" s="101"/>
      <c r="BH123" s="101"/>
      <c r="BI123" s="101"/>
      <c r="BM123" s="101"/>
      <c r="BN123" s="101"/>
      <c r="BO123" s="101"/>
      <c r="BP123" s="101"/>
      <c r="BQ123" s="101"/>
      <c r="BR123" s="101"/>
      <c r="BS123" s="101"/>
      <c r="BT123" s="104"/>
      <c r="BU123" s="104"/>
      <c r="BV123" s="104"/>
      <c r="BW123" s="104"/>
      <c r="BX123" s="104"/>
      <c r="BY123" s="104"/>
      <c r="BZ123" s="104"/>
      <c r="CA123" s="104"/>
      <c r="CB123" s="104"/>
      <c r="CC123" s="104"/>
      <c r="CD123" s="104"/>
      <c r="CE123" s="104"/>
      <c r="CF123" s="104"/>
      <c r="CG123" s="104"/>
      <c r="CH123" s="104"/>
      <c r="CI123" s="104"/>
      <c r="CJ123" s="104"/>
      <c r="CK123" s="104"/>
      <c r="CL123" s="104"/>
      <c r="CM123" s="104"/>
      <c r="CN123" s="104"/>
      <c r="CO123" s="104"/>
      <c r="CP123" s="98"/>
      <c r="CR123" s="101"/>
      <c r="CS123" s="101"/>
      <c r="CT123" s="101"/>
      <c r="CU123" s="101"/>
      <c r="CV123" s="101"/>
      <c r="FL123" s="103"/>
      <c r="FN123" s="103"/>
      <c r="FP123" s="103"/>
      <c r="FR123" s="103"/>
    </row>
    <row r="124" spans="2:174" x14ac:dyDescent="0.35">
      <c r="B124" s="97"/>
      <c r="G124" s="100"/>
      <c r="K124" s="98"/>
      <c r="L124" s="101"/>
      <c r="M124" s="101"/>
      <c r="N124" s="101"/>
      <c r="O124" s="101"/>
      <c r="P124" s="102"/>
      <c r="Q124" s="101"/>
      <c r="R124" s="98"/>
      <c r="S124" s="98"/>
      <c r="T124" s="98"/>
      <c r="U124" s="98"/>
      <c r="V124" s="98"/>
      <c r="W124" s="98"/>
      <c r="X124" s="98"/>
      <c r="Y124" s="98"/>
      <c r="Z124" s="103"/>
      <c r="AA124" s="103"/>
      <c r="AB124" s="103"/>
      <c r="AC124" s="103"/>
      <c r="AD124" s="103"/>
      <c r="AE124" s="103"/>
      <c r="AF124" s="103"/>
      <c r="AG124" s="101"/>
      <c r="AH124" s="101"/>
      <c r="AI124" s="101"/>
      <c r="AJ124" s="101"/>
      <c r="AK124" s="101"/>
      <c r="AL124" s="101"/>
      <c r="AM124" s="101"/>
      <c r="AN124" s="103"/>
      <c r="AO124" s="103"/>
      <c r="AP124" s="103"/>
      <c r="AQ124" s="103"/>
      <c r="AR124" s="103"/>
      <c r="AS124" s="103"/>
      <c r="AT124" s="103"/>
      <c r="AU124" s="101"/>
      <c r="AV124" s="101"/>
      <c r="AW124" s="101"/>
      <c r="AX124" s="101"/>
      <c r="AY124" s="101"/>
      <c r="AZ124" s="101"/>
      <c r="BA124" s="101"/>
      <c r="BB124" s="103"/>
      <c r="BC124" s="103"/>
      <c r="BD124" s="103"/>
      <c r="BE124" s="101"/>
      <c r="BF124" s="101"/>
      <c r="BG124" s="101"/>
      <c r="BH124" s="101"/>
      <c r="BI124" s="101"/>
      <c r="BM124" s="101"/>
      <c r="BN124" s="101"/>
      <c r="BO124" s="101"/>
      <c r="BP124" s="101"/>
      <c r="BQ124" s="101"/>
      <c r="BR124" s="101"/>
      <c r="BS124" s="101"/>
      <c r="BT124" s="104"/>
      <c r="BU124" s="104"/>
      <c r="BV124" s="104"/>
      <c r="BW124" s="104"/>
      <c r="BX124" s="104"/>
      <c r="BY124" s="104"/>
      <c r="BZ124" s="104"/>
      <c r="CA124" s="104"/>
      <c r="CB124" s="104"/>
      <c r="CC124" s="104"/>
      <c r="CD124" s="104"/>
      <c r="CE124" s="104"/>
      <c r="CF124" s="104"/>
      <c r="CG124" s="104"/>
      <c r="CH124" s="104"/>
      <c r="CI124" s="104"/>
      <c r="CJ124" s="104"/>
      <c r="CK124" s="104"/>
      <c r="CL124" s="104"/>
      <c r="CM124" s="104"/>
      <c r="CN124" s="104"/>
      <c r="CO124" s="104"/>
      <c r="CP124" s="98"/>
      <c r="CR124" s="101"/>
      <c r="CS124" s="101"/>
      <c r="CT124" s="101"/>
      <c r="CU124" s="101"/>
      <c r="CV124" s="101"/>
      <c r="FL124" s="103"/>
      <c r="FN124" s="103"/>
      <c r="FP124" s="103"/>
      <c r="FR124" s="103"/>
    </row>
    <row r="125" spans="2:174" x14ac:dyDescent="0.35">
      <c r="B125" s="97"/>
      <c r="G125" s="100"/>
      <c r="K125" s="98"/>
      <c r="L125" s="101"/>
      <c r="M125" s="101"/>
      <c r="N125" s="101"/>
      <c r="O125" s="101"/>
      <c r="P125" s="102"/>
      <c r="Q125" s="101"/>
      <c r="R125" s="98"/>
      <c r="S125" s="98"/>
      <c r="T125" s="98"/>
      <c r="U125" s="98"/>
      <c r="V125" s="98"/>
      <c r="W125" s="98"/>
      <c r="X125" s="98"/>
      <c r="Y125" s="98"/>
      <c r="Z125" s="103"/>
      <c r="AA125" s="103"/>
      <c r="AB125" s="103"/>
      <c r="AC125" s="103"/>
      <c r="AD125" s="103"/>
      <c r="AE125" s="103"/>
      <c r="AF125" s="103"/>
      <c r="AG125" s="101"/>
      <c r="AH125" s="101"/>
      <c r="AI125" s="101"/>
      <c r="AJ125" s="101"/>
      <c r="AK125" s="101"/>
      <c r="AL125" s="101"/>
      <c r="AM125" s="101"/>
      <c r="AN125" s="103"/>
      <c r="AO125" s="103"/>
      <c r="AP125" s="103"/>
      <c r="AQ125" s="103"/>
      <c r="AR125" s="103"/>
      <c r="AS125" s="103"/>
      <c r="AT125" s="103"/>
      <c r="AU125" s="101"/>
      <c r="AV125" s="101"/>
      <c r="AW125" s="101"/>
      <c r="AX125" s="101"/>
      <c r="AY125" s="101"/>
      <c r="AZ125" s="101"/>
      <c r="BA125" s="101"/>
      <c r="BB125" s="103"/>
      <c r="BC125" s="103"/>
      <c r="BD125" s="103"/>
      <c r="BE125" s="101"/>
      <c r="BF125" s="101"/>
      <c r="BG125" s="101"/>
      <c r="BH125" s="101"/>
      <c r="BI125" s="101"/>
      <c r="BM125" s="101"/>
      <c r="BN125" s="101"/>
      <c r="BO125" s="101"/>
      <c r="BP125" s="101"/>
      <c r="BQ125" s="101"/>
      <c r="BR125" s="101"/>
      <c r="BS125" s="101"/>
      <c r="BT125" s="104"/>
      <c r="BU125" s="104"/>
      <c r="BV125" s="104"/>
      <c r="BW125" s="104"/>
      <c r="BX125" s="104"/>
      <c r="BY125" s="104"/>
      <c r="BZ125" s="104"/>
      <c r="CA125" s="104"/>
      <c r="CB125" s="104"/>
      <c r="CC125" s="104"/>
      <c r="CD125" s="104"/>
      <c r="CE125" s="104"/>
      <c r="CF125" s="104"/>
      <c r="CG125" s="104"/>
      <c r="CH125" s="104"/>
      <c r="CI125" s="104"/>
      <c r="CJ125" s="104"/>
      <c r="CK125" s="104"/>
      <c r="CL125" s="104"/>
      <c r="CM125" s="104"/>
      <c r="CN125" s="104"/>
      <c r="CO125" s="104"/>
      <c r="CP125" s="98"/>
      <c r="CR125" s="101"/>
      <c r="CS125" s="101"/>
      <c r="CT125" s="101"/>
      <c r="CU125" s="101"/>
      <c r="CV125" s="101"/>
      <c r="FL125" s="103"/>
      <c r="FN125" s="103"/>
      <c r="FP125" s="103"/>
      <c r="FR125" s="103"/>
    </row>
    <row r="126" spans="2:174" x14ac:dyDescent="0.35">
      <c r="B126" s="97"/>
      <c r="G126" s="100"/>
      <c r="K126" s="98"/>
      <c r="L126" s="101"/>
      <c r="M126" s="101"/>
      <c r="N126" s="101"/>
      <c r="O126" s="101"/>
      <c r="P126" s="102"/>
      <c r="Q126" s="101"/>
      <c r="R126" s="98"/>
      <c r="S126" s="98"/>
      <c r="T126" s="98"/>
      <c r="U126" s="98"/>
      <c r="V126" s="98"/>
      <c r="W126" s="98"/>
      <c r="X126" s="98"/>
      <c r="Y126" s="98"/>
      <c r="Z126" s="103"/>
      <c r="AA126" s="103"/>
      <c r="AB126" s="103"/>
      <c r="AC126" s="103"/>
      <c r="AD126" s="103"/>
      <c r="AE126" s="103"/>
      <c r="AF126" s="103"/>
      <c r="AG126" s="101"/>
      <c r="AH126" s="101"/>
      <c r="AI126" s="101"/>
      <c r="AJ126" s="101"/>
      <c r="AK126" s="101"/>
      <c r="AL126" s="101"/>
      <c r="AM126" s="101"/>
      <c r="AN126" s="103"/>
      <c r="AO126" s="103"/>
      <c r="AP126" s="103"/>
      <c r="AQ126" s="103"/>
      <c r="AR126" s="103"/>
      <c r="AS126" s="103"/>
      <c r="AT126" s="103"/>
      <c r="AU126" s="101"/>
      <c r="AV126" s="101"/>
      <c r="AW126" s="101"/>
      <c r="AX126" s="101"/>
      <c r="AY126" s="101"/>
      <c r="AZ126" s="101"/>
      <c r="BA126" s="101"/>
      <c r="BB126" s="103"/>
      <c r="BC126" s="103"/>
      <c r="BD126" s="103"/>
      <c r="BE126" s="101"/>
      <c r="BF126" s="101"/>
      <c r="BG126" s="101"/>
      <c r="BH126" s="101"/>
      <c r="BI126" s="101"/>
      <c r="BM126" s="101"/>
      <c r="BN126" s="101"/>
      <c r="BO126" s="101"/>
      <c r="BP126" s="101"/>
      <c r="BQ126" s="101"/>
      <c r="BR126" s="101"/>
      <c r="BS126" s="101"/>
      <c r="BT126" s="104"/>
      <c r="BU126" s="104"/>
      <c r="BV126" s="104"/>
      <c r="BW126" s="104"/>
      <c r="BX126" s="104"/>
      <c r="BY126" s="104"/>
      <c r="BZ126" s="104"/>
      <c r="CA126" s="104"/>
      <c r="CB126" s="104"/>
      <c r="CC126" s="104"/>
      <c r="CD126" s="104"/>
      <c r="CE126" s="104"/>
      <c r="CF126" s="104"/>
      <c r="CG126" s="104"/>
      <c r="CH126" s="104"/>
      <c r="CI126" s="104"/>
      <c r="CJ126" s="104"/>
      <c r="CK126" s="104"/>
      <c r="CL126" s="104"/>
      <c r="CM126" s="104"/>
      <c r="CN126" s="104"/>
      <c r="CO126" s="104"/>
      <c r="CP126" s="98"/>
      <c r="CR126" s="101"/>
      <c r="CS126" s="101"/>
      <c r="CT126" s="101"/>
      <c r="CU126" s="101"/>
      <c r="CV126" s="101"/>
      <c r="FL126" s="103"/>
      <c r="FN126" s="103"/>
      <c r="FP126" s="103"/>
      <c r="FR126" s="103"/>
    </row>
    <row r="127" spans="2:174" x14ac:dyDescent="0.35">
      <c r="B127" s="97"/>
      <c r="G127" s="100"/>
      <c r="K127" s="98"/>
      <c r="L127" s="101"/>
      <c r="M127" s="101"/>
      <c r="N127" s="101"/>
      <c r="O127" s="101"/>
      <c r="P127" s="102"/>
      <c r="Q127" s="101"/>
      <c r="R127" s="98"/>
      <c r="S127" s="98"/>
      <c r="T127" s="98"/>
      <c r="U127" s="98"/>
      <c r="V127" s="98"/>
      <c r="W127" s="98"/>
      <c r="X127" s="98"/>
      <c r="Y127" s="98"/>
      <c r="Z127" s="103"/>
      <c r="AA127" s="103"/>
      <c r="AB127" s="103"/>
      <c r="AC127" s="103"/>
      <c r="AD127" s="103"/>
      <c r="AE127" s="103"/>
      <c r="AF127" s="103"/>
      <c r="AG127" s="101"/>
      <c r="AH127" s="101"/>
      <c r="AI127" s="101"/>
      <c r="AJ127" s="101"/>
      <c r="AK127" s="101"/>
      <c r="AL127" s="101"/>
      <c r="AM127" s="101"/>
      <c r="AN127" s="103"/>
      <c r="AO127" s="103"/>
      <c r="AP127" s="103"/>
      <c r="AQ127" s="103"/>
      <c r="AR127" s="103"/>
      <c r="AS127" s="103"/>
      <c r="AT127" s="103"/>
      <c r="AU127" s="101"/>
      <c r="AV127" s="101"/>
      <c r="AW127" s="101"/>
      <c r="AX127" s="101"/>
      <c r="AY127" s="101"/>
      <c r="AZ127" s="101"/>
      <c r="BA127" s="101"/>
      <c r="BB127" s="103"/>
      <c r="BC127" s="103"/>
      <c r="BD127" s="103"/>
      <c r="BE127" s="101"/>
      <c r="BF127" s="101"/>
      <c r="BG127" s="101"/>
      <c r="BH127" s="101"/>
      <c r="BI127" s="101"/>
      <c r="BM127" s="101"/>
      <c r="BN127" s="101"/>
      <c r="BO127" s="101"/>
      <c r="BP127" s="101"/>
      <c r="BQ127" s="101"/>
      <c r="BR127" s="101"/>
      <c r="BS127" s="101"/>
      <c r="BT127" s="104"/>
      <c r="BU127" s="104"/>
      <c r="BV127" s="104"/>
      <c r="BW127" s="104"/>
      <c r="BX127" s="104"/>
      <c r="BY127" s="104"/>
      <c r="BZ127" s="104"/>
      <c r="CA127" s="104"/>
      <c r="CB127" s="104"/>
      <c r="CC127" s="104"/>
      <c r="CD127" s="104"/>
      <c r="CE127" s="104"/>
      <c r="CF127" s="104"/>
      <c r="CG127" s="104"/>
      <c r="CH127" s="104"/>
      <c r="CI127" s="104"/>
      <c r="CJ127" s="104"/>
      <c r="CK127" s="104"/>
      <c r="CL127" s="104"/>
      <c r="CM127" s="104"/>
      <c r="CN127" s="104"/>
      <c r="CO127" s="104"/>
      <c r="CP127" s="98"/>
      <c r="CR127" s="101"/>
      <c r="CS127" s="101"/>
      <c r="CT127" s="101"/>
      <c r="CU127" s="101"/>
      <c r="CV127" s="101"/>
      <c r="FL127" s="103"/>
      <c r="FN127" s="103"/>
      <c r="FP127" s="103"/>
      <c r="FR127" s="103"/>
    </row>
    <row r="128" spans="2:174" x14ac:dyDescent="0.35">
      <c r="B128" s="97"/>
      <c r="G128" s="100"/>
      <c r="K128" s="98"/>
      <c r="L128" s="101"/>
      <c r="M128" s="101"/>
      <c r="N128" s="101"/>
      <c r="O128" s="101"/>
      <c r="P128" s="102"/>
      <c r="Q128" s="101"/>
      <c r="R128" s="98"/>
      <c r="S128" s="98"/>
      <c r="T128" s="98"/>
      <c r="U128" s="98"/>
      <c r="V128" s="98"/>
      <c r="W128" s="98"/>
      <c r="X128" s="98"/>
      <c r="Y128" s="98"/>
      <c r="Z128" s="103"/>
      <c r="AA128" s="103"/>
      <c r="AB128" s="103"/>
      <c r="AC128" s="103"/>
      <c r="AD128" s="103"/>
      <c r="AE128" s="103"/>
      <c r="AF128" s="103"/>
      <c r="AG128" s="101"/>
      <c r="AH128" s="101"/>
      <c r="AI128" s="101"/>
      <c r="AJ128" s="101"/>
      <c r="AK128" s="101"/>
      <c r="AL128" s="101"/>
      <c r="AM128" s="101"/>
      <c r="AN128" s="103"/>
      <c r="AO128" s="103"/>
      <c r="AP128" s="103"/>
      <c r="AQ128" s="103"/>
      <c r="AR128" s="103"/>
      <c r="AS128" s="103"/>
      <c r="AT128" s="103"/>
      <c r="AU128" s="101"/>
      <c r="AV128" s="101"/>
      <c r="AW128" s="101"/>
      <c r="AX128" s="101"/>
      <c r="AY128" s="101"/>
      <c r="AZ128" s="101"/>
      <c r="BA128" s="101"/>
      <c r="BB128" s="103"/>
      <c r="BC128" s="103"/>
      <c r="BD128" s="103"/>
      <c r="BE128" s="101"/>
      <c r="BF128" s="101"/>
      <c r="BG128" s="101"/>
      <c r="BH128" s="101"/>
      <c r="BI128" s="101"/>
      <c r="BM128" s="101"/>
      <c r="BN128" s="101"/>
      <c r="BO128" s="101"/>
      <c r="BP128" s="101"/>
      <c r="BQ128" s="101"/>
      <c r="BR128" s="101"/>
      <c r="BS128" s="101"/>
      <c r="BT128" s="104"/>
      <c r="BU128" s="104"/>
      <c r="BV128" s="104"/>
      <c r="BW128" s="104"/>
      <c r="BX128" s="104"/>
      <c r="BY128" s="104"/>
      <c r="BZ128" s="104"/>
      <c r="CA128" s="104"/>
      <c r="CB128" s="104"/>
      <c r="CC128" s="104"/>
      <c r="CD128" s="104"/>
      <c r="CE128" s="104"/>
      <c r="CF128" s="104"/>
      <c r="CG128" s="104"/>
      <c r="CH128" s="104"/>
      <c r="CI128" s="104"/>
      <c r="CJ128" s="104"/>
      <c r="CK128" s="104"/>
      <c r="CL128" s="104"/>
      <c r="CM128" s="104"/>
      <c r="CN128" s="104"/>
      <c r="CO128" s="104"/>
      <c r="CP128" s="98"/>
      <c r="CR128" s="101"/>
      <c r="CS128" s="101"/>
      <c r="CT128" s="101"/>
      <c r="CU128" s="101"/>
      <c r="CV128" s="101"/>
      <c r="FL128" s="103"/>
      <c r="FN128" s="103"/>
      <c r="FP128" s="103"/>
      <c r="FR128" s="103"/>
    </row>
    <row r="129" spans="2:174" x14ac:dyDescent="0.35">
      <c r="B129" s="97"/>
      <c r="G129" s="100"/>
      <c r="K129" s="98"/>
      <c r="L129" s="101"/>
      <c r="M129" s="101"/>
      <c r="N129" s="101"/>
      <c r="O129" s="101"/>
      <c r="P129" s="102"/>
      <c r="Q129" s="101"/>
      <c r="R129" s="98"/>
      <c r="S129" s="98"/>
      <c r="T129" s="98"/>
      <c r="U129" s="98"/>
      <c r="V129" s="98"/>
      <c r="W129" s="98"/>
      <c r="X129" s="98"/>
      <c r="Y129" s="98"/>
      <c r="Z129" s="103"/>
      <c r="AA129" s="103"/>
      <c r="AB129" s="103"/>
      <c r="AC129" s="103"/>
      <c r="AD129" s="103"/>
      <c r="AE129" s="103"/>
      <c r="AF129" s="103"/>
      <c r="AG129" s="101"/>
      <c r="AH129" s="101"/>
      <c r="AI129" s="101"/>
      <c r="AJ129" s="101"/>
      <c r="AK129" s="101"/>
      <c r="AL129" s="101"/>
      <c r="AM129" s="101"/>
      <c r="AN129" s="103"/>
      <c r="AO129" s="103"/>
      <c r="AP129" s="103"/>
      <c r="AQ129" s="103"/>
      <c r="AR129" s="103"/>
      <c r="AS129" s="103"/>
      <c r="AT129" s="103"/>
      <c r="AU129" s="101"/>
      <c r="AV129" s="101"/>
      <c r="AW129" s="101"/>
      <c r="AX129" s="101"/>
      <c r="AY129" s="101"/>
      <c r="AZ129" s="101"/>
      <c r="BA129" s="101"/>
      <c r="BB129" s="103"/>
      <c r="BC129" s="103"/>
      <c r="BD129" s="103"/>
      <c r="BE129" s="101"/>
      <c r="BF129" s="101"/>
      <c r="BG129" s="101"/>
      <c r="BH129" s="101"/>
      <c r="BI129" s="101"/>
      <c r="BM129" s="101"/>
      <c r="BN129" s="101"/>
      <c r="BO129" s="101"/>
      <c r="BP129" s="101"/>
      <c r="BQ129" s="101"/>
      <c r="BR129" s="101"/>
      <c r="BS129" s="101"/>
      <c r="BT129" s="104"/>
      <c r="BU129" s="104"/>
      <c r="BV129" s="104"/>
      <c r="BW129" s="104"/>
      <c r="BX129" s="104"/>
      <c r="BY129" s="104"/>
      <c r="BZ129" s="104"/>
      <c r="CA129" s="104"/>
      <c r="CB129" s="104"/>
      <c r="CC129" s="104"/>
      <c r="CD129" s="104"/>
      <c r="CE129" s="104"/>
      <c r="CF129" s="104"/>
      <c r="CG129" s="104"/>
      <c r="CH129" s="104"/>
      <c r="CI129" s="104"/>
      <c r="CJ129" s="104"/>
      <c r="CK129" s="104"/>
      <c r="CL129" s="104"/>
      <c r="CM129" s="104"/>
      <c r="CN129" s="104"/>
      <c r="CO129" s="104"/>
      <c r="CP129" s="98"/>
      <c r="CR129" s="101"/>
      <c r="CS129" s="101"/>
      <c r="CT129" s="101"/>
      <c r="CU129" s="101"/>
      <c r="CV129" s="101"/>
      <c r="FL129" s="103"/>
      <c r="FN129" s="103"/>
      <c r="FP129" s="103"/>
      <c r="FR129" s="103"/>
    </row>
    <row r="130" spans="2:174" x14ac:dyDescent="0.35">
      <c r="B130" s="97"/>
      <c r="G130" s="100"/>
      <c r="K130" s="98"/>
      <c r="L130" s="101"/>
      <c r="M130" s="101"/>
      <c r="N130" s="101"/>
      <c r="O130" s="101"/>
      <c r="P130" s="102"/>
      <c r="Q130" s="101"/>
      <c r="R130" s="98"/>
      <c r="S130" s="98"/>
      <c r="T130" s="98"/>
      <c r="U130" s="98"/>
      <c r="V130" s="98"/>
      <c r="W130" s="98"/>
      <c r="X130" s="98"/>
      <c r="Y130" s="98"/>
      <c r="Z130" s="103"/>
      <c r="AA130" s="103"/>
      <c r="AB130" s="103"/>
      <c r="AC130" s="103"/>
      <c r="AD130" s="103"/>
      <c r="AE130" s="103"/>
      <c r="AF130" s="103"/>
      <c r="AG130" s="101"/>
      <c r="AH130" s="101"/>
      <c r="AI130" s="101"/>
      <c r="AJ130" s="101"/>
      <c r="AK130" s="101"/>
      <c r="AL130" s="101"/>
      <c r="AM130" s="101"/>
      <c r="AN130" s="103"/>
      <c r="AO130" s="103"/>
      <c r="AP130" s="103"/>
      <c r="AQ130" s="103"/>
      <c r="AR130" s="103"/>
      <c r="AS130" s="103"/>
      <c r="AT130" s="103"/>
      <c r="AU130" s="101"/>
      <c r="AV130" s="101"/>
      <c r="AW130" s="101"/>
      <c r="AX130" s="101"/>
      <c r="AY130" s="101"/>
      <c r="AZ130" s="101"/>
      <c r="BA130" s="101"/>
      <c r="BB130" s="103"/>
      <c r="BC130" s="103"/>
      <c r="BD130" s="103"/>
      <c r="BE130" s="101"/>
      <c r="BF130" s="101"/>
      <c r="BG130" s="101"/>
      <c r="BH130" s="101"/>
      <c r="BI130" s="101"/>
      <c r="BM130" s="101"/>
      <c r="BN130" s="101"/>
      <c r="BO130" s="101"/>
      <c r="BP130" s="101"/>
      <c r="BQ130" s="101"/>
      <c r="BR130" s="101"/>
      <c r="BS130" s="101"/>
      <c r="BT130" s="104"/>
      <c r="BU130" s="104"/>
      <c r="BV130" s="104"/>
      <c r="BW130" s="104"/>
      <c r="BX130" s="104"/>
      <c r="BY130" s="104"/>
      <c r="BZ130" s="104"/>
      <c r="CA130" s="104"/>
      <c r="CB130" s="104"/>
      <c r="CC130" s="104"/>
      <c r="CD130" s="104"/>
      <c r="CE130" s="104"/>
      <c r="CF130" s="104"/>
      <c r="CG130" s="104"/>
      <c r="CH130" s="104"/>
      <c r="CI130" s="104"/>
      <c r="CJ130" s="104"/>
      <c r="CK130" s="104"/>
      <c r="CL130" s="104"/>
      <c r="CM130" s="104"/>
      <c r="CN130" s="104"/>
      <c r="CO130" s="104"/>
      <c r="CP130" s="98"/>
      <c r="CR130" s="101"/>
      <c r="CS130" s="101"/>
      <c r="CT130" s="101"/>
      <c r="CU130" s="101"/>
      <c r="CV130" s="101"/>
      <c r="FL130" s="103"/>
      <c r="FN130" s="103"/>
      <c r="FP130" s="103"/>
      <c r="FR130" s="103"/>
    </row>
    <row r="131" spans="2:174" x14ac:dyDescent="0.35">
      <c r="B131" s="97"/>
      <c r="G131" s="100"/>
      <c r="K131" s="98"/>
      <c r="L131" s="101"/>
      <c r="M131" s="101"/>
      <c r="N131" s="101"/>
      <c r="O131" s="101"/>
      <c r="P131" s="102"/>
      <c r="Q131" s="101"/>
      <c r="R131" s="98"/>
      <c r="S131" s="98"/>
      <c r="T131" s="98"/>
      <c r="U131" s="98"/>
      <c r="V131" s="98"/>
      <c r="W131" s="98"/>
      <c r="X131" s="98"/>
      <c r="Y131" s="98"/>
      <c r="Z131" s="103"/>
      <c r="AA131" s="103"/>
      <c r="AB131" s="103"/>
      <c r="AC131" s="103"/>
      <c r="AD131" s="103"/>
      <c r="AE131" s="103"/>
      <c r="AF131" s="103"/>
      <c r="AG131" s="101"/>
      <c r="AH131" s="101"/>
      <c r="AI131" s="101"/>
      <c r="AJ131" s="101"/>
      <c r="AK131" s="101"/>
      <c r="AL131" s="101"/>
      <c r="AM131" s="101"/>
      <c r="AN131" s="103"/>
      <c r="AO131" s="103"/>
      <c r="AP131" s="103"/>
      <c r="AQ131" s="103"/>
      <c r="AR131" s="103"/>
      <c r="AS131" s="103"/>
      <c r="AT131" s="103"/>
      <c r="AU131" s="101"/>
      <c r="AV131" s="101"/>
      <c r="AW131" s="101"/>
      <c r="AX131" s="101"/>
      <c r="AY131" s="101"/>
      <c r="AZ131" s="101"/>
      <c r="BA131" s="101"/>
      <c r="BB131" s="103"/>
      <c r="BC131" s="103"/>
      <c r="BD131" s="103"/>
      <c r="BE131" s="101"/>
      <c r="BF131" s="101"/>
      <c r="BG131" s="101"/>
      <c r="BH131" s="101"/>
      <c r="BI131" s="101"/>
      <c r="BM131" s="101"/>
      <c r="BN131" s="101"/>
      <c r="BO131" s="101"/>
      <c r="BP131" s="101"/>
      <c r="BQ131" s="101"/>
      <c r="BR131" s="101"/>
      <c r="BS131" s="101"/>
      <c r="BT131" s="104"/>
      <c r="BU131" s="104"/>
      <c r="BV131" s="104"/>
      <c r="BW131" s="104"/>
      <c r="BX131" s="104"/>
      <c r="BY131" s="104"/>
      <c r="BZ131" s="104"/>
      <c r="CA131" s="104"/>
      <c r="CB131" s="104"/>
      <c r="CC131" s="104"/>
      <c r="CD131" s="104"/>
      <c r="CE131" s="104"/>
      <c r="CF131" s="104"/>
      <c r="CG131" s="104"/>
      <c r="CH131" s="104"/>
      <c r="CI131" s="104"/>
      <c r="CJ131" s="104"/>
      <c r="CK131" s="104"/>
      <c r="CL131" s="104"/>
      <c r="CM131" s="104"/>
      <c r="CN131" s="104"/>
      <c r="CO131" s="104"/>
      <c r="CP131" s="98"/>
      <c r="CR131" s="101"/>
      <c r="CS131" s="101"/>
      <c r="CT131" s="101"/>
      <c r="CU131" s="101"/>
      <c r="CV131" s="101"/>
      <c r="FL131" s="103"/>
      <c r="FN131" s="103"/>
      <c r="FP131" s="103"/>
      <c r="FR131" s="103"/>
    </row>
    <row r="132" spans="2:174" x14ac:dyDescent="0.35">
      <c r="B132" s="97"/>
      <c r="G132" s="100"/>
      <c r="K132" s="98"/>
      <c r="L132" s="101"/>
      <c r="M132" s="101"/>
      <c r="N132" s="101"/>
      <c r="O132" s="101"/>
      <c r="P132" s="102"/>
      <c r="Q132" s="101"/>
      <c r="R132" s="98"/>
      <c r="S132" s="98"/>
      <c r="T132" s="98"/>
      <c r="U132" s="98"/>
      <c r="V132" s="98"/>
      <c r="W132" s="98"/>
      <c r="X132" s="98"/>
      <c r="Y132" s="98"/>
      <c r="Z132" s="103"/>
      <c r="AA132" s="103"/>
      <c r="AB132" s="103"/>
      <c r="AC132" s="103"/>
      <c r="AD132" s="103"/>
      <c r="AE132" s="103"/>
      <c r="AF132" s="103"/>
      <c r="AG132" s="101"/>
      <c r="AH132" s="101"/>
      <c r="AI132" s="101"/>
      <c r="AJ132" s="101"/>
      <c r="AK132" s="101"/>
      <c r="AL132" s="101"/>
      <c r="AM132" s="101"/>
      <c r="AN132" s="103"/>
      <c r="AO132" s="103"/>
      <c r="AP132" s="103"/>
      <c r="AQ132" s="103"/>
      <c r="AR132" s="103"/>
      <c r="AS132" s="103"/>
      <c r="AT132" s="103"/>
      <c r="AU132" s="101"/>
      <c r="AV132" s="101"/>
      <c r="AW132" s="101"/>
      <c r="AX132" s="101"/>
      <c r="AY132" s="101"/>
      <c r="AZ132" s="101"/>
      <c r="BA132" s="101"/>
      <c r="BB132" s="103"/>
      <c r="BC132" s="103"/>
      <c r="BD132" s="103"/>
      <c r="BE132" s="101"/>
      <c r="BF132" s="101"/>
      <c r="BG132" s="101"/>
      <c r="BH132" s="101"/>
      <c r="BI132" s="101"/>
      <c r="BM132" s="101"/>
      <c r="BN132" s="101"/>
      <c r="BO132" s="101"/>
      <c r="BP132" s="101"/>
      <c r="BQ132" s="101"/>
      <c r="BR132" s="101"/>
      <c r="BS132" s="101"/>
      <c r="BT132" s="104"/>
      <c r="BU132" s="104"/>
      <c r="BV132" s="104"/>
      <c r="BW132" s="104"/>
      <c r="BX132" s="104"/>
      <c r="BY132" s="104"/>
      <c r="BZ132" s="104"/>
      <c r="CA132" s="104"/>
      <c r="CB132" s="104"/>
      <c r="CC132" s="104"/>
      <c r="CD132" s="104"/>
      <c r="CE132" s="104"/>
      <c r="CF132" s="104"/>
      <c r="CG132" s="104"/>
      <c r="CH132" s="104"/>
      <c r="CI132" s="104"/>
      <c r="CJ132" s="104"/>
      <c r="CK132" s="104"/>
      <c r="CL132" s="104"/>
      <c r="CM132" s="104"/>
      <c r="CN132" s="104"/>
      <c r="CO132" s="104"/>
      <c r="CP132" s="98"/>
      <c r="CR132" s="101"/>
      <c r="CS132" s="101"/>
      <c r="CT132" s="101"/>
      <c r="CU132" s="101"/>
      <c r="CV132" s="101"/>
      <c r="FL132" s="103"/>
      <c r="FN132" s="103"/>
      <c r="FP132" s="103"/>
      <c r="FR132" s="103"/>
    </row>
    <row r="133" spans="2:174" x14ac:dyDescent="0.35">
      <c r="B133" s="97"/>
      <c r="G133" s="100"/>
      <c r="K133" s="98"/>
      <c r="L133" s="101"/>
      <c r="M133" s="101"/>
      <c r="N133" s="101"/>
      <c r="O133" s="101"/>
      <c r="P133" s="102"/>
      <c r="Q133" s="101"/>
      <c r="R133" s="98"/>
      <c r="S133" s="98"/>
      <c r="T133" s="98"/>
      <c r="U133" s="98"/>
      <c r="V133" s="98"/>
      <c r="W133" s="98"/>
      <c r="X133" s="98"/>
      <c r="Y133" s="98"/>
      <c r="Z133" s="103"/>
      <c r="AA133" s="103"/>
      <c r="AB133" s="103"/>
      <c r="AC133" s="103"/>
      <c r="AD133" s="103"/>
      <c r="AE133" s="103"/>
      <c r="AF133" s="103"/>
      <c r="AG133" s="101"/>
      <c r="AH133" s="101"/>
      <c r="AI133" s="101"/>
      <c r="AJ133" s="101"/>
      <c r="AK133" s="101"/>
      <c r="AL133" s="101"/>
      <c r="AM133" s="101"/>
      <c r="AN133" s="103"/>
      <c r="AO133" s="103"/>
      <c r="AP133" s="103"/>
      <c r="AQ133" s="103"/>
      <c r="AR133" s="103"/>
      <c r="AS133" s="103"/>
      <c r="AT133" s="103"/>
      <c r="AU133" s="101"/>
      <c r="AV133" s="101"/>
      <c r="AW133" s="101"/>
      <c r="AX133" s="101"/>
      <c r="AY133" s="101"/>
      <c r="AZ133" s="101"/>
      <c r="BA133" s="101"/>
      <c r="BB133" s="103"/>
      <c r="BC133" s="103"/>
      <c r="BD133" s="103"/>
      <c r="BE133" s="101"/>
      <c r="BF133" s="101"/>
      <c r="BG133" s="101"/>
      <c r="BH133" s="101"/>
      <c r="BI133" s="101"/>
      <c r="BM133" s="101"/>
      <c r="BN133" s="101"/>
      <c r="BO133" s="101"/>
      <c r="BP133" s="101"/>
      <c r="BQ133" s="101"/>
      <c r="BR133" s="101"/>
      <c r="BS133" s="101"/>
      <c r="BT133" s="104"/>
      <c r="BU133" s="104"/>
      <c r="BV133" s="104"/>
      <c r="BW133" s="104"/>
      <c r="BX133" s="104"/>
      <c r="BY133" s="104"/>
      <c r="BZ133" s="104"/>
      <c r="CA133" s="104"/>
      <c r="CB133" s="104"/>
      <c r="CC133" s="104"/>
      <c r="CD133" s="104"/>
      <c r="CE133" s="104"/>
      <c r="CF133" s="104"/>
      <c r="CG133" s="104"/>
      <c r="CH133" s="104"/>
      <c r="CI133" s="104"/>
      <c r="CJ133" s="104"/>
      <c r="CK133" s="104"/>
      <c r="CL133" s="104"/>
      <c r="CM133" s="104"/>
      <c r="CN133" s="104"/>
      <c r="CO133" s="104"/>
      <c r="CP133" s="98"/>
      <c r="CR133" s="101"/>
      <c r="CS133" s="101"/>
      <c r="CT133" s="101"/>
      <c r="CU133" s="101"/>
      <c r="CV133" s="101"/>
      <c r="FL133" s="103"/>
      <c r="FN133" s="103"/>
      <c r="FP133" s="103"/>
      <c r="FR133" s="103"/>
    </row>
    <row r="134" spans="2:174" x14ac:dyDescent="0.35">
      <c r="B134" s="97"/>
      <c r="G134" s="100"/>
      <c r="K134" s="98"/>
      <c r="L134" s="101"/>
      <c r="M134" s="101"/>
      <c r="N134" s="101"/>
      <c r="O134" s="101"/>
      <c r="P134" s="102"/>
      <c r="Q134" s="101"/>
      <c r="R134" s="98"/>
      <c r="S134" s="98"/>
      <c r="T134" s="98"/>
      <c r="U134" s="98"/>
      <c r="V134" s="98"/>
      <c r="W134" s="98"/>
      <c r="X134" s="98"/>
      <c r="Y134" s="98"/>
      <c r="Z134" s="103"/>
      <c r="AA134" s="103"/>
      <c r="AB134" s="103"/>
      <c r="AC134" s="103"/>
      <c r="AD134" s="103"/>
      <c r="AE134" s="103"/>
      <c r="AF134" s="103"/>
      <c r="AG134" s="101"/>
      <c r="AH134" s="101"/>
      <c r="AI134" s="101"/>
      <c r="AJ134" s="101"/>
      <c r="AK134" s="101"/>
      <c r="AL134" s="101"/>
      <c r="AM134" s="101"/>
      <c r="AN134" s="103"/>
      <c r="AO134" s="103"/>
      <c r="AP134" s="103"/>
      <c r="AQ134" s="103"/>
      <c r="AR134" s="103"/>
      <c r="AS134" s="103"/>
      <c r="AT134" s="103"/>
      <c r="AU134" s="101"/>
      <c r="AV134" s="101"/>
      <c r="AW134" s="101"/>
      <c r="AX134" s="101"/>
      <c r="AY134" s="101"/>
      <c r="AZ134" s="101"/>
      <c r="BA134" s="101"/>
      <c r="BB134" s="103"/>
      <c r="BC134" s="103"/>
      <c r="BD134" s="103"/>
      <c r="BE134" s="101"/>
      <c r="BF134" s="101"/>
      <c r="BG134" s="101"/>
      <c r="BH134" s="101"/>
      <c r="BI134" s="101"/>
      <c r="BM134" s="101"/>
      <c r="BN134" s="101"/>
      <c r="BO134" s="101"/>
      <c r="BP134" s="101"/>
      <c r="BQ134" s="101"/>
      <c r="BR134" s="101"/>
      <c r="BS134" s="101"/>
      <c r="BT134" s="104"/>
      <c r="BU134" s="104"/>
      <c r="BV134" s="104"/>
      <c r="BW134" s="104"/>
      <c r="BX134" s="104"/>
      <c r="BY134" s="104"/>
      <c r="BZ134" s="104"/>
      <c r="CA134" s="104"/>
      <c r="CB134" s="104"/>
      <c r="CC134" s="104"/>
      <c r="CD134" s="104"/>
      <c r="CE134" s="104"/>
      <c r="CF134" s="104"/>
      <c r="CG134" s="104"/>
      <c r="CH134" s="104"/>
      <c r="CI134" s="104"/>
      <c r="CJ134" s="104"/>
      <c r="CK134" s="104"/>
      <c r="CL134" s="104"/>
      <c r="CM134" s="104"/>
      <c r="CN134" s="104"/>
      <c r="CO134" s="104"/>
      <c r="CP134" s="98"/>
      <c r="CR134" s="101"/>
      <c r="CS134" s="101"/>
      <c r="CT134" s="101"/>
      <c r="CU134" s="101"/>
      <c r="CV134" s="101"/>
      <c r="FL134" s="103"/>
      <c r="FN134" s="103"/>
      <c r="FP134" s="103"/>
      <c r="FR134" s="103"/>
    </row>
    <row r="135" spans="2:174" x14ac:dyDescent="0.35">
      <c r="B135" s="97"/>
      <c r="G135" s="100"/>
      <c r="K135" s="98"/>
      <c r="L135" s="101"/>
      <c r="M135" s="101"/>
      <c r="N135" s="101"/>
      <c r="O135" s="101"/>
      <c r="P135" s="102"/>
      <c r="Q135" s="101"/>
      <c r="R135" s="98"/>
      <c r="S135" s="98"/>
      <c r="T135" s="98"/>
      <c r="U135" s="98"/>
      <c r="V135" s="98"/>
      <c r="W135" s="98"/>
      <c r="X135" s="98"/>
      <c r="Y135" s="98"/>
      <c r="Z135" s="103"/>
      <c r="AA135" s="103"/>
      <c r="AB135" s="103"/>
      <c r="AC135" s="103"/>
      <c r="AD135" s="103"/>
      <c r="AE135" s="103"/>
      <c r="AF135" s="103"/>
      <c r="AG135" s="101"/>
      <c r="AH135" s="101"/>
      <c r="AI135" s="101"/>
      <c r="AJ135" s="101"/>
      <c r="AK135" s="101"/>
      <c r="AL135" s="101"/>
      <c r="AM135" s="101"/>
      <c r="AN135" s="103"/>
      <c r="AO135" s="103"/>
      <c r="AP135" s="103"/>
      <c r="AQ135" s="103"/>
      <c r="AR135" s="103"/>
      <c r="AS135" s="103"/>
      <c r="AT135" s="103"/>
      <c r="AU135" s="101"/>
      <c r="AV135" s="101"/>
      <c r="AW135" s="101"/>
      <c r="AX135" s="101"/>
      <c r="AY135" s="101"/>
      <c r="AZ135" s="101"/>
      <c r="BA135" s="101"/>
      <c r="BB135" s="103"/>
      <c r="BC135" s="103"/>
      <c r="BD135" s="103"/>
      <c r="BE135" s="101"/>
      <c r="BF135" s="101"/>
      <c r="BG135" s="101"/>
      <c r="BH135" s="101"/>
      <c r="BI135" s="101"/>
      <c r="BM135" s="101"/>
      <c r="BN135" s="101"/>
      <c r="BO135" s="101"/>
      <c r="BP135" s="101"/>
      <c r="BQ135" s="101"/>
      <c r="BR135" s="101"/>
      <c r="BS135" s="101"/>
      <c r="BT135" s="104"/>
      <c r="BU135" s="104"/>
      <c r="BV135" s="104"/>
      <c r="BW135" s="104"/>
      <c r="BX135" s="104"/>
      <c r="BY135" s="104"/>
      <c r="BZ135" s="104"/>
      <c r="CA135" s="104"/>
      <c r="CB135" s="104"/>
      <c r="CC135" s="104"/>
      <c r="CD135" s="104"/>
      <c r="CE135" s="104"/>
      <c r="CF135" s="104"/>
      <c r="CG135" s="104"/>
      <c r="CH135" s="104"/>
      <c r="CI135" s="104"/>
      <c r="CJ135" s="104"/>
      <c r="CK135" s="104"/>
      <c r="CL135" s="104"/>
      <c r="CM135" s="104"/>
      <c r="CN135" s="104"/>
      <c r="CO135" s="104"/>
      <c r="CP135" s="98"/>
      <c r="CR135" s="101"/>
      <c r="CS135" s="101"/>
      <c r="CT135" s="101"/>
      <c r="CU135" s="101"/>
      <c r="CV135" s="101"/>
      <c r="FL135" s="103"/>
      <c r="FN135" s="103"/>
      <c r="FP135" s="103"/>
      <c r="FR135" s="103"/>
    </row>
    <row r="136" spans="2:174" x14ac:dyDescent="0.35">
      <c r="B136" s="97"/>
      <c r="G136" s="100"/>
      <c r="K136" s="98"/>
      <c r="L136" s="101"/>
      <c r="M136" s="101"/>
      <c r="N136" s="101"/>
      <c r="O136" s="101"/>
      <c r="P136" s="102"/>
      <c r="Q136" s="101"/>
      <c r="R136" s="98"/>
      <c r="S136" s="98"/>
      <c r="T136" s="98"/>
      <c r="U136" s="98"/>
      <c r="V136" s="98"/>
      <c r="W136" s="98"/>
      <c r="X136" s="98"/>
      <c r="Y136" s="98"/>
      <c r="Z136" s="103"/>
      <c r="AA136" s="103"/>
      <c r="AB136" s="103"/>
      <c r="AC136" s="103"/>
      <c r="AD136" s="103"/>
      <c r="AE136" s="103"/>
      <c r="AF136" s="103"/>
      <c r="AG136" s="101"/>
      <c r="AH136" s="101"/>
      <c r="AI136" s="101"/>
      <c r="AJ136" s="101"/>
      <c r="AK136" s="101"/>
      <c r="AL136" s="101"/>
      <c r="AM136" s="101"/>
      <c r="AN136" s="103"/>
      <c r="AO136" s="103"/>
      <c r="AP136" s="103"/>
      <c r="AQ136" s="103"/>
      <c r="AR136" s="103"/>
      <c r="AS136" s="103"/>
      <c r="AT136" s="103"/>
      <c r="AU136" s="101"/>
      <c r="AV136" s="101"/>
      <c r="AW136" s="101"/>
      <c r="AX136" s="101"/>
      <c r="AY136" s="101"/>
      <c r="AZ136" s="101"/>
      <c r="BA136" s="101"/>
      <c r="BB136" s="103"/>
      <c r="BC136" s="103"/>
      <c r="BD136" s="103"/>
      <c r="BE136" s="101"/>
      <c r="BF136" s="101"/>
      <c r="BG136" s="101"/>
      <c r="BH136" s="101"/>
      <c r="BI136" s="101"/>
      <c r="BM136" s="101"/>
      <c r="BN136" s="101"/>
      <c r="BO136" s="101"/>
      <c r="BP136" s="101"/>
      <c r="BQ136" s="101"/>
      <c r="BR136" s="101"/>
      <c r="BS136" s="101"/>
      <c r="BT136" s="104"/>
      <c r="BU136" s="104"/>
      <c r="BV136" s="104"/>
      <c r="BW136" s="104"/>
      <c r="BX136" s="104"/>
      <c r="BY136" s="104"/>
      <c r="BZ136" s="104"/>
      <c r="CA136" s="104"/>
      <c r="CB136" s="104"/>
      <c r="CC136" s="104"/>
      <c r="CD136" s="104"/>
      <c r="CE136" s="104"/>
      <c r="CF136" s="104"/>
      <c r="CG136" s="104"/>
      <c r="CH136" s="104"/>
      <c r="CI136" s="104"/>
      <c r="CJ136" s="104"/>
      <c r="CK136" s="104"/>
      <c r="CL136" s="104"/>
      <c r="CM136" s="104"/>
      <c r="CN136" s="104"/>
      <c r="CO136" s="104"/>
      <c r="CP136" s="98"/>
      <c r="CR136" s="101"/>
      <c r="CS136" s="101"/>
      <c r="CT136" s="101"/>
      <c r="CU136" s="101"/>
      <c r="CV136" s="101"/>
      <c r="FL136" s="103"/>
      <c r="FN136" s="103"/>
      <c r="FP136" s="103"/>
      <c r="FR136" s="103"/>
    </row>
    <row r="137" spans="2:174" x14ac:dyDescent="0.35">
      <c r="B137" s="97"/>
      <c r="G137" s="100"/>
      <c r="K137" s="98"/>
      <c r="L137" s="101"/>
      <c r="M137" s="101"/>
      <c r="N137" s="101"/>
      <c r="O137" s="101"/>
      <c r="P137" s="102"/>
      <c r="Q137" s="101"/>
      <c r="R137" s="98"/>
      <c r="S137" s="98"/>
      <c r="T137" s="98"/>
      <c r="U137" s="98"/>
      <c r="V137" s="98"/>
      <c r="W137" s="98"/>
      <c r="X137" s="98"/>
      <c r="Y137" s="98"/>
      <c r="Z137" s="103"/>
      <c r="AA137" s="103"/>
      <c r="AB137" s="103"/>
      <c r="AC137" s="103"/>
      <c r="AD137" s="103"/>
      <c r="AE137" s="103"/>
      <c r="AF137" s="103"/>
      <c r="AG137" s="101"/>
      <c r="AH137" s="101"/>
      <c r="AI137" s="101"/>
      <c r="AJ137" s="101"/>
      <c r="AK137" s="101"/>
      <c r="AL137" s="101"/>
      <c r="AM137" s="101"/>
      <c r="AN137" s="103"/>
      <c r="AO137" s="103"/>
      <c r="AP137" s="103"/>
      <c r="AQ137" s="103"/>
      <c r="AR137" s="103"/>
      <c r="AS137" s="103"/>
      <c r="AT137" s="103"/>
      <c r="AU137" s="101"/>
      <c r="AV137" s="101"/>
      <c r="AW137" s="101"/>
      <c r="AX137" s="101"/>
      <c r="AY137" s="101"/>
      <c r="AZ137" s="101"/>
      <c r="BA137" s="101"/>
      <c r="BB137" s="103"/>
      <c r="BC137" s="103"/>
      <c r="BD137" s="103"/>
      <c r="BE137" s="101"/>
      <c r="BF137" s="101"/>
      <c r="BG137" s="101"/>
      <c r="BH137" s="101"/>
      <c r="BI137" s="101"/>
      <c r="BM137" s="101"/>
      <c r="BN137" s="101"/>
      <c r="BO137" s="101"/>
      <c r="BP137" s="101"/>
      <c r="BQ137" s="101"/>
      <c r="BR137" s="101"/>
      <c r="BS137" s="101"/>
      <c r="BT137" s="104"/>
      <c r="BU137" s="104"/>
      <c r="BV137" s="104"/>
      <c r="BW137" s="104"/>
      <c r="BX137" s="104"/>
      <c r="BY137" s="104"/>
      <c r="BZ137" s="104"/>
      <c r="CA137" s="104"/>
      <c r="CB137" s="104"/>
      <c r="CC137" s="104"/>
      <c r="CD137" s="104"/>
      <c r="CE137" s="104"/>
      <c r="CF137" s="104"/>
      <c r="CG137" s="104"/>
      <c r="CH137" s="104"/>
      <c r="CI137" s="104"/>
      <c r="CJ137" s="104"/>
      <c r="CK137" s="104"/>
      <c r="CL137" s="104"/>
      <c r="CM137" s="104"/>
      <c r="CN137" s="104"/>
      <c r="CO137" s="104"/>
      <c r="CP137" s="98"/>
      <c r="CR137" s="101"/>
      <c r="CS137" s="101"/>
      <c r="CT137" s="101"/>
      <c r="CU137" s="101"/>
      <c r="CV137" s="101"/>
      <c r="FL137" s="103"/>
      <c r="FN137" s="103"/>
      <c r="FP137" s="103"/>
      <c r="FR137" s="103"/>
    </row>
    <row r="138" spans="2:174" x14ac:dyDescent="0.35">
      <c r="B138" s="97"/>
      <c r="G138" s="100"/>
      <c r="K138" s="98"/>
      <c r="L138" s="101"/>
      <c r="M138" s="101"/>
      <c r="N138" s="101"/>
      <c r="O138" s="101"/>
      <c r="P138" s="102"/>
      <c r="Q138" s="101"/>
      <c r="R138" s="98"/>
      <c r="S138" s="98"/>
      <c r="T138" s="98"/>
      <c r="U138" s="98"/>
      <c r="V138" s="98"/>
      <c r="W138" s="98"/>
      <c r="X138" s="98"/>
      <c r="Y138" s="98"/>
      <c r="Z138" s="103"/>
      <c r="AA138" s="103"/>
      <c r="AB138" s="103"/>
      <c r="AC138" s="103"/>
      <c r="AD138" s="103"/>
      <c r="AE138" s="103"/>
      <c r="AF138" s="103"/>
      <c r="AG138" s="101"/>
      <c r="AH138" s="101"/>
      <c r="AI138" s="101"/>
      <c r="AJ138" s="101"/>
      <c r="AK138" s="101"/>
      <c r="AL138" s="101"/>
      <c r="AM138" s="101"/>
      <c r="AN138" s="103"/>
      <c r="AO138" s="103"/>
      <c r="AP138" s="103"/>
      <c r="AQ138" s="103"/>
      <c r="AR138" s="103"/>
      <c r="AS138" s="103"/>
      <c r="AT138" s="103"/>
      <c r="AU138" s="101"/>
      <c r="AV138" s="101"/>
      <c r="AW138" s="101"/>
      <c r="AX138" s="101"/>
      <c r="AY138" s="101"/>
      <c r="AZ138" s="101"/>
      <c r="BA138" s="101"/>
      <c r="BB138" s="103"/>
      <c r="BC138" s="103"/>
      <c r="BD138" s="103"/>
      <c r="BE138" s="101"/>
      <c r="BF138" s="101"/>
      <c r="BG138" s="101"/>
      <c r="BH138" s="101"/>
      <c r="BI138" s="101"/>
      <c r="BM138" s="101"/>
      <c r="BN138" s="101"/>
      <c r="BO138" s="101"/>
      <c r="BP138" s="101"/>
      <c r="BQ138" s="101"/>
      <c r="BR138" s="101"/>
      <c r="BS138" s="101"/>
      <c r="BT138" s="104"/>
      <c r="BU138" s="104"/>
      <c r="BV138" s="104"/>
      <c r="BW138" s="104"/>
      <c r="BX138" s="104"/>
      <c r="BY138" s="104"/>
      <c r="BZ138" s="104"/>
      <c r="CA138" s="104"/>
      <c r="CB138" s="104"/>
      <c r="CC138" s="104"/>
      <c r="CD138" s="104"/>
      <c r="CE138" s="104"/>
      <c r="CF138" s="104"/>
      <c r="CG138" s="104"/>
      <c r="CH138" s="104"/>
      <c r="CI138" s="104"/>
      <c r="CJ138" s="104"/>
      <c r="CK138" s="104"/>
      <c r="CL138" s="104"/>
      <c r="CM138" s="104"/>
      <c r="CN138" s="104"/>
      <c r="CO138" s="104"/>
      <c r="CP138" s="98"/>
      <c r="CR138" s="101"/>
      <c r="CS138" s="101"/>
      <c r="CT138" s="101"/>
      <c r="CU138" s="101"/>
      <c r="CV138" s="101"/>
      <c r="FL138" s="103"/>
      <c r="FN138" s="103"/>
      <c r="FP138" s="103"/>
      <c r="FR138" s="103"/>
    </row>
    <row r="139" spans="2:174" x14ac:dyDescent="0.35">
      <c r="B139" s="97"/>
      <c r="G139" s="100"/>
      <c r="K139" s="98"/>
      <c r="L139" s="101"/>
      <c r="M139" s="101"/>
      <c r="N139" s="101"/>
      <c r="O139" s="101"/>
      <c r="P139" s="102"/>
      <c r="Q139" s="101"/>
      <c r="R139" s="98"/>
      <c r="S139" s="98"/>
      <c r="T139" s="98"/>
      <c r="U139" s="98"/>
      <c r="V139" s="98"/>
      <c r="W139" s="98"/>
      <c r="X139" s="98"/>
      <c r="Y139" s="98"/>
      <c r="Z139" s="103"/>
      <c r="AA139" s="103"/>
      <c r="AB139" s="103"/>
      <c r="AC139" s="103"/>
      <c r="AD139" s="103"/>
      <c r="AE139" s="103"/>
      <c r="AF139" s="103"/>
      <c r="AG139" s="101"/>
      <c r="AH139" s="101"/>
      <c r="AI139" s="101"/>
      <c r="AJ139" s="101"/>
      <c r="AK139" s="101"/>
      <c r="AL139" s="101"/>
      <c r="AM139" s="101"/>
      <c r="AN139" s="103"/>
      <c r="AO139" s="103"/>
      <c r="AP139" s="103"/>
      <c r="AQ139" s="103"/>
      <c r="AR139" s="103"/>
      <c r="AS139" s="103"/>
      <c r="AT139" s="103"/>
      <c r="AU139" s="101"/>
      <c r="AV139" s="101"/>
      <c r="AW139" s="101"/>
      <c r="AX139" s="101"/>
      <c r="AY139" s="101"/>
      <c r="AZ139" s="101"/>
      <c r="BA139" s="101"/>
      <c r="BB139" s="103"/>
      <c r="BC139" s="103"/>
      <c r="BD139" s="103"/>
      <c r="BE139" s="101"/>
      <c r="BF139" s="101"/>
      <c r="BG139" s="101"/>
      <c r="BH139" s="101"/>
      <c r="BI139" s="101"/>
      <c r="BM139" s="101"/>
      <c r="BN139" s="101"/>
      <c r="BO139" s="101"/>
      <c r="BP139" s="101"/>
      <c r="BQ139" s="101"/>
      <c r="BR139" s="101"/>
      <c r="BS139" s="101"/>
      <c r="BT139" s="104"/>
      <c r="BU139" s="104"/>
      <c r="BV139" s="104"/>
      <c r="BW139" s="104"/>
      <c r="BX139" s="104"/>
      <c r="BY139" s="104"/>
      <c r="BZ139" s="104"/>
      <c r="CA139" s="104"/>
      <c r="CB139" s="104"/>
      <c r="CC139" s="104"/>
      <c r="CD139" s="104"/>
      <c r="CE139" s="104"/>
      <c r="CF139" s="104"/>
      <c r="CG139" s="104"/>
      <c r="CH139" s="104"/>
      <c r="CI139" s="104"/>
      <c r="CJ139" s="104"/>
      <c r="CK139" s="104"/>
      <c r="CL139" s="104"/>
      <c r="CM139" s="104"/>
      <c r="CN139" s="104"/>
      <c r="CO139" s="104"/>
      <c r="CP139" s="98"/>
      <c r="CR139" s="101"/>
      <c r="CS139" s="101"/>
      <c r="CT139" s="101"/>
      <c r="CU139" s="101"/>
      <c r="CV139" s="101"/>
      <c r="FL139" s="103"/>
      <c r="FN139" s="103"/>
      <c r="FP139" s="103"/>
      <c r="FR139" s="103"/>
    </row>
    <row r="140" spans="2:174" x14ac:dyDescent="0.35">
      <c r="B140" s="97"/>
      <c r="G140" s="100"/>
      <c r="K140" s="98"/>
      <c r="L140" s="101"/>
      <c r="M140" s="101"/>
      <c r="N140" s="101"/>
      <c r="O140" s="101"/>
      <c r="P140" s="102"/>
      <c r="Q140" s="101"/>
      <c r="R140" s="98"/>
      <c r="S140" s="98"/>
      <c r="T140" s="98"/>
      <c r="U140" s="98"/>
      <c r="V140" s="98"/>
      <c r="W140" s="98"/>
      <c r="X140" s="98"/>
      <c r="Y140" s="98"/>
      <c r="Z140" s="103"/>
      <c r="AA140" s="103"/>
      <c r="AB140" s="103"/>
      <c r="AC140" s="103"/>
      <c r="AD140" s="103"/>
      <c r="AE140" s="103"/>
      <c r="AF140" s="103"/>
      <c r="AG140" s="101"/>
      <c r="AH140" s="101"/>
      <c r="AI140" s="101"/>
      <c r="AJ140" s="101"/>
      <c r="AK140" s="101"/>
      <c r="AL140" s="101"/>
      <c r="AM140" s="101"/>
      <c r="AN140" s="103"/>
      <c r="AO140" s="103"/>
      <c r="AP140" s="103"/>
      <c r="AQ140" s="103"/>
      <c r="AR140" s="103"/>
      <c r="AS140" s="103"/>
      <c r="AT140" s="103"/>
      <c r="AU140" s="101"/>
      <c r="AV140" s="101"/>
      <c r="AW140" s="101"/>
      <c r="AX140" s="101"/>
      <c r="AY140" s="101"/>
      <c r="AZ140" s="101"/>
      <c r="BA140" s="101"/>
      <c r="BB140" s="103"/>
      <c r="BC140" s="103"/>
      <c r="BD140" s="103"/>
      <c r="BE140" s="101"/>
      <c r="BF140" s="101"/>
      <c r="BG140" s="101"/>
      <c r="BH140" s="101"/>
      <c r="BI140" s="101"/>
      <c r="BM140" s="101"/>
      <c r="BN140" s="101"/>
      <c r="BO140" s="101"/>
      <c r="BP140" s="101"/>
      <c r="BQ140" s="101"/>
      <c r="BR140" s="101"/>
      <c r="BS140" s="101"/>
      <c r="BT140" s="104"/>
      <c r="BU140" s="104"/>
      <c r="BV140" s="104"/>
      <c r="BW140" s="104"/>
      <c r="BX140" s="104"/>
      <c r="BY140" s="104"/>
      <c r="BZ140" s="104"/>
      <c r="CA140" s="104"/>
      <c r="CB140" s="104"/>
      <c r="CC140" s="104"/>
      <c r="CD140" s="104"/>
      <c r="CE140" s="104"/>
      <c r="CF140" s="104"/>
      <c r="CG140" s="104"/>
      <c r="CH140" s="104"/>
      <c r="CI140" s="104"/>
      <c r="CJ140" s="104"/>
      <c r="CK140" s="104"/>
      <c r="CL140" s="104"/>
      <c r="CM140" s="104"/>
      <c r="CN140" s="104"/>
      <c r="CO140" s="104"/>
      <c r="CP140" s="98"/>
      <c r="CR140" s="101"/>
      <c r="CS140" s="101"/>
      <c r="CT140" s="101"/>
      <c r="CU140" s="101"/>
      <c r="CV140" s="101"/>
      <c r="FL140" s="103"/>
      <c r="FN140" s="103"/>
      <c r="FP140" s="103"/>
      <c r="FR140" s="103"/>
    </row>
    <row r="141" spans="2:174" x14ac:dyDescent="0.35">
      <c r="B141" s="97"/>
      <c r="G141" s="100"/>
      <c r="K141" s="98"/>
      <c r="L141" s="101"/>
      <c r="M141" s="101"/>
      <c r="N141" s="101"/>
      <c r="O141" s="101"/>
      <c r="P141" s="102"/>
      <c r="Q141" s="101"/>
      <c r="R141" s="98"/>
      <c r="S141" s="98"/>
      <c r="T141" s="98"/>
      <c r="U141" s="98"/>
      <c r="V141" s="98"/>
      <c r="W141" s="98"/>
      <c r="X141" s="98"/>
      <c r="Y141" s="98"/>
      <c r="Z141" s="103"/>
      <c r="AA141" s="103"/>
      <c r="AB141" s="103"/>
      <c r="AC141" s="103"/>
      <c r="AD141" s="103"/>
      <c r="AE141" s="103"/>
      <c r="AF141" s="103"/>
      <c r="AG141" s="101"/>
      <c r="AH141" s="101"/>
      <c r="AI141" s="101"/>
      <c r="AJ141" s="101"/>
      <c r="AK141" s="101"/>
      <c r="AL141" s="101"/>
      <c r="AM141" s="101"/>
      <c r="AN141" s="103"/>
      <c r="AO141" s="103"/>
      <c r="AP141" s="103"/>
      <c r="AQ141" s="103"/>
      <c r="AR141" s="103"/>
      <c r="AS141" s="103"/>
      <c r="AT141" s="103"/>
      <c r="AU141" s="101"/>
      <c r="AV141" s="101"/>
      <c r="AW141" s="101"/>
      <c r="AX141" s="101"/>
      <c r="AY141" s="101"/>
      <c r="AZ141" s="101"/>
      <c r="BA141" s="101"/>
      <c r="BB141" s="103"/>
      <c r="BC141" s="103"/>
      <c r="BD141" s="103"/>
      <c r="BE141" s="101"/>
      <c r="BF141" s="101"/>
      <c r="BG141" s="101"/>
      <c r="BH141" s="101"/>
      <c r="BI141" s="101"/>
      <c r="BM141" s="101"/>
      <c r="BN141" s="101"/>
      <c r="BO141" s="101"/>
      <c r="BP141" s="101"/>
      <c r="BQ141" s="101"/>
      <c r="BR141" s="101"/>
      <c r="BS141" s="101"/>
      <c r="BT141" s="104"/>
      <c r="BU141" s="104"/>
      <c r="BV141" s="104"/>
      <c r="BW141" s="104"/>
      <c r="BX141" s="104"/>
      <c r="BY141" s="104"/>
      <c r="BZ141" s="104"/>
      <c r="CA141" s="104"/>
      <c r="CB141" s="104"/>
      <c r="CC141" s="104"/>
      <c r="CD141" s="104"/>
      <c r="CE141" s="104"/>
      <c r="CF141" s="104"/>
      <c r="CG141" s="104"/>
      <c r="CH141" s="104"/>
      <c r="CI141" s="104"/>
      <c r="CJ141" s="104"/>
      <c r="CK141" s="104"/>
      <c r="CL141" s="104"/>
      <c r="CM141" s="104"/>
      <c r="CN141" s="104"/>
      <c r="CO141" s="104"/>
      <c r="CP141" s="98"/>
      <c r="CR141" s="101"/>
      <c r="CS141" s="101"/>
      <c r="CT141" s="101"/>
      <c r="CU141" s="101"/>
      <c r="CV141" s="101"/>
      <c r="FL141" s="103"/>
      <c r="FN141" s="103"/>
      <c r="FP141" s="103"/>
      <c r="FR141" s="103"/>
    </row>
    <row r="142" spans="2:174" x14ac:dyDescent="0.35">
      <c r="B142" s="97"/>
      <c r="G142" s="100"/>
      <c r="K142" s="98"/>
      <c r="L142" s="101"/>
      <c r="M142" s="101"/>
      <c r="N142" s="101"/>
      <c r="O142" s="101"/>
      <c r="P142" s="102"/>
      <c r="Q142" s="101"/>
      <c r="R142" s="98"/>
      <c r="S142" s="98"/>
      <c r="T142" s="98"/>
      <c r="U142" s="98"/>
      <c r="V142" s="98"/>
      <c r="W142" s="98"/>
      <c r="X142" s="98"/>
      <c r="Y142" s="98"/>
      <c r="Z142" s="103"/>
      <c r="AA142" s="103"/>
      <c r="AB142" s="103"/>
      <c r="AC142" s="103"/>
      <c r="AD142" s="103"/>
      <c r="AE142" s="103"/>
      <c r="AF142" s="103"/>
      <c r="AG142" s="101"/>
      <c r="AH142" s="101"/>
      <c r="AI142" s="101"/>
      <c r="AJ142" s="101"/>
      <c r="AK142" s="101"/>
      <c r="AL142" s="101"/>
      <c r="AM142" s="101"/>
      <c r="AN142" s="103"/>
      <c r="AO142" s="103"/>
      <c r="AP142" s="103"/>
      <c r="AQ142" s="103"/>
      <c r="AR142" s="103"/>
      <c r="AS142" s="103"/>
      <c r="AT142" s="103"/>
      <c r="AU142" s="101"/>
      <c r="AV142" s="101"/>
      <c r="AW142" s="101"/>
      <c r="AX142" s="101"/>
      <c r="AY142" s="101"/>
      <c r="AZ142" s="101"/>
      <c r="BA142" s="101"/>
      <c r="BB142" s="103"/>
      <c r="BC142" s="103"/>
      <c r="BD142" s="103"/>
      <c r="BE142" s="101"/>
      <c r="BF142" s="101"/>
      <c r="BG142" s="101"/>
      <c r="BH142" s="101"/>
      <c r="BI142" s="101"/>
      <c r="BM142" s="101"/>
      <c r="BN142" s="101"/>
      <c r="BO142" s="101"/>
      <c r="BP142" s="101"/>
      <c r="BQ142" s="101"/>
      <c r="BR142" s="101"/>
      <c r="BS142" s="101"/>
      <c r="BT142" s="104"/>
      <c r="BU142" s="104"/>
      <c r="BV142" s="104"/>
      <c r="BW142" s="104"/>
      <c r="BX142" s="104"/>
      <c r="BY142" s="104"/>
      <c r="BZ142" s="104"/>
      <c r="CA142" s="104"/>
      <c r="CB142" s="104"/>
      <c r="CC142" s="104"/>
      <c r="CD142" s="104"/>
      <c r="CE142" s="104"/>
      <c r="CF142" s="104"/>
      <c r="CG142" s="104"/>
      <c r="CH142" s="104"/>
      <c r="CI142" s="104"/>
      <c r="CJ142" s="104"/>
      <c r="CK142" s="104"/>
      <c r="CL142" s="104"/>
      <c r="CM142" s="104"/>
      <c r="CN142" s="104"/>
      <c r="CO142" s="104"/>
      <c r="CP142" s="98"/>
      <c r="CR142" s="101"/>
      <c r="CS142" s="101"/>
      <c r="CT142" s="101"/>
      <c r="CU142" s="101"/>
      <c r="CV142" s="101"/>
      <c r="FL142" s="103"/>
      <c r="FN142" s="103"/>
      <c r="FP142" s="103"/>
      <c r="FR142" s="103"/>
    </row>
    <row r="143" spans="2:174" x14ac:dyDescent="0.35">
      <c r="B143" s="97"/>
      <c r="G143" s="100"/>
      <c r="K143" s="98"/>
      <c r="L143" s="101"/>
      <c r="M143" s="101"/>
      <c r="N143" s="101"/>
      <c r="O143" s="101"/>
      <c r="P143" s="102"/>
      <c r="Q143" s="101"/>
      <c r="R143" s="98"/>
      <c r="S143" s="98"/>
      <c r="T143" s="98"/>
      <c r="U143" s="98"/>
      <c r="V143" s="98"/>
      <c r="W143" s="98"/>
      <c r="X143" s="98"/>
      <c r="Y143" s="98"/>
      <c r="Z143" s="103"/>
      <c r="AA143" s="103"/>
      <c r="AB143" s="103"/>
      <c r="AC143" s="103"/>
      <c r="AD143" s="103"/>
      <c r="AE143" s="103"/>
      <c r="AF143" s="103"/>
      <c r="AG143" s="101"/>
      <c r="AH143" s="101"/>
      <c r="AI143" s="101"/>
      <c r="AJ143" s="101"/>
      <c r="AK143" s="101"/>
      <c r="AL143" s="101"/>
      <c r="AM143" s="101"/>
      <c r="AN143" s="103"/>
      <c r="AO143" s="103"/>
      <c r="AP143" s="103"/>
      <c r="AQ143" s="103"/>
      <c r="AR143" s="103"/>
      <c r="AS143" s="103"/>
      <c r="AT143" s="103"/>
      <c r="AU143" s="101"/>
      <c r="AV143" s="101"/>
      <c r="AW143" s="101"/>
      <c r="AX143" s="101"/>
      <c r="AY143" s="101"/>
      <c r="AZ143" s="101"/>
      <c r="BA143" s="101"/>
      <c r="BB143" s="103"/>
      <c r="BC143" s="103"/>
      <c r="BD143" s="103"/>
      <c r="BE143" s="101"/>
      <c r="BF143" s="101"/>
      <c r="BG143" s="101"/>
      <c r="BH143" s="101"/>
      <c r="BI143" s="101"/>
      <c r="BM143" s="101"/>
      <c r="BN143" s="101"/>
      <c r="BO143" s="101"/>
      <c r="BP143" s="101"/>
      <c r="BQ143" s="101"/>
      <c r="BR143" s="101"/>
      <c r="BS143" s="101"/>
      <c r="BT143" s="104"/>
      <c r="BU143" s="104"/>
      <c r="BV143" s="104"/>
      <c r="BW143" s="104"/>
      <c r="BX143" s="104"/>
      <c r="BY143" s="104"/>
      <c r="BZ143" s="104"/>
      <c r="CA143" s="104"/>
      <c r="CB143" s="104"/>
      <c r="CC143" s="104"/>
      <c r="CD143" s="104"/>
      <c r="CE143" s="104"/>
      <c r="CF143" s="104"/>
      <c r="CG143" s="104"/>
      <c r="CH143" s="104"/>
      <c r="CI143" s="104"/>
      <c r="CJ143" s="104"/>
      <c r="CK143" s="104"/>
      <c r="CL143" s="104"/>
      <c r="CM143" s="104"/>
      <c r="CN143" s="104"/>
      <c r="CO143" s="104"/>
      <c r="CP143" s="98"/>
      <c r="CR143" s="101"/>
      <c r="CS143" s="101"/>
      <c r="CT143" s="101"/>
      <c r="CU143" s="101"/>
      <c r="CV143" s="101"/>
      <c r="FL143" s="103"/>
      <c r="FN143" s="103"/>
      <c r="FP143" s="103"/>
      <c r="FR143" s="103"/>
    </row>
    <row r="144" spans="2:174" x14ac:dyDescent="0.35">
      <c r="B144" s="97"/>
      <c r="G144" s="100"/>
      <c r="K144" s="98"/>
      <c r="L144" s="101"/>
      <c r="M144" s="101"/>
      <c r="N144" s="101"/>
      <c r="O144" s="101"/>
      <c r="P144" s="102"/>
      <c r="Q144" s="101"/>
      <c r="R144" s="98"/>
      <c r="S144" s="98"/>
      <c r="T144" s="98"/>
      <c r="U144" s="98"/>
      <c r="V144" s="98"/>
      <c r="W144" s="98"/>
      <c r="X144" s="98"/>
      <c r="Y144" s="98"/>
      <c r="Z144" s="103"/>
      <c r="AA144" s="103"/>
      <c r="AB144" s="103"/>
      <c r="AC144" s="103"/>
      <c r="AD144" s="103"/>
      <c r="AE144" s="103"/>
      <c r="AF144" s="103"/>
      <c r="AG144" s="101"/>
      <c r="AH144" s="101"/>
      <c r="AI144" s="101"/>
      <c r="AJ144" s="101"/>
      <c r="AK144" s="101"/>
      <c r="AL144" s="101"/>
      <c r="AM144" s="101"/>
      <c r="AN144" s="103"/>
      <c r="AO144" s="103"/>
      <c r="AP144" s="103"/>
      <c r="AQ144" s="103"/>
      <c r="AR144" s="103"/>
      <c r="AS144" s="103"/>
      <c r="AT144" s="103"/>
      <c r="AU144" s="101"/>
      <c r="AV144" s="101"/>
      <c r="AW144" s="101"/>
      <c r="AX144" s="101"/>
      <c r="AY144" s="101"/>
      <c r="AZ144" s="101"/>
      <c r="BA144" s="101"/>
      <c r="BB144" s="103"/>
      <c r="BC144" s="103"/>
      <c r="BD144" s="103"/>
      <c r="BE144" s="101"/>
      <c r="BF144" s="101"/>
      <c r="BG144" s="101"/>
      <c r="BH144" s="101"/>
      <c r="BI144" s="101"/>
      <c r="BM144" s="101"/>
      <c r="BN144" s="101"/>
      <c r="BO144" s="101"/>
      <c r="BP144" s="101"/>
      <c r="BQ144" s="101"/>
      <c r="BR144" s="101"/>
      <c r="BS144" s="101"/>
      <c r="BT144" s="104"/>
      <c r="BU144" s="104"/>
      <c r="BV144" s="104"/>
      <c r="BW144" s="104"/>
      <c r="BX144" s="104"/>
      <c r="BY144" s="104"/>
      <c r="BZ144" s="104"/>
      <c r="CA144" s="104"/>
      <c r="CB144" s="104"/>
      <c r="CC144" s="104"/>
      <c r="CD144" s="104"/>
      <c r="CE144" s="104"/>
      <c r="CF144" s="104"/>
      <c r="CG144" s="104"/>
      <c r="CH144" s="104"/>
      <c r="CI144" s="104"/>
      <c r="CJ144" s="104"/>
      <c r="CK144" s="104"/>
      <c r="CL144" s="104"/>
      <c r="CM144" s="104"/>
      <c r="CN144" s="104"/>
      <c r="CO144" s="104"/>
      <c r="CP144" s="98"/>
      <c r="CR144" s="101"/>
      <c r="CS144" s="101"/>
      <c r="CT144" s="101"/>
      <c r="CU144" s="101"/>
      <c r="CV144" s="101"/>
      <c r="FL144" s="103"/>
      <c r="FN144" s="103"/>
      <c r="FP144" s="103"/>
      <c r="FR144" s="103"/>
    </row>
    <row r="145" spans="2:174" x14ac:dyDescent="0.35">
      <c r="B145" s="97"/>
      <c r="G145" s="100"/>
      <c r="K145" s="98"/>
      <c r="L145" s="101"/>
      <c r="M145" s="101"/>
      <c r="N145" s="101"/>
      <c r="O145" s="101"/>
      <c r="P145" s="102"/>
      <c r="Q145" s="101"/>
      <c r="R145" s="98"/>
      <c r="S145" s="98"/>
      <c r="T145" s="98"/>
      <c r="U145" s="98"/>
      <c r="V145" s="98"/>
      <c r="W145" s="98"/>
      <c r="X145" s="98"/>
      <c r="Y145" s="98"/>
      <c r="Z145" s="103"/>
      <c r="AA145" s="103"/>
      <c r="AB145" s="103"/>
      <c r="AC145" s="103"/>
      <c r="AD145" s="103"/>
      <c r="AE145" s="103"/>
      <c r="AF145" s="103"/>
      <c r="AG145" s="101"/>
      <c r="AH145" s="101"/>
      <c r="AI145" s="101"/>
      <c r="AJ145" s="101"/>
      <c r="AK145" s="101"/>
      <c r="AL145" s="101"/>
      <c r="AM145" s="101"/>
      <c r="AN145" s="103"/>
      <c r="AO145" s="103"/>
      <c r="AP145" s="103"/>
      <c r="AQ145" s="103"/>
      <c r="AR145" s="103"/>
      <c r="AS145" s="103"/>
      <c r="AT145" s="103"/>
      <c r="AU145" s="101"/>
      <c r="AV145" s="101"/>
      <c r="AW145" s="101"/>
      <c r="AX145" s="101"/>
      <c r="AY145" s="101"/>
      <c r="AZ145" s="101"/>
      <c r="BA145" s="101"/>
      <c r="BB145" s="103"/>
      <c r="BC145" s="103"/>
      <c r="BD145" s="103"/>
      <c r="BE145" s="101"/>
      <c r="BF145" s="101"/>
      <c r="BG145" s="101"/>
      <c r="BH145" s="101"/>
      <c r="BI145" s="101"/>
      <c r="BM145" s="101"/>
      <c r="BN145" s="101"/>
      <c r="BO145" s="101"/>
      <c r="BP145" s="101"/>
      <c r="BQ145" s="101"/>
      <c r="BR145" s="101"/>
      <c r="BS145" s="101"/>
      <c r="BT145" s="104"/>
      <c r="BU145" s="104"/>
      <c r="BV145" s="104"/>
      <c r="BW145" s="104"/>
      <c r="BX145" s="104"/>
      <c r="BY145" s="104"/>
      <c r="BZ145" s="104"/>
      <c r="CA145" s="104"/>
      <c r="CB145" s="104"/>
      <c r="CC145" s="104"/>
      <c r="CD145" s="104"/>
      <c r="CE145" s="104"/>
      <c r="CF145" s="104"/>
      <c r="CG145" s="104"/>
      <c r="CH145" s="104"/>
      <c r="CI145" s="104"/>
      <c r="CJ145" s="104"/>
      <c r="CK145" s="104"/>
      <c r="CL145" s="104"/>
      <c r="CM145" s="104"/>
      <c r="CN145" s="104"/>
      <c r="CO145" s="104"/>
      <c r="CP145" s="98"/>
      <c r="CR145" s="101"/>
      <c r="CS145" s="101"/>
      <c r="CT145" s="101"/>
      <c r="CU145" s="101"/>
      <c r="CV145" s="101"/>
      <c r="FL145" s="103"/>
      <c r="FN145" s="103"/>
      <c r="FP145" s="103"/>
      <c r="FR145" s="103"/>
    </row>
    <row r="146" spans="2:174" x14ac:dyDescent="0.35">
      <c r="B146" s="97"/>
      <c r="G146" s="100"/>
      <c r="K146" s="98"/>
      <c r="L146" s="101"/>
      <c r="M146" s="101"/>
      <c r="N146" s="101"/>
      <c r="O146" s="101"/>
      <c r="P146" s="102"/>
      <c r="Q146" s="101"/>
      <c r="R146" s="98"/>
      <c r="S146" s="98"/>
      <c r="T146" s="98"/>
      <c r="U146" s="98"/>
      <c r="V146" s="98"/>
      <c r="W146" s="98"/>
      <c r="X146" s="98"/>
      <c r="Y146" s="98"/>
      <c r="Z146" s="103"/>
      <c r="AA146" s="103"/>
      <c r="AB146" s="103"/>
      <c r="AC146" s="103"/>
      <c r="AD146" s="103"/>
      <c r="AE146" s="103"/>
      <c r="AF146" s="103"/>
      <c r="AG146" s="101"/>
      <c r="AH146" s="101"/>
      <c r="AI146" s="101"/>
      <c r="AJ146" s="101"/>
      <c r="AK146" s="101"/>
      <c r="AL146" s="101"/>
      <c r="AM146" s="101"/>
      <c r="AN146" s="103"/>
      <c r="AO146" s="103"/>
      <c r="AP146" s="103"/>
      <c r="AQ146" s="103"/>
      <c r="AR146" s="103"/>
      <c r="AS146" s="103"/>
      <c r="AT146" s="103"/>
      <c r="AU146" s="101"/>
      <c r="AV146" s="101"/>
      <c r="AW146" s="101"/>
      <c r="AX146" s="101"/>
      <c r="AY146" s="101"/>
      <c r="AZ146" s="101"/>
      <c r="BA146" s="101"/>
      <c r="BB146" s="103"/>
      <c r="BC146" s="103"/>
      <c r="BD146" s="103"/>
      <c r="BE146" s="101"/>
      <c r="BF146" s="101"/>
      <c r="BG146" s="101"/>
      <c r="BH146" s="101"/>
      <c r="BI146" s="101"/>
      <c r="BM146" s="101"/>
      <c r="BN146" s="101"/>
      <c r="BO146" s="101"/>
      <c r="BP146" s="101"/>
      <c r="BQ146" s="101"/>
      <c r="BR146" s="101"/>
      <c r="BS146" s="101"/>
      <c r="BT146" s="104"/>
      <c r="BU146" s="104"/>
      <c r="BV146" s="104"/>
      <c r="BW146" s="104"/>
      <c r="BX146" s="104"/>
      <c r="BY146" s="104"/>
      <c r="BZ146" s="104"/>
      <c r="CA146" s="104"/>
      <c r="CB146" s="104"/>
      <c r="CC146" s="104"/>
      <c r="CD146" s="104"/>
      <c r="CE146" s="104"/>
      <c r="CF146" s="104"/>
      <c r="CG146" s="104"/>
      <c r="CH146" s="104"/>
      <c r="CI146" s="104"/>
      <c r="CJ146" s="104"/>
      <c r="CK146" s="104"/>
      <c r="CL146" s="104"/>
      <c r="CM146" s="104"/>
      <c r="CN146" s="104"/>
      <c r="CO146" s="104"/>
      <c r="CP146" s="98"/>
      <c r="CR146" s="101"/>
      <c r="CS146" s="101"/>
      <c r="CT146" s="101"/>
      <c r="CU146" s="101"/>
      <c r="CV146" s="101"/>
      <c r="FL146" s="103"/>
      <c r="FN146" s="103"/>
      <c r="FP146" s="103"/>
      <c r="FR146" s="103"/>
    </row>
    <row r="147" spans="2:174" x14ac:dyDescent="0.35">
      <c r="B147" s="97"/>
      <c r="G147" s="100"/>
      <c r="K147" s="98"/>
      <c r="L147" s="101"/>
      <c r="M147" s="101"/>
      <c r="N147" s="101"/>
      <c r="O147" s="101"/>
      <c r="P147" s="102"/>
      <c r="Q147" s="101"/>
      <c r="R147" s="98"/>
      <c r="S147" s="98"/>
      <c r="T147" s="98"/>
      <c r="U147" s="98"/>
      <c r="V147" s="98"/>
      <c r="W147" s="98"/>
      <c r="X147" s="98"/>
      <c r="Y147" s="98"/>
      <c r="Z147" s="103"/>
      <c r="AA147" s="103"/>
      <c r="AB147" s="103"/>
      <c r="AC147" s="103"/>
      <c r="AD147" s="103"/>
      <c r="AE147" s="103"/>
      <c r="AF147" s="103"/>
      <c r="AG147" s="101"/>
      <c r="AH147" s="101"/>
      <c r="AI147" s="101"/>
      <c r="AJ147" s="101"/>
      <c r="AK147" s="101"/>
      <c r="AL147" s="101"/>
      <c r="AM147" s="101"/>
      <c r="AN147" s="103"/>
      <c r="AO147" s="103"/>
      <c r="AP147" s="103"/>
      <c r="AQ147" s="103"/>
      <c r="AR147" s="103"/>
      <c r="AS147" s="103"/>
      <c r="AT147" s="103"/>
      <c r="AU147" s="101"/>
      <c r="AV147" s="101"/>
      <c r="AW147" s="101"/>
      <c r="AX147" s="101"/>
      <c r="AY147" s="101"/>
      <c r="AZ147" s="101"/>
      <c r="BA147" s="101"/>
      <c r="BB147" s="103"/>
      <c r="BC147" s="103"/>
      <c r="BD147" s="103"/>
      <c r="BE147" s="101"/>
      <c r="BF147" s="101"/>
      <c r="BG147" s="101"/>
      <c r="BH147" s="101"/>
      <c r="BI147" s="101"/>
      <c r="BM147" s="101"/>
      <c r="BN147" s="101"/>
      <c r="BO147" s="101"/>
      <c r="BP147" s="101"/>
      <c r="BQ147" s="101"/>
      <c r="BR147" s="101"/>
      <c r="BS147" s="101"/>
      <c r="BT147" s="104"/>
      <c r="BU147" s="104"/>
      <c r="BV147" s="104"/>
      <c r="BW147" s="104"/>
      <c r="BX147" s="104"/>
      <c r="BY147" s="104"/>
      <c r="BZ147" s="104"/>
      <c r="CA147" s="104"/>
      <c r="CB147" s="104"/>
      <c r="CC147" s="104"/>
      <c r="CD147" s="104"/>
      <c r="CE147" s="104"/>
      <c r="CF147" s="104"/>
      <c r="CG147" s="104"/>
      <c r="CH147" s="104"/>
      <c r="CI147" s="104"/>
      <c r="CJ147" s="104"/>
      <c r="CK147" s="104"/>
      <c r="CL147" s="104"/>
      <c r="CM147" s="104"/>
      <c r="CN147" s="104"/>
      <c r="CO147" s="104"/>
      <c r="CP147" s="98"/>
      <c r="CR147" s="101"/>
      <c r="CS147" s="101"/>
      <c r="CT147" s="101"/>
      <c r="CU147" s="101"/>
      <c r="CV147" s="101"/>
      <c r="FL147" s="103"/>
      <c r="FN147" s="103"/>
      <c r="FP147" s="103"/>
      <c r="FR147" s="103"/>
    </row>
    <row r="148" spans="2:174" x14ac:dyDescent="0.35">
      <c r="B148" s="97"/>
      <c r="G148" s="100"/>
      <c r="K148" s="98"/>
      <c r="L148" s="101"/>
      <c r="M148" s="101"/>
      <c r="N148" s="101"/>
      <c r="O148" s="101"/>
      <c r="P148" s="102"/>
      <c r="Q148" s="101"/>
      <c r="R148" s="98"/>
      <c r="S148" s="98"/>
      <c r="T148" s="98"/>
      <c r="U148" s="98"/>
      <c r="V148" s="98"/>
      <c r="W148" s="98"/>
      <c r="X148" s="98"/>
      <c r="Y148" s="98"/>
      <c r="Z148" s="103"/>
      <c r="AA148" s="103"/>
      <c r="AB148" s="103"/>
      <c r="AC148" s="103"/>
      <c r="AD148" s="103"/>
      <c r="AE148" s="103"/>
      <c r="AF148" s="103"/>
      <c r="AG148" s="101"/>
      <c r="AH148" s="101"/>
      <c r="AI148" s="101"/>
      <c r="AJ148" s="101"/>
      <c r="AK148" s="101"/>
      <c r="AL148" s="101"/>
      <c r="AM148" s="101"/>
      <c r="AN148" s="103"/>
      <c r="AO148" s="103"/>
      <c r="AP148" s="103"/>
      <c r="AQ148" s="103"/>
      <c r="AR148" s="103"/>
      <c r="AS148" s="103"/>
      <c r="AT148" s="103"/>
      <c r="AU148" s="101"/>
      <c r="AV148" s="101"/>
      <c r="AW148" s="101"/>
      <c r="AX148" s="101"/>
      <c r="AY148" s="101"/>
      <c r="AZ148" s="101"/>
      <c r="BA148" s="101"/>
      <c r="BB148" s="103"/>
      <c r="BC148" s="103"/>
      <c r="BD148" s="103"/>
      <c r="BE148" s="101"/>
      <c r="BF148" s="101"/>
      <c r="BG148" s="101"/>
      <c r="BH148" s="101"/>
      <c r="BI148" s="101"/>
      <c r="BM148" s="101"/>
      <c r="BN148" s="101"/>
      <c r="BO148" s="101"/>
      <c r="BP148" s="101"/>
      <c r="BQ148" s="101"/>
      <c r="BR148" s="101"/>
      <c r="BS148" s="101"/>
      <c r="BT148" s="104"/>
      <c r="BU148" s="104"/>
      <c r="BV148" s="104"/>
      <c r="BW148" s="104"/>
      <c r="BX148" s="104"/>
      <c r="BY148" s="104"/>
      <c r="BZ148" s="104"/>
      <c r="CA148" s="104"/>
      <c r="CB148" s="104"/>
      <c r="CC148" s="104"/>
      <c r="CD148" s="104"/>
      <c r="CE148" s="104"/>
      <c r="CF148" s="104"/>
      <c r="CG148" s="104"/>
      <c r="CH148" s="104"/>
      <c r="CI148" s="104"/>
      <c r="CJ148" s="104"/>
      <c r="CK148" s="104"/>
      <c r="CL148" s="104"/>
      <c r="CM148" s="104"/>
      <c r="CN148" s="104"/>
      <c r="CO148" s="104"/>
      <c r="CP148" s="98"/>
      <c r="CR148" s="101"/>
      <c r="CS148" s="101"/>
      <c r="CT148" s="101"/>
      <c r="CU148" s="101"/>
      <c r="CV148" s="101"/>
      <c r="FL148" s="103"/>
      <c r="FN148" s="103"/>
      <c r="FP148" s="103"/>
      <c r="FR148" s="103"/>
    </row>
    <row r="149" spans="2:174" x14ac:dyDescent="0.35">
      <c r="B149" s="97"/>
      <c r="G149" s="100"/>
      <c r="K149" s="98"/>
      <c r="L149" s="101"/>
      <c r="M149" s="101"/>
      <c r="N149" s="101"/>
      <c r="O149" s="101"/>
      <c r="P149" s="102"/>
      <c r="Q149" s="101"/>
      <c r="R149" s="98"/>
      <c r="S149" s="98"/>
      <c r="T149" s="98"/>
      <c r="U149" s="98"/>
      <c r="V149" s="98"/>
      <c r="W149" s="98"/>
      <c r="X149" s="98"/>
      <c r="Y149" s="98"/>
      <c r="Z149" s="103"/>
      <c r="AA149" s="103"/>
      <c r="AB149" s="103"/>
      <c r="AC149" s="103"/>
      <c r="AD149" s="103"/>
      <c r="AE149" s="103"/>
      <c r="AF149" s="103"/>
      <c r="AG149" s="101"/>
      <c r="AH149" s="101"/>
      <c r="AI149" s="101"/>
      <c r="AJ149" s="101"/>
      <c r="AK149" s="101"/>
      <c r="AL149" s="101"/>
      <c r="AM149" s="101"/>
      <c r="AN149" s="103"/>
      <c r="AO149" s="103"/>
      <c r="AP149" s="103"/>
      <c r="AQ149" s="103"/>
      <c r="AR149" s="103"/>
      <c r="AS149" s="103"/>
      <c r="AT149" s="103"/>
      <c r="AU149" s="101"/>
      <c r="AV149" s="101"/>
      <c r="AW149" s="101"/>
      <c r="AX149" s="101"/>
      <c r="AY149" s="101"/>
      <c r="AZ149" s="101"/>
      <c r="BA149" s="101"/>
      <c r="BB149" s="103"/>
      <c r="BC149" s="103"/>
      <c r="BD149" s="103"/>
      <c r="BE149" s="101"/>
      <c r="BF149" s="101"/>
      <c r="BG149" s="101"/>
      <c r="BH149" s="101"/>
      <c r="BI149" s="101"/>
      <c r="BM149" s="101"/>
      <c r="BN149" s="101"/>
      <c r="BO149" s="101"/>
      <c r="BP149" s="101"/>
      <c r="BQ149" s="101"/>
      <c r="BR149" s="101"/>
      <c r="BS149" s="101"/>
      <c r="BT149" s="104"/>
      <c r="BU149" s="104"/>
      <c r="BV149" s="104"/>
      <c r="BW149" s="104"/>
      <c r="BX149" s="104"/>
      <c r="BY149" s="104"/>
      <c r="BZ149" s="104"/>
      <c r="CA149" s="104"/>
      <c r="CB149" s="104"/>
      <c r="CC149" s="104"/>
      <c r="CD149" s="104"/>
      <c r="CE149" s="104"/>
      <c r="CF149" s="104"/>
      <c r="CG149" s="104"/>
      <c r="CH149" s="104"/>
      <c r="CI149" s="104"/>
      <c r="CJ149" s="104"/>
      <c r="CK149" s="104"/>
      <c r="CL149" s="104"/>
      <c r="CM149" s="104"/>
      <c r="CN149" s="104"/>
      <c r="CO149" s="104"/>
      <c r="CP149" s="98"/>
      <c r="CR149" s="101"/>
      <c r="CS149" s="101"/>
      <c r="CT149" s="101"/>
      <c r="CU149" s="101"/>
      <c r="CV149" s="101"/>
      <c r="FL149" s="103"/>
      <c r="FN149" s="103"/>
      <c r="FP149" s="103"/>
      <c r="FR149" s="103"/>
    </row>
    <row r="150" spans="2:174" x14ac:dyDescent="0.35">
      <c r="B150" s="97"/>
      <c r="G150" s="100"/>
      <c r="K150" s="98"/>
      <c r="L150" s="101"/>
      <c r="M150" s="101"/>
      <c r="N150" s="101"/>
      <c r="O150" s="101"/>
      <c r="P150" s="102"/>
      <c r="Q150" s="101"/>
      <c r="R150" s="98"/>
      <c r="S150" s="98"/>
      <c r="T150" s="98"/>
      <c r="U150" s="98"/>
      <c r="V150" s="98"/>
      <c r="W150" s="98"/>
      <c r="X150" s="98"/>
      <c r="Y150" s="98"/>
      <c r="Z150" s="103"/>
      <c r="AA150" s="103"/>
      <c r="AB150" s="103"/>
      <c r="AC150" s="103"/>
      <c r="AD150" s="103"/>
      <c r="AE150" s="103"/>
      <c r="AF150" s="103"/>
      <c r="AG150" s="101"/>
      <c r="AH150" s="101"/>
      <c r="AI150" s="101"/>
      <c r="AJ150" s="101"/>
      <c r="AK150" s="101"/>
      <c r="AL150" s="101"/>
      <c r="AM150" s="101"/>
      <c r="AN150" s="103"/>
      <c r="AO150" s="103"/>
      <c r="AP150" s="103"/>
      <c r="AQ150" s="103"/>
      <c r="AR150" s="103"/>
      <c r="AS150" s="103"/>
      <c r="AT150" s="103"/>
      <c r="AU150" s="101"/>
      <c r="AV150" s="101"/>
      <c r="AW150" s="101"/>
      <c r="AX150" s="101"/>
      <c r="AY150" s="101"/>
      <c r="AZ150" s="101"/>
      <c r="BA150" s="101"/>
      <c r="BB150" s="103"/>
      <c r="BC150" s="103"/>
      <c r="BD150" s="103"/>
      <c r="BE150" s="101"/>
      <c r="BF150" s="101"/>
      <c r="BG150" s="101"/>
      <c r="BH150" s="101"/>
      <c r="BI150" s="101"/>
      <c r="BM150" s="101"/>
      <c r="BN150" s="101"/>
      <c r="BO150" s="101"/>
      <c r="BP150" s="101"/>
      <c r="BQ150" s="101"/>
      <c r="BR150" s="101"/>
      <c r="BS150" s="101"/>
      <c r="BT150" s="104"/>
      <c r="BU150" s="104"/>
      <c r="BV150" s="104"/>
      <c r="BW150" s="104"/>
      <c r="BX150" s="104"/>
      <c r="BY150" s="104"/>
      <c r="BZ150" s="104"/>
      <c r="CA150" s="104"/>
      <c r="CB150" s="104"/>
      <c r="CC150" s="104"/>
      <c r="CD150" s="104"/>
      <c r="CE150" s="104"/>
      <c r="CF150" s="104"/>
      <c r="CG150" s="104"/>
      <c r="CH150" s="104"/>
      <c r="CI150" s="104"/>
      <c r="CJ150" s="104"/>
      <c r="CK150" s="104"/>
      <c r="CL150" s="104"/>
      <c r="CM150" s="104"/>
      <c r="CN150" s="104"/>
      <c r="CO150" s="104"/>
      <c r="CP150" s="98"/>
      <c r="CR150" s="101"/>
      <c r="CS150" s="101"/>
      <c r="CT150" s="101"/>
      <c r="CU150" s="101"/>
      <c r="CV150" s="101"/>
      <c r="FL150" s="103"/>
      <c r="FN150" s="103"/>
      <c r="FP150" s="103"/>
      <c r="FR150" s="103"/>
    </row>
    <row r="151" spans="2:174" x14ac:dyDescent="0.35">
      <c r="B151" s="97"/>
      <c r="G151" s="100"/>
      <c r="K151" s="98"/>
      <c r="L151" s="101"/>
      <c r="M151" s="101"/>
      <c r="N151" s="101"/>
      <c r="O151" s="101"/>
      <c r="P151" s="102"/>
      <c r="Q151" s="101"/>
      <c r="R151" s="98"/>
      <c r="S151" s="98"/>
      <c r="T151" s="98"/>
      <c r="U151" s="98"/>
      <c r="V151" s="98"/>
      <c r="W151" s="98"/>
      <c r="X151" s="98"/>
      <c r="Y151" s="98"/>
      <c r="Z151" s="103"/>
      <c r="AA151" s="103"/>
      <c r="AB151" s="103"/>
      <c r="AC151" s="103"/>
      <c r="AD151" s="103"/>
      <c r="AE151" s="103"/>
      <c r="AF151" s="103"/>
      <c r="AG151" s="101"/>
      <c r="AH151" s="101"/>
      <c r="AI151" s="101"/>
      <c r="AJ151" s="101"/>
      <c r="AK151" s="101"/>
      <c r="AL151" s="101"/>
      <c r="AM151" s="101"/>
      <c r="AN151" s="103"/>
      <c r="AO151" s="103"/>
      <c r="AP151" s="103"/>
      <c r="AQ151" s="103"/>
      <c r="AR151" s="103"/>
      <c r="AS151" s="103"/>
      <c r="AT151" s="103"/>
      <c r="AU151" s="101"/>
      <c r="AV151" s="101"/>
      <c r="AW151" s="101"/>
      <c r="AX151" s="101"/>
      <c r="AY151" s="101"/>
      <c r="AZ151" s="101"/>
      <c r="BA151" s="101"/>
      <c r="BB151" s="103"/>
      <c r="BC151" s="103"/>
      <c r="BD151" s="103"/>
      <c r="BE151" s="101"/>
      <c r="BF151" s="101"/>
      <c r="BG151" s="101"/>
      <c r="BH151" s="101"/>
      <c r="BI151" s="101"/>
      <c r="BM151" s="101"/>
      <c r="BN151" s="101"/>
      <c r="BO151" s="101"/>
      <c r="BP151" s="101"/>
      <c r="BQ151" s="101"/>
      <c r="BR151" s="101"/>
      <c r="BS151" s="101"/>
      <c r="BT151" s="104"/>
      <c r="BU151" s="104"/>
      <c r="BV151" s="104"/>
      <c r="BW151" s="104"/>
      <c r="BX151" s="104"/>
      <c r="BY151" s="104"/>
      <c r="BZ151" s="104"/>
      <c r="CA151" s="104"/>
      <c r="CB151" s="104"/>
      <c r="CC151" s="104"/>
      <c r="CD151" s="104"/>
      <c r="CE151" s="104"/>
      <c r="CF151" s="104"/>
      <c r="CG151" s="104"/>
      <c r="CH151" s="104"/>
      <c r="CI151" s="104"/>
      <c r="CJ151" s="104"/>
      <c r="CK151" s="104"/>
      <c r="CL151" s="104"/>
      <c r="CM151" s="104"/>
      <c r="CN151" s="104"/>
      <c r="CO151" s="104"/>
      <c r="CP151" s="98"/>
      <c r="CR151" s="101"/>
      <c r="CS151" s="101"/>
      <c r="CT151" s="101"/>
      <c r="CU151" s="101"/>
      <c r="CV151" s="101"/>
      <c r="FL151" s="103"/>
      <c r="FN151" s="103"/>
      <c r="FP151" s="103"/>
      <c r="FR151" s="103"/>
    </row>
    <row r="152" spans="2:174" x14ac:dyDescent="0.35">
      <c r="B152" s="97"/>
      <c r="G152" s="100"/>
      <c r="K152" s="98"/>
      <c r="L152" s="101"/>
      <c r="M152" s="101"/>
      <c r="N152" s="101"/>
      <c r="O152" s="101"/>
      <c r="P152" s="102"/>
      <c r="Q152" s="101"/>
      <c r="R152" s="98"/>
      <c r="S152" s="98"/>
      <c r="T152" s="98"/>
      <c r="U152" s="98"/>
      <c r="V152" s="98"/>
      <c r="W152" s="98"/>
      <c r="X152" s="98"/>
      <c r="Y152" s="98"/>
      <c r="Z152" s="103"/>
      <c r="AA152" s="103"/>
      <c r="AB152" s="103"/>
      <c r="AC152" s="103"/>
      <c r="AD152" s="103"/>
      <c r="AE152" s="103"/>
      <c r="AF152" s="103"/>
      <c r="AG152" s="101"/>
      <c r="AH152" s="101"/>
      <c r="AI152" s="101"/>
      <c r="AJ152" s="101"/>
      <c r="AK152" s="101"/>
      <c r="AL152" s="101"/>
      <c r="AM152" s="101"/>
      <c r="AN152" s="103"/>
      <c r="AO152" s="103"/>
      <c r="AP152" s="103"/>
      <c r="AQ152" s="103"/>
      <c r="AR152" s="103"/>
      <c r="AS152" s="103"/>
      <c r="AT152" s="103"/>
      <c r="AU152" s="101"/>
      <c r="AV152" s="101"/>
      <c r="AW152" s="101"/>
      <c r="AX152" s="101"/>
      <c r="AY152" s="101"/>
      <c r="AZ152" s="101"/>
      <c r="BA152" s="101"/>
      <c r="BB152" s="103"/>
      <c r="BC152" s="103"/>
      <c r="BD152" s="103"/>
      <c r="BE152" s="101"/>
      <c r="BF152" s="101"/>
      <c r="BG152" s="101"/>
      <c r="BH152" s="101"/>
      <c r="BI152" s="101"/>
      <c r="BM152" s="101"/>
      <c r="BN152" s="101"/>
      <c r="BO152" s="101"/>
      <c r="BP152" s="101"/>
      <c r="BQ152" s="101"/>
      <c r="BR152" s="101"/>
      <c r="BS152" s="101"/>
      <c r="BT152" s="104"/>
      <c r="BU152" s="104"/>
      <c r="BV152" s="104"/>
      <c r="BW152" s="104"/>
      <c r="BX152" s="104"/>
      <c r="BY152" s="104"/>
      <c r="BZ152" s="104"/>
      <c r="CA152" s="104"/>
      <c r="CB152" s="104"/>
      <c r="CC152" s="104"/>
      <c r="CD152" s="104"/>
      <c r="CE152" s="104"/>
      <c r="CF152" s="104"/>
      <c r="CG152" s="104"/>
      <c r="CH152" s="104"/>
      <c r="CI152" s="104"/>
      <c r="CJ152" s="104"/>
      <c r="CK152" s="104"/>
      <c r="CL152" s="104"/>
      <c r="CM152" s="104"/>
      <c r="CN152" s="104"/>
      <c r="CO152" s="104"/>
      <c r="CP152" s="98"/>
      <c r="CR152" s="101"/>
      <c r="CS152" s="101"/>
      <c r="CT152" s="101"/>
      <c r="CU152" s="101"/>
      <c r="CV152" s="101"/>
      <c r="FL152" s="103"/>
      <c r="FN152" s="103"/>
      <c r="FP152" s="103"/>
      <c r="FR152" s="103"/>
    </row>
    <row r="153" spans="2:174" x14ac:dyDescent="0.35">
      <c r="B153" s="97"/>
      <c r="G153" s="100"/>
      <c r="K153" s="98"/>
      <c r="L153" s="101"/>
      <c r="M153" s="101"/>
      <c r="N153" s="101"/>
      <c r="O153" s="101"/>
      <c r="P153" s="102"/>
      <c r="Q153" s="101"/>
      <c r="R153" s="98"/>
      <c r="S153" s="98"/>
      <c r="T153" s="98"/>
      <c r="U153" s="98"/>
      <c r="V153" s="98"/>
      <c r="W153" s="98"/>
      <c r="X153" s="98"/>
      <c r="Y153" s="98"/>
      <c r="Z153" s="103"/>
      <c r="AA153" s="103"/>
      <c r="AB153" s="103"/>
      <c r="AC153" s="103"/>
      <c r="AD153" s="103"/>
      <c r="AE153" s="103"/>
      <c r="AF153" s="103"/>
      <c r="AG153" s="101"/>
      <c r="AH153" s="101"/>
      <c r="AI153" s="101"/>
      <c r="AJ153" s="101"/>
      <c r="AK153" s="101"/>
      <c r="AL153" s="101"/>
      <c r="AM153" s="101"/>
      <c r="AN153" s="103"/>
      <c r="AO153" s="103"/>
      <c r="AP153" s="103"/>
      <c r="AQ153" s="103"/>
      <c r="AR153" s="103"/>
      <c r="AS153" s="103"/>
      <c r="AT153" s="103"/>
      <c r="AU153" s="101"/>
      <c r="AV153" s="101"/>
      <c r="AW153" s="101"/>
      <c r="AX153" s="101"/>
      <c r="AY153" s="101"/>
      <c r="AZ153" s="101"/>
      <c r="BA153" s="101"/>
      <c r="BB153" s="103"/>
      <c r="BC153" s="103"/>
      <c r="BD153" s="103"/>
      <c r="BE153" s="101"/>
      <c r="BF153" s="101"/>
      <c r="BG153" s="101"/>
      <c r="BH153" s="101"/>
      <c r="BI153" s="101"/>
      <c r="BM153" s="101"/>
      <c r="BN153" s="101"/>
      <c r="BO153" s="101"/>
      <c r="BP153" s="101"/>
      <c r="BQ153" s="101"/>
      <c r="BR153" s="101"/>
      <c r="BS153" s="101"/>
      <c r="BT153" s="104"/>
      <c r="BU153" s="104"/>
      <c r="BV153" s="104"/>
      <c r="BW153" s="104"/>
      <c r="BX153" s="104"/>
      <c r="BY153" s="104"/>
      <c r="BZ153" s="104"/>
      <c r="CA153" s="104"/>
      <c r="CB153" s="104"/>
      <c r="CC153" s="104"/>
      <c r="CD153" s="104"/>
      <c r="CE153" s="104"/>
      <c r="CF153" s="104"/>
      <c r="CG153" s="104"/>
      <c r="CH153" s="104"/>
      <c r="CI153" s="104"/>
      <c r="CJ153" s="104"/>
      <c r="CK153" s="104"/>
      <c r="CL153" s="104"/>
      <c r="CM153" s="104"/>
      <c r="CN153" s="104"/>
      <c r="CO153" s="104"/>
      <c r="CP153" s="98"/>
      <c r="CR153" s="101"/>
      <c r="CS153" s="101"/>
      <c r="CT153" s="101"/>
      <c r="CU153" s="101"/>
      <c r="CV153" s="101"/>
      <c r="FL153" s="103"/>
      <c r="FN153" s="103"/>
      <c r="FP153" s="103"/>
      <c r="FR153" s="103"/>
    </row>
    <row r="154" spans="2:174" x14ac:dyDescent="0.35">
      <c r="B154" s="97"/>
      <c r="G154" s="100"/>
      <c r="K154" s="98"/>
      <c r="L154" s="101"/>
      <c r="M154" s="101"/>
      <c r="N154" s="101"/>
      <c r="O154" s="101"/>
      <c r="P154" s="102"/>
      <c r="Q154" s="101"/>
      <c r="R154" s="98"/>
      <c r="S154" s="98"/>
      <c r="T154" s="98"/>
      <c r="U154" s="98"/>
      <c r="V154" s="98"/>
      <c r="W154" s="98"/>
      <c r="X154" s="98"/>
      <c r="Y154" s="98"/>
      <c r="Z154" s="103"/>
      <c r="AA154" s="103"/>
      <c r="AB154" s="103"/>
      <c r="AC154" s="103"/>
      <c r="AD154" s="103"/>
      <c r="AE154" s="103"/>
      <c r="AF154" s="103"/>
      <c r="AG154" s="101"/>
      <c r="AH154" s="101"/>
      <c r="AI154" s="101"/>
      <c r="AJ154" s="101"/>
      <c r="AK154" s="101"/>
      <c r="AL154" s="101"/>
      <c r="AM154" s="101"/>
      <c r="AN154" s="103"/>
      <c r="AO154" s="103"/>
      <c r="AP154" s="103"/>
      <c r="AQ154" s="103"/>
      <c r="AR154" s="103"/>
      <c r="AS154" s="103"/>
      <c r="AT154" s="103"/>
      <c r="AU154" s="101"/>
      <c r="AV154" s="101"/>
      <c r="AW154" s="101"/>
      <c r="AX154" s="101"/>
      <c r="AY154" s="101"/>
      <c r="AZ154" s="101"/>
      <c r="BA154" s="101"/>
      <c r="BB154" s="103"/>
      <c r="BC154" s="103"/>
      <c r="BD154" s="103"/>
      <c r="BE154" s="101"/>
      <c r="BF154" s="101"/>
      <c r="BG154" s="101"/>
      <c r="BH154" s="101"/>
      <c r="BI154" s="101"/>
      <c r="BM154" s="101"/>
      <c r="BN154" s="101"/>
      <c r="BO154" s="101"/>
      <c r="BP154" s="101"/>
      <c r="BQ154" s="101"/>
      <c r="BR154" s="101"/>
      <c r="BS154" s="101"/>
      <c r="BT154" s="104"/>
      <c r="BU154" s="104"/>
      <c r="BV154" s="104"/>
      <c r="BW154" s="104"/>
      <c r="BX154" s="104"/>
      <c r="BY154" s="104"/>
      <c r="BZ154" s="104"/>
      <c r="CA154" s="104"/>
      <c r="CB154" s="104"/>
      <c r="CC154" s="104"/>
      <c r="CD154" s="104"/>
      <c r="CE154" s="104"/>
      <c r="CF154" s="104"/>
      <c r="CG154" s="104"/>
      <c r="CH154" s="104"/>
      <c r="CI154" s="104"/>
      <c r="CJ154" s="104"/>
      <c r="CK154" s="104"/>
      <c r="CL154" s="104"/>
      <c r="CM154" s="104"/>
      <c r="CN154" s="104"/>
      <c r="CO154" s="104"/>
      <c r="CP154" s="98"/>
      <c r="CR154" s="101"/>
      <c r="CS154" s="101"/>
      <c r="CT154" s="101"/>
      <c r="CU154" s="101"/>
      <c r="CV154" s="101"/>
      <c r="FL154" s="103"/>
      <c r="FN154" s="103"/>
      <c r="FP154" s="103"/>
      <c r="FR154" s="103"/>
    </row>
    <row r="155" spans="2:174" x14ac:dyDescent="0.35">
      <c r="B155" s="97"/>
      <c r="G155" s="100"/>
      <c r="K155" s="98"/>
      <c r="L155" s="101"/>
      <c r="M155" s="101"/>
      <c r="N155" s="101"/>
      <c r="O155" s="101"/>
      <c r="P155" s="102"/>
      <c r="Q155" s="101"/>
      <c r="R155" s="98"/>
      <c r="S155" s="98"/>
      <c r="T155" s="98"/>
      <c r="U155" s="98"/>
      <c r="V155" s="98"/>
      <c r="W155" s="98"/>
      <c r="X155" s="98"/>
      <c r="Y155" s="98"/>
      <c r="Z155" s="103"/>
      <c r="AA155" s="103"/>
      <c r="AB155" s="103"/>
      <c r="AC155" s="103"/>
      <c r="AD155" s="103"/>
      <c r="AE155" s="103"/>
      <c r="AF155" s="103"/>
      <c r="AG155" s="101"/>
      <c r="AH155" s="101"/>
      <c r="AI155" s="101"/>
      <c r="AJ155" s="101"/>
      <c r="AK155" s="101"/>
      <c r="AL155" s="101"/>
      <c r="AM155" s="101"/>
      <c r="AN155" s="103"/>
      <c r="AO155" s="103"/>
      <c r="AP155" s="103"/>
      <c r="AQ155" s="103"/>
      <c r="AR155" s="103"/>
      <c r="AS155" s="103"/>
      <c r="AT155" s="103"/>
      <c r="AU155" s="101"/>
      <c r="AV155" s="101"/>
      <c r="AW155" s="101"/>
      <c r="AX155" s="101"/>
      <c r="AY155" s="101"/>
      <c r="AZ155" s="101"/>
      <c r="BA155" s="101"/>
      <c r="BB155" s="103"/>
      <c r="BC155" s="103"/>
      <c r="BD155" s="103"/>
      <c r="BE155" s="101"/>
      <c r="BF155" s="101"/>
      <c r="BG155" s="101"/>
      <c r="BH155" s="101"/>
      <c r="BI155" s="101"/>
      <c r="BM155" s="101"/>
      <c r="BN155" s="101"/>
      <c r="BO155" s="101"/>
      <c r="BP155" s="101"/>
      <c r="BQ155" s="101"/>
      <c r="BR155" s="101"/>
      <c r="BS155" s="101"/>
      <c r="BT155" s="104"/>
      <c r="BU155" s="104"/>
      <c r="BV155" s="104"/>
      <c r="BW155" s="104"/>
      <c r="BX155" s="104"/>
      <c r="BY155" s="104"/>
      <c r="BZ155" s="104"/>
      <c r="CA155" s="104"/>
      <c r="CB155" s="104"/>
      <c r="CC155" s="104"/>
      <c r="CD155" s="104"/>
      <c r="CE155" s="104"/>
      <c r="CF155" s="104"/>
      <c r="CG155" s="104"/>
      <c r="CH155" s="104"/>
      <c r="CI155" s="104"/>
      <c r="CJ155" s="104"/>
      <c r="CK155" s="104"/>
      <c r="CL155" s="104"/>
      <c r="CM155" s="104"/>
      <c r="CN155" s="104"/>
      <c r="CO155" s="104"/>
      <c r="CP155" s="98"/>
      <c r="CR155" s="101"/>
      <c r="CS155" s="101"/>
      <c r="CT155" s="101"/>
      <c r="CU155" s="101"/>
      <c r="CV155" s="101"/>
      <c r="FL155" s="103"/>
      <c r="FN155" s="103"/>
      <c r="FP155" s="103"/>
      <c r="FR155" s="103"/>
    </row>
    <row r="156" spans="2:174" x14ac:dyDescent="0.35">
      <c r="B156" s="97"/>
      <c r="G156" s="100"/>
      <c r="K156" s="98"/>
      <c r="L156" s="101"/>
      <c r="M156" s="101"/>
      <c r="N156" s="101"/>
      <c r="O156" s="101"/>
      <c r="P156" s="102"/>
      <c r="Q156" s="101"/>
      <c r="R156" s="98"/>
      <c r="S156" s="98"/>
      <c r="T156" s="98"/>
      <c r="U156" s="98"/>
      <c r="V156" s="98"/>
      <c r="W156" s="98"/>
      <c r="X156" s="98"/>
      <c r="Y156" s="98"/>
      <c r="Z156" s="103"/>
      <c r="AA156" s="103"/>
      <c r="AB156" s="103"/>
      <c r="AC156" s="103"/>
      <c r="AD156" s="103"/>
      <c r="AE156" s="103"/>
      <c r="AF156" s="103"/>
      <c r="AG156" s="101"/>
      <c r="AH156" s="101"/>
      <c r="AI156" s="101"/>
      <c r="AJ156" s="101"/>
      <c r="AK156" s="101"/>
      <c r="AL156" s="101"/>
      <c r="AM156" s="101"/>
      <c r="AN156" s="103"/>
      <c r="AO156" s="103"/>
      <c r="AP156" s="103"/>
      <c r="AQ156" s="103"/>
      <c r="AR156" s="103"/>
      <c r="AS156" s="103"/>
      <c r="AT156" s="103"/>
      <c r="AU156" s="101"/>
      <c r="AV156" s="101"/>
      <c r="AW156" s="101"/>
      <c r="AX156" s="101"/>
      <c r="AY156" s="101"/>
      <c r="AZ156" s="101"/>
      <c r="BA156" s="101"/>
      <c r="BB156" s="103"/>
      <c r="BC156" s="103"/>
      <c r="BD156" s="103"/>
      <c r="BE156" s="101"/>
      <c r="BF156" s="101"/>
      <c r="BG156" s="101"/>
      <c r="BH156" s="101"/>
      <c r="BI156" s="101"/>
      <c r="BM156" s="101"/>
      <c r="BN156" s="101"/>
      <c r="BO156" s="101"/>
      <c r="BP156" s="101"/>
      <c r="BQ156" s="101"/>
      <c r="BR156" s="101"/>
      <c r="BS156" s="101"/>
      <c r="BT156" s="104"/>
      <c r="BU156" s="104"/>
      <c r="BV156" s="104"/>
      <c r="BW156" s="104"/>
      <c r="BX156" s="104"/>
      <c r="BY156" s="104"/>
      <c r="BZ156" s="104"/>
      <c r="CA156" s="104"/>
      <c r="CB156" s="104"/>
      <c r="CC156" s="104"/>
      <c r="CD156" s="104"/>
      <c r="CE156" s="104"/>
      <c r="CF156" s="104"/>
      <c r="CG156" s="104"/>
      <c r="CH156" s="104"/>
      <c r="CI156" s="104"/>
      <c r="CJ156" s="104"/>
      <c r="CK156" s="104"/>
      <c r="CL156" s="104"/>
      <c r="CM156" s="104"/>
      <c r="CN156" s="104"/>
      <c r="CO156" s="104"/>
      <c r="CP156" s="98"/>
      <c r="CR156" s="101"/>
      <c r="CS156" s="101"/>
      <c r="CT156" s="101"/>
      <c r="CU156" s="101"/>
      <c r="CV156" s="101"/>
      <c r="FL156" s="103"/>
      <c r="FN156" s="103"/>
      <c r="FP156" s="103"/>
      <c r="FR156" s="103"/>
    </row>
    <row r="157" spans="2:174" x14ac:dyDescent="0.35">
      <c r="B157" s="97"/>
      <c r="G157" s="100"/>
      <c r="K157" s="98"/>
      <c r="L157" s="101"/>
      <c r="M157" s="101"/>
      <c r="N157" s="101"/>
      <c r="O157" s="101"/>
      <c r="P157" s="102"/>
      <c r="Q157" s="101"/>
      <c r="R157" s="98"/>
      <c r="S157" s="98"/>
      <c r="T157" s="98"/>
      <c r="U157" s="98"/>
      <c r="V157" s="98"/>
      <c r="W157" s="98"/>
      <c r="X157" s="98"/>
      <c r="Y157" s="98"/>
      <c r="Z157" s="103"/>
      <c r="AA157" s="103"/>
      <c r="AB157" s="103"/>
      <c r="AC157" s="103"/>
      <c r="AD157" s="103"/>
      <c r="AE157" s="103"/>
      <c r="AF157" s="103"/>
      <c r="AG157" s="101"/>
      <c r="AH157" s="101"/>
      <c r="AI157" s="101"/>
      <c r="AJ157" s="101"/>
      <c r="AK157" s="101"/>
      <c r="AL157" s="101"/>
      <c r="AM157" s="101"/>
      <c r="AN157" s="103"/>
      <c r="AO157" s="103"/>
      <c r="AP157" s="103"/>
      <c r="AQ157" s="103"/>
      <c r="AR157" s="103"/>
      <c r="AS157" s="103"/>
      <c r="AT157" s="103"/>
      <c r="AU157" s="101"/>
      <c r="AV157" s="101"/>
      <c r="AW157" s="101"/>
      <c r="AX157" s="101"/>
      <c r="AY157" s="101"/>
      <c r="AZ157" s="101"/>
      <c r="BA157" s="101"/>
      <c r="BB157" s="103"/>
      <c r="BC157" s="103"/>
      <c r="BD157" s="103"/>
      <c r="BE157" s="101"/>
      <c r="BF157" s="101"/>
      <c r="BG157" s="101"/>
      <c r="BH157" s="101"/>
      <c r="BI157" s="101"/>
      <c r="BM157" s="101"/>
      <c r="BN157" s="101"/>
      <c r="BO157" s="101"/>
      <c r="BP157" s="101"/>
      <c r="BQ157" s="101"/>
      <c r="BR157" s="101"/>
      <c r="BS157" s="101"/>
      <c r="BT157" s="104"/>
      <c r="BU157" s="104"/>
      <c r="BV157" s="104"/>
      <c r="BW157" s="104"/>
      <c r="BX157" s="104"/>
      <c r="BY157" s="104"/>
      <c r="BZ157" s="104"/>
      <c r="CA157" s="104"/>
      <c r="CB157" s="104"/>
      <c r="CC157" s="104"/>
      <c r="CD157" s="104"/>
      <c r="CE157" s="104"/>
      <c r="CF157" s="104"/>
      <c r="CG157" s="104"/>
      <c r="CH157" s="104"/>
      <c r="CI157" s="104"/>
      <c r="CJ157" s="104"/>
      <c r="CK157" s="104"/>
      <c r="CL157" s="104"/>
      <c r="CM157" s="104"/>
      <c r="CN157" s="104"/>
      <c r="CO157" s="104"/>
      <c r="CP157" s="98"/>
      <c r="CR157" s="101"/>
      <c r="CS157" s="101"/>
      <c r="CT157" s="101"/>
      <c r="CU157" s="101"/>
      <c r="CV157" s="101"/>
      <c r="FL157" s="103"/>
      <c r="FN157" s="103"/>
      <c r="FP157" s="103"/>
      <c r="FR157" s="103"/>
    </row>
    <row r="158" spans="2:174" x14ac:dyDescent="0.35">
      <c r="B158" s="97"/>
      <c r="G158" s="100"/>
      <c r="K158" s="98"/>
      <c r="L158" s="101"/>
      <c r="M158" s="101"/>
      <c r="N158" s="101"/>
      <c r="O158" s="101"/>
      <c r="P158" s="102"/>
      <c r="Q158" s="101"/>
      <c r="R158" s="98"/>
      <c r="S158" s="98"/>
      <c r="T158" s="98"/>
      <c r="U158" s="98"/>
      <c r="V158" s="98"/>
      <c r="W158" s="98"/>
      <c r="X158" s="98"/>
      <c r="Y158" s="98"/>
      <c r="Z158" s="103"/>
      <c r="AA158" s="103"/>
      <c r="AB158" s="103"/>
      <c r="AC158" s="103"/>
      <c r="AD158" s="103"/>
      <c r="AE158" s="103"/>
      <c r="AF158" s="103"/>
      <c r="AG158" s="101"/>
      <c r="AH158" s="101"/>
      <c r="AI158" s="101"/>
      <c r="AJ158" s="101"/>
      <c r="AK158" s="101"/>
      <c r="AL158" s="101"/>
      <c r="AM158" s="101"/>
      <c r="AN158" s="103"/>
      <c r="AO158" s="103"/>
      <c r="AP158" s="103"/>
      <c r="AQ158" s="103"/>
      <c r="AR158" s="103"/>
      <c r="AS158" s="103"/>
      <c r="AT158" s="103"/>
      <c r="AU158" s="101"/>
      <c r="AV158" s="101"/>
      <c r="AW158" s="101"/>
      <c r="AX158" s="101"/>
      <c r="AY158" s="101"/>
      <c r="AZ158" s="101"/>
      <c r="BA158" s="101"/>
      <c r="BB158" s="103"/>
      <c r="BC158" s="103"/>
      <c r="BD158" s="103"/>
      <c r="BE158" s="101"/>
      <c r="BF158" s="101"/>
      <c r="BG158" s="101"/>
      <c r="BH158" s="101"/>
      <c r="BI158" s="101"/>
      <c r="BM158" s="101"/>
      <c r="BN158" s="101"/>
      <c r="BO158" s="101"/>
      <c r="BP158" s="101"/>
      <c r="BQ158" s="101"/>
      <c r="BR158" s="101"/>
      <c r="BS158" s="101"/>
      <c r="BT158" s="104"/>
      <c r="BU158" s="104"/>
      <c r="BV158" s="104"/>
      <c r="BW158" s="104"/>
      <c r="BX158" s="104"/>
      <c r="BY158" s="104"/>
      <c r="BZ158" s="104"/>
      <c r="CA158" s="104"/>
      <c r="CB158" s="104"/>
      <c r="CC158" s="104"/>
      <c r="CD158" s="104"/>
      <c r="CE158" s="104"/>
      <c r="CF158" s="104"/>
      <c r="CG158" s="104"/>
      <c r="CH158" s="104"/>
      <c r="CI158" s="104"/>
      <c r="CJ158" s="104"/>
      <c r="CK158" s="104"/>
      <c r="CL158" s="104"/>
      <c r="CM158" s="104"/>
      <c r="CN158" s="104"/>
      <c r="CO158" s="104"/>
      <c r="CP158" s="98"/>
      <c r="CR158" s="101"/>
      <c r="CS158" s="101"/>
      <c r="CT158" s="101"/>
      <c r="CU158" s="101"/>
      <c r="CV158" s="101"/>
      <c r="FL158" s="103"/>
      <c r="FN158" s="103"/>
      <c r="FP158" s="103"/>
      <c r="FR158" s="103"/>
    </row>
    <row r="159" spans="2:174" x14ac:dyDescent="0.35">
      <c r="B159" s="97"/>
      <c r="G159" s="100"/>
      <c r="K159" s="98"/>
      <c r="L159" s="101"/>
      <c r="M159" s="101"/>
      <c r="N159" s="101"/>
      <c r="O159" s="101"/>
      <c r="P159" s="102"/>
      <c r="Q159" s="101"/>
      <c r="R159" s="98"/>
      <c r="S159" s="98"/>
      <c r="T159" s="98"/>
      <c r="U159" s="98"/>
      <c r="V159" s="98"/>
      <c r="W159" s="98"/>
      <c r="X159" s="98"/>
      <c r="Y159" s="98"/>
      <c r="Z159" s="103"/>
      <c r="AA159" s="103"/>
      <c r="AB159" s="103"/>
      <c r="AC159" s="103"/>
      <c r="AD159" s="103"/>
      <c r="AE159" s="103"/>
      <c r="AF159" s="103"/>
      <c r="AG159" s="101"/>
      <c r="AH159" s="101"/>
      <c r="AI159" s="101"/>
      <c r="AJ159" s="101"/>
      <c r="AK159" s="101"/>
      <c r="AL159" s="101"/>
      <c r="AM159" s="101"/>
      <c r="AN159" s="103"/>
      <c r="AO159" s="103"/>
      <c r="AP159" s="103"/>
      <c r="AQ159" s="103"/>
      <c r="AR159" s="103"/>
      <c r="AS159" s="103"/>
      <c r="AT159" s="103"/>
      <c r="AU159" s="101"/>
      <c r="AV159" s="101"/>
      <c r="AW159" s="101"/>
      <c r="AX159" s="101"/>
      <c r="AY159" s="101"/>
      <c r="AZ159" s="101"/>
      <c r="BA159" s="101"/>
      <c r="BB159" s="103"/>
      <c r="BC159" s="103"/>
      <c r="BD159" s="103"/>
      <c r="BE159" s="101"/>
      <c r="BF159" s="101"/>
      <c r="BG159" s="101"/>
      <c r="BH159" s="101"/>
      <c r="BI159" s="101"/>
      <c r="BM159" s="101"/>
      <c r="BN159" s="101"/>
      <c r="BO159" s="101"/>
      <c r="BP159" s="101"/>
      <c r="BQ159" s="101"/>
      <c r="BR159" s="101"/>
      <c r="BS159" s="101"/>
      <c r="BT159" s="104"/>
      <c r="BU159" s="104"/>
      <c r="BV159" s="104"/>
      <c r="BW159" s="104"/>
      <c r="BX159" s="104"/>
      <c r="BY159" s="104"/>
      <c r="BZ159" s="104"/>
      <c r="CA159" s="104"/>
      <c r="CB159" s="104"/>
      <c r="CC159" s="104"/>
      <c r="CD159" s="104"/>
      <c r="CE159" s="104"/>
      <c r="CF159" s="104"/>
      <c r="CG159" s="104"/>
      <c r="CH159" s="104"/>
      <c r="CI159" s="104"/>
      <c r="CJ159" s="104"/>
      <c r="CK159" s="104"/>
      <c r="CL159" s="104"/>
      <c r="CM159" s="104"/>
      <c r="CN159" s="104"/>
      <c r="CO159" s="104"/>
      <c r="CP159" s="98"/>
      <c r="CR159" s="101"/>
      <c r="CS159" s="101"/>
      <c r="CT159" s="101"/>
      <c r="CU159" s="101"/>
      <c r="CV159" s="101"/>
      <c r="FL159" s="103"/>
      <c r="FN159" s="103"/>
      <c r="FP159" s="103"/>
      <c r="FR159" s="103"/>
    </row>
    <row r="160" spans="2:174" x14ac:dyDescent="0.35">
      <c r="B160" s="97"/>
      <c r="G160" s="100"/>
      <c r="K160" s="98"/>
      <c r="L160" s="101"/>
      <c r="M160" s="101"/>
      <c r="N160" s="101"/>
      <c r="O160" s="101"/>
      <c r="P160" s="102"/>
      <c r="Q160" s="101"/>
      <c r="R160" s="98"/>
      <c r="S160" s="98"/>
      <c r="T160" s="98"/>
      <c r="U160" s="98"/>
      <c r="V160" s="98"/>
      <c r="W160" s="98"/>
      <c r="X160" s="98"/>
      <c r="Y160" s="98"/>
      <c r="Z160" s="103"/>
      <c r="AA160" s="103"/>
      <c r="AB160" s="103"/>
      <c r="AC160" s="103"/>
      <c r="AD160" s="103"/>
      <c r="AE160" s="103"/>
      <c r="AF160" s="103"/>
      <c r="AG160" s="101"/>
      <c r="AH160" s="101"/>
      <c r="AI160" s="101"/>
      <c r="AJ160" s="101"/>
      <c r="AK160" s="101"/>
      <c r="AL160" s="101"/>
      <c r="AM160" s="101"/>
      <c r="AN160" s="103"/>
      <c r="AO160" s="103"/>
      <c r="AP160" s="103"/>
      <c r="AQ160" s="103"/>
      <c r="AR160" s="103"/>
      <c r="AS160" s="103"/>
      <c r="AT160" s="103"/>
      <c r="AU160" s="101"/>
      <c r="AV160" s="101"/>
      <c r="AW160" s="101"/>
      <c r="AX160" s="101"/>
      <c r="AY160" s="101"/>
      <c r="AZ160" s="101"/>
      <c r="BA160" s="101"/>
      <c r="BB160" s="103"/>
      <c r="BC160" s="103"/>
      <c r="BD160" s="103"/>
      <c r="BE160" s="101"/>
      <c r="BF160" s="101"/>
      <c r="BG160" s="101"/>
      <c r="BH160" s="101"/>
      <c r="BI160" s="101"/>
      <c r="BM160" s="101"/>
      <c r="BN160" s="101"/>
      <c r="BO160" s="101"/>
      <c r="BP160" s="101"/>
      <c r="BQ160" s="101"/>
      <c r="BR160" s="101"/>
      <c r="BS160" s="101"/>
      <c r="BT160" s="104"/>
      <c r="BU160" s="104"/>
      <c r="BV160" s="104"/>
      <c r="BW160" s="104"/>
      <c r="BX160" s="104"/>
      <c r="BY160" s="104"/>
      <c r="BZ160" s="104"/>
      <c r="CA160" s="104"/>
      <c r="CB160" s="104"/>
      <c r="CC160" s="104"/>
      <c r="CD160" s="104"/>
      <c r="CE160" s="104"/>
      <c r="CF160" s="104"/>
      <c r="CG160" s="104"/>
      <c r="CH160" s="104"/>
      <c r="CI160" s="104"/>
      <c r="CJ160" s="104"/>
      <c r="CK160" s="104"/>
      <c r="CL160" s="104"/>
      <c r="CM160" s="104"/>
      <c r="CN160" s="104"/>
      <c r="CO160" s="104"/>
      <c r="CP160" s="98"/>
      <c r="CR160" s="101"/>
      <c r="CS160" s="101"/>
      <c r="CT160" s="101"/>
      <c r="CU160" s="101"/>
      <c r="CV160" s="101"/>
      <c r="FL160" s="103"/>
      <c r="FN160" s="103"/>
      <c r="FP160" s="103"/>
      <c r="FR160" s="103"/>
    </row>
    <row r="161" spans="2:174" x14ac:dyDescent="0.35">
      <c r="B161" s="97"/>
      <c r="G161" s="100"/>
      <c r="K161" s="98"/>
      <c r="L161" s="101"/>
      <c r="M161" s="101"/>
      <c r="N161" s="101"/>
      <c r="O161" s="101"/>
      <c r="P161" s="102"/>
      <c r="Q161" s="101"/>
      <c r="R161" s="98"/>
      <c r="S161" s="98"/>
      <c r="T161" s="98"/>
      <c r="U161" s="98"/>
      <c r="V161" s="98"/>
      <c r="W161" s="98"/>
      <c r="X161" s="98"/>
      <c r="Y161" s="98"/>
      <c r="Z161" s="103"/>
      <c r="AA161" s="103"/>
      <c r="AB161" s="103"/>
      <c r="AC161" s="103"/>
      <c r="AD161" s="103"/>
      <c r="AE161" s="103"/>
      <c r="AF161" s="103"/>
      <c r="AG161" s="101"/>
      <c r="AH161" s="101"/>
      <c r="AI161" s="101"/>
      <c r="AJ161" s="101"/>
      <c r="AK161" s="101"/>
      <c r="AL161" s="101"/>
      <c r="AM161" s="101"/>
      <c r="AN161" s="103"/>
      <c r="AO161" s="103"/>
      <c r="AP161" s="103"/>
      <c r="AQ161" s="103"/>
      <c r="AR161" s="103"/>
      <c r="AS161" s="103"/>
      <c r="AT161" s="103"/>
      <c r="AU161" s="101"/>
      <c r="AV161" s="101"/>
      <c r="AW161" s="101"/>
      <c r="AX161" s="101"/>
      <c r="AY161" s="101"/>
      <c r="AZ161" s="101"/>
      <c r="BA161" s="101"/>
      <c r="BB161" s="103"/>
      <c r="BC161" s="103"/>
      <c r="BD161" s="103"/>
      <c r="BE161" s="101"/>
      <c r="BF161" s="101"/>
      <c r="BG161" s="101"/>
      <c r="BH161" s="101"/>
      <c r="BI161" s="101"/>
      <c r="BM161" s="101"/>
      <c r="BN161" s="101"/>
      <c r="BO161" s="101"/>
      <c r="BP161" s="101"/>
      <c r="BQ161" s="101"/>
      <c r="BR161" s="101"/>
      <c r="BS161" s="101"/>
      <c r="BT161" s="104"/>
      <c r="BU161" s="104"/>
      <c r="BV161" s="104"/>
      <c r="BW161" s="104"/>
      <c r="BX161" s="104"/>
      <c r="BY161" s="104"/>
      <c r="BZ161" s="104"/>
      <c r="CA161" s="104"/>
      <c r="CB161" s="104"/>
      <c r="CC161" s="104"/>
      <c r="CD161" s="104"/>
      <c r="CE161" s="104"/>
      <c r="CF161" s="104"/>
      <c r="CG161" s="104"/>
      <c r="CH161" s="104"/>
      <c r="CI161" s="104"/>
      <c r="CJ161" s="104"/>
      <c r="CK161" s="104"/>
      <c r="CL161" s="104"/>
      <c r="CM161" s="104"/>
      <c r="CN161" s="104"/>
      <c r="CO161" s="104"/>
      <c r="CP161" s="98"/>
      <c r="CR161" s="101"/>
      <c r="CS161" s="101"/>
      <c r="CT161" s="101"/>
      <c r="CU161" s="101"/>
      <c r="CV161" s="101"/>
      <c r="FL161" s="103"/>
      <c r="FN161" s="103"/>
      <c r="FP161" s="103"/>
      <c r="FR161" s="103"/>
    </row>
    <row r="162" spans="2:174" x14ac:dyDescent="0.35">
      <c r="B162" s="97"/>
      <c r="G162" s="100"/>
      <c r="K162" s="98"/>
      <c r="L162" s="101"/>
      <c r="M162" s="101"/>
      <c r="N162" s="101"/>
      <c r="O162" s="101"/>
      <c r="P162" s="102"/>
      <c r="Q162" s="101"/>
      <c r="R162" s="98"/>
      <c r="S162" s="98"/>
      <c r="T162" s="98"/>
      <c r="U162" s="98"/>
      <c r="V162" s="98"/>
      <c r="W162" s="98"/>
      <c r="X162" s="98"/>
      <c r="Y162" s="98"/>
      <c r="Z162" s="103"/>
      <c r="AA162" s="103"/>
      <c r="AB162" s="103"/>
      <c r="AC162" s="103"/>
      <c r="AD162" s="103"/>
      <c r="AE162" s="103"/>
      <c r="AF162" s="103"/>
      <c r="AG162" s="101"/>
      <c r="AH162" s="101"/>
      <c r="AI162" s="101"/>
      <c r="AJ162" s="101"/>
      <c r="AK162" s="101"/>
      <c r="AL162" s="101"/>
      <c r="AM162" s="101"/>
      <c r="AN162" s="103"/>
      <c r="AO162" s="103"/>
      <c r="AP162" s="103"/>
      <c r="AQ162" s="103"/>
      <c r="AR162" s="103"/>
      <c r="AS162" s="103"/>
      <c r="AT162" s="103"/>
      <c r="AU162" s="101"/>
      <c r="AV162" s="101"/>
      <c r="AW162" s="101"/>
      <c r="AX162" s="101"/>
      <c r="AY162" s="101"/>
      <c r="AZ162" s="101"/>
      <c r="BA162" s="101"/>
      <c r="BB162" s="103"/>
      <c r="BC162" s="103"/>
      <c r="BD162" s="103"/>
      <c r="BE162" s="101"/>
      <c r="BF162" s="101"/>
      <c r="BG162" s="101"/>
      <c r="BH162" s="101"/>
      <c r="BI162" s="101"/>
      <c r="BM162" s="101"/>
      <c r="BN162" s="101"/>
      <c r="BO162" s="101"/>
      <c r="BP162" s="101"/>
      <c r="BQ162" s="101"/>
      <c r="BR162" s="101"/>
      <c r="BS162" s="101"/>
      <c r="BT162" s="104"/>
      <c r="BU162" s="104"/>
      <c r="BV162" s="104"/>
      <c r="BW162" s="104"/>
      <c r="BX162" s="104"/>
      <c r="BY162" s="104"/>
      <c r="BZ162" s="104"/>
      <c r="CA162" s="104"/>
      <c r="CB162" s="104"/>
      <c r="CC162" s="104"/>
      <c r="CD162" s="104"/>
      <c r="CE162" s="104"/>
      <c r="CF162" s="104"/>
      <c r="CG162" s="104"/>
      <c r="CH162" s="104"/>
      <c r="CI162" s="104"/>
      <c r="CJ162" s="104"/>
      <c r="CK162" s="104"/>
      <c r="CL162" s="104"/>
      <c r="CM162" s="104"/>
      <c r="CN162" s="104"/>
      <c r="CO162" s="104"/>
      <c r="CP162" s="98"/>
      <c r="CR162" s="101"/>
      <c r="CS162" s="101"/>
      <c r="CT162" s="101"/>
      <c r="CU162" s="101"/>
      <c r="CV162" s="101"/>
      <c r="FL162" s="103"/>
      <c r="FN162" s="103"/>
      <c r="FP162" s="103"/>
      <c r="FR162" s="103"/>
    </row>
    <row r="163" spans="2:174" x14ac:dyDescent="0.35">
      <c r="B163" s="97"/>
      <c r="G163" s="100"/>
      <c r="K163" s="98"/>
      <c r="L163" s="101"/>
      <c r="M163" s="101"/>
      <c r="N163" s="101"/>
      <c r="O163" s="101"/>
      <c r="P163" s="102"/>
      <c r="Q163" s="101"/>
      <c r="R163" s="98"/>
      <c r="S163" s="98"/>
      <c r="T163" s="98"/>
      <c r="U163" s="98"/>
      <c r="V163" s="98"/>
      <c r="W163" s="98"/>
      <c r="X163" s="98"/>
      <c r="Y163" s="98"/>
      <c r="Z163" s="103"/>
      <c r="AA163" s="103"/>
      <c r="AB163" s="103"/>
      <c r="AC163" s="103"/>
      <c r="AD163" s="103"/>
      <c r="AE163" s="103"/>
      <c r="AF163" s="103"/>
      <c r="AG163" s="101"/>
      <c r="AH163" s="101"/>
      <c r="AI163" s="101"/>
      <c r="AJ163" s="101"/>
      <c r="AK163" s="101"/>
      <c r="AL163" s="101"/>
      <c r="AM163" s="101"/>
      <c r="AN163" s="103"/>
      <c r="AO163" s="103"/>
      <c r="AP163" s="103"/>
      <c r="AQ163" s="103"/>
      <c r="AR163" s="103"/>
      <c r="AS163" s="103"/>
      <c r="AT163" s="103"/>
      <c r="AU163" s="101"/>
      <c r="AV163" s="101"/>
      <c r="AW163" s="101"/>
      <c r="AX163" s="101"/>
      <c r="AY163" s="101"/>
      <c r="AZ163" s="101"/>
      <c r="BA163" s="101"/>
      <c r="BB163" s="103"/>
      <c r="BC163" s="103"/>
      <c r="BD163" s="103"/>
      <c r="BE163" s="101"/>
      <c r="BF163" s="101"/>
      <c r="BG163" s="101"/>
      <c r="BH163" s="101"/>
      <c r="BI163" s="101"/>
      <c r="BM163" s="101"/>
      <c r="BN163" s="101"/>
      <c r="BO163" s="101"/>
      <c r="BP163" s="101"/>
      <c r="BQ163" s="101"/>
      <c r="BR163" s="101"/>
      <c r="BS163" s="101"/>
      <c r="BT163" s="104"/>
      <c r="BU163" s="104"/>
      <c r="BV163" s="104"/>
      <c r="BW163" s="104"/>
      <c r="BX163" s="104"/>
      <c r="BY163" s="104"/>
      <c r="BZ163" s="104"/>
      <c r="CA163" s="104"/>
      <c r="CB163" s="104"/>
      <c r="CC163" s="104"/>
      <c r="CD163" s="104"/>
      <c r="CE163" s="104"/>
      <c r="CF163" s="104"/>
      <c r="CG163" s="104"/>
      <c r="CH163" s="104"/>
      <c r="CI163" s="104"/>
      <c r="CJ163" s="104"/>
      <c r="CK163" s="104"/>
      <c r="CL163" s="104"/>
      <c r="CM163" s="104"/>
      <c r="CN163" s="104"/>
      <c r="CO163" s="104"/>
      <c r="CP163" s="98"/>
      <c r="CR163" s="101"/>
      <c r="CS163" s="101"/>
      <c r="CT163" s="101"/>
      <c r="CU163" s="101"/>
      <c r="CV163" s="101"/>
      <c r="FL163" s="103"/>
      <c r="FN163" s="103"/>
      <c r="FP163" s="103"/>
      <c r="FR163" s="103"/>
    </row>
    <row r="164" spans="2:174" x14ac:dyDescent="0.35">
      <c r="B164" s="97"/>
      <c r="G164" s="100"/>
      <c r="K164" s="98"/>
      <c r="L164" s="101"/>
      <c r="M164" s="101"/>
      <c r="N164" s="101"/>
      <c r="O164" s="101"/>
      <c r="P164" s="102"/>
      <c r="Q164" s="101"/>
      <c r="R164" s="98"/>
      <c r="S164" s="98"/>
      <c r="T164" s="98"/>
      <c r="U164" s="98"/>
      <c r="V164" s="98"/>
      <c r="W164" s="98"/>
      <c r="X164" s="98"/>
      <c r="Y164" s="98"/>
      <c r="Z164" s="103"/>
      <c r="AA164" s="103"/>
      <c r="AB164" s="103"/>
      <c r="AC164" s="103"/>
      <c r="AD164" s="103"/>
      <c r="AE164" s="103"/>
      <c r="AF164" s="103"/>
      <c r="AG164" s="101"/>
      <c r="AH164" s="101"/>
      <c r="AI164" s="101"/>
      <c r="AJ164" s="101"/>
      <c r="AK164" s="101"/>
      <c r="AL164" s="101"/>
      <c r="AM164" s="101"/>
      <c r="AN164" s="103"/>
      <c r="AO164" s="103"/>
      <c r="AP164" s="103"/>
      <c r="AQ164" s="103"/>
      <c r="AR164" s="103"/>
      <c r="AS164" s="103"/>
      <c r="AT164" s="103"/>
      <c r="AU164" s="101"/>
      <c r="AV164" s="101"/>
      <c r="AW164" s="101"/>
      <c r="AX164" s="101"/>
      <c r="AY164" s="101"/>
      <c r="AZ164" s="101"/>
      <c r="BA164" s="101"/>
      <c r="BB164" s="103"/>
      <c r="BC164" s="103"/>
      <c r="BD164" s="103"/>
      <c r="BE164" s="101"/>
      <c r="BF164" s="101"/>
      <c r="BG164" s="101"/>
      <c r="BH164" s="101"/>
      <c r="BI164" s="101"/>
      <c r="BM164" s="101"/>
      <c r="BN164" s="101"/>
      <c r="BO164" s="101"/>
      <c r="BP164" s="101"/>
      <c r="BQ164" s="101"/>
      <c r="BR164" s="101"/>
      <c r="BS164" s="101"/>
      <c r="BT164" s="104"/>
      <c r="BU164" s="104"/>
      <c r="BV164" s="104"/>
      <c r="BW164" s="104"/>
      <c r="BX164" s="104"/>
      <c r="BY164" s="104"/>
      <c r="BZ164" s="104"/>
      <c r="CA164" s="104"/>
      <c r="CB164" s="104"/>
      <c r="CC164" s="104"/>
      <c r="CD164" s="104"/>
      <c r="CE164" s="104"/>
      <c r="CF164" s="104"/>
      <c r="CG164" s="104"/>
      <c r="CH164" s="104"/>
      <c r="CI164" s="104"/>
      <c r="CJ164" s="104"/>
      <c r="CK164" s="104"/>
      <c r="CL164" s="104"/>
      <c r="CM164" s="104"/>
      <c r="CN164" s="104"/>
      <c r="CO164" s="104"/>
      <c r="CP164" s="98"/>
      <c r="CR164" s="101"/>
      <c r="CS164" s="101"/>
      <c r="CT164" s="101"/>
      <c r="CU164" s="101"/>
      <c r="CV164" s="101"/>
      <c r="FL164" s="103"/>
      <c r="FN164" s="103"/>
      <c r="FP164" s="103"/>
      <c r="FR164" s="103"/>
    </row>
    <row r="165" spans="2:174" x14ac:dyDescent="0.35">
      <c r="B165" s="97"/>
      <c r="G165" s="100"/>
      <c r="K165" s="98"/>
      <c r="L165" s="101"/>
      <c r="M165" s="101"/>
      <c r="N165" s="101"/>
      <c r="O165" s="101"/>
      <c r="P165" s="102"/>
      <c r="Q165" s="101"/>
      <c r="R165" s="98"/>
      <c r="S165" s="98"/>
      <c r="T165" s="98"/>
      <c r="U165" s="98"/>
      <c r="V165" s="98"/>
      <c r="W165" s="98"/>
      <c r="X165" s="98"/>
      <c r="Y165" s="98"/>
      <c r="Z165" s="103"/>
      <c r="AA165" s="103"/>
      <c r="AB165" s="103"/>
      <c r="AC165" s="103"/>
      <c r="AD165" s="103"/>
      <c r="AE165" s="103"/>
      <c r="AF165" s="103"/>
      <c r="AG165" s="101"/>
      <c r="AH165" s="101"/>
      <c r="AI165" s="101"/>
      <c r="AJ165" s="101"/>
      <c r="AK165" s="101"/>
      <c r="AL165" s="101"/>
      <c r="AM165" s="101"/>
      <c r="AN165" s="103"/>
      <c r="AO165" s="103"/>
      <c r="AP165" s="103"/>
      <c r="AQ165" s="103"/>
      <c r="AR165" s="103"/>
      <c r="AS165" s="103"/>
      <c r="AT165" s="103"/>
      <c r="AU165" s="101"/>
      <c r="AV165" s="101"/>
      <c r="AW165" s="101"/>
      <c r="AX165" s="101"/>
      <c r="AY165" s="101"/>
      <c r="AZ165" s="101"/>
      <c r="BA165" s="101"/>
      <c r="BB165" s="103"/>
      <c r="BC165" s="103"/>
      <c r="BD165" s="103"/>
      <c r="BE165" s="101"/>
      <c r="BF165" s="101"/>
      <c r="BG165" s="101"/>
      <c r="BH165" s="101"/>
      <c r="BI165" s="101"/>
      <c r="BM165" s="101"/>
      <c r="BN165" s="101"/>
      <c r="BO165" s="101"/>
      <c r="BP165" s="101"/>
      <c r="BQ165" s="101"/>
      <c r="BR165" s="101"/>
      <c r="BS165" s="101"/>
      <c r="BT165" s="104"/>
      <c r="BU165" s="104"/>
      <c r="BV165" s="104"/>
      <c r="BW165" s="104"/>
      <c r="BX165" s="104"/>
      <c r="BY165" s="104"/>
      <c r="BZ165" s="104"/>
      <c r="CA165" s="104"/>
      <c r="CB165" s="104"/>
      <c r="CC165" s="104"/>
      <c r="CD165" s="104"/>
      <c r="CE165" s="104"/>
      <c r="CF165" s="104"/>
      <c r="CG165" s="104"/>
      <c r="CH165" s="104"/>
      <c r="CI165" s="104"/>
      <c r="CJ165" s="104"/>
      <c r="CK165" s="104"/>
      <c r="CL165" s="104"/>
      <c r="CM165" s="104"/>
      <c r="CN165" s="104"/>
      <c r="CO165" s="104"/>
      <c r="CP165" s="98"/>
      <c r="CR165" s="101"/>
      <c r="CS165" s="101"/>
      <c r="CT165" s="101"/>
      <c r="CU165" s="101"/>
      <c r="CV165" s="101"/>
      <c r="FL165" s="103"/>
      <c r="FN165" s="103"/>
      <c r="FP165" s="103"/>
      <c r="FR165" s="103"/>
    </row>
    <row r="166" spans="2:174" x14ac:dyDescent="0.35">
      <c r="B166" s="97"/>
      <c r="G166" s="100"/>
      <c r="K166" s="98"/>
      <c r="L166" s="101"/>
      <c r="M166" s="101"/>
      <c r="N166" s="101"/>
      <c r="O166" s="101"/>
      <c r="P166" s="102"/>
      <c r="Q166" s="101"/>
      <c r="R166" s="98"/>
      <c r="S166" s="98"/>
      <c r="T166" s="98"/>
      <c r="U166" s="98"/>
      <c r="V166" s="98"/>
      <c r="W166" s="98"/>
      <c r="X166" s="98"/>
      <c r="Y166" s="98"/>
      <c r="Z166" s="103"/>
      <c r="AA166" s="103"/>
      <c r="AB166" s="103"/>
      <c r="AC166" s="103"/>
      <c r="AD166" s="103"/>
      <c r="AE166" s="103"/>
      <c r="AF166" s="103"/>
      <c r="AG166" s="101"/>
      <c r="AH166" s="101"/>
      <c r="AI166" s="101"/>
      <c r="AJ166" s="101"/>
      <c r="AK166" s="101"/>
      <c r="AL166" s="101"/>
      <c r="AM166" s="101"/>
      <c r="AN166" s="103"/>
      <c r="AO166" s="103"/>
      <c r="AP166" s="103"/>
      <c r="AQ166" s="103"/>
      <c r="AR166" s="103"/>
      <c r="AS166" s="103"/>
      <c r="AT166" s="103"/>
      <c r="AU166" s="101"/>
      <c r="AV166" s="101"/>
      <c r="AW166" s="101"/>
      <c r="AX166" s="101"/>
      <c r="AY166" s="101"/>
      <c r="AZ166" s="101"/>
      <c r="BA166" s="101"/>
      <c r="BB166" s="103"/>
      <c r="BC166" s="103"/>
      <c r="BD166" s="103"/>
      <c r="BE166" s="101"/>
      <c r="BF166" s="101"/>
      <c r="BG166" s="101"/>
      <c r="BH166" s="101"/>
      <c r="BI166" s="101"/>
      <c r="BM166" s="101"/>
      <c r="BN166" s="101"/>
      <c r="BO166" s="101"/>
      <c r="BP166" s="101"/>
      <c r="BQ166" s="101"/>
      <c r="BR166" s="101"/>
      <c r="BS166" s="101"/>
      <c r="BT166" s="104"/>
      <c r="BU166" s="104"/>
      <c r="BV166" s="104"/>
      <c r="BW166" s="104"/>
      <c r="BX166" s="104"/>
      <c r="BY166" s="104"/>
      <c r="BZ166" s="104"/>
      <c r="CA166" s="104"/>
      <c r="CB166" s="104"/>
      <c r="CC166" s="104"/>
      <c r="CD166" s="104"/>
      <c r="CE166" s="104"/>
      <c r="CF166" s="104"/>
      <c r="CG166" s="104"/>
      <c r="CH166" s="104"/>
      <c r="CI166" s="104"/>
      <c r="CJ166" s="104"/>
      <c r="CK166" s="104"/>
      <c r="CL166" s="104"/>
      <c r="CM166" s="104"/>
      <c r="CN166" s="104"/>
      <c r="CO166" s="104"/>
      <c r="CP166" s="98"/>
      <c r="CR166" s="101"/>
      <c r="CS166" s="101"/>
      <c r="CT166" s="101"/>
      <c r="CU166" s="101"/>
      <c r="CV166" s="101"/>
      <c r="FL166" s="103"/>
      <c r="FN166" s="103"/>
      <c r="FP166" s="103"/>
      <c r="FR166" s="103"/>
    </row>
    <row r="167" spans="2:174" x14ac:dyDescent="0.35">
      <c r="B167" s="97"/>
      <c r="G167" s="100"/>
      <c r="K167" s="98"/>
      <c r="L167" s="101"/>
      <c r="M167" s="101"/>
      <c r="N167" s="101"/>
      <c r="O167" s="101"/>
      <c r="P167" s="102"/>
      <c r="Q167" s="101"/>
      <c r="R167" s="98"/>
      <c r="S167" s="98"/>
      <c r="T167" s="98"/>
      <c r="U167" s="98"/>
      <c r="V167" s="98"/>
      <c r="W167" s="98"/>
      <c r="X167" s="98"/>
      <c r="Y167" s="98"/>
      <c r="Z167" s="103"/>
      <c r="AA167" s="103"/>
      <c r="AB167" s="103"/>
      <c r="AC167" s="103"/>
      <c r="AD167" s="103"/>
      <c r="AE167" s="103"/>
      <c r="AF167" s="103"/>
      <c r="AG167" s="101"/>
      <c r="AH167" s="101"/>
      <c r="AI167" s="101"/>
      <c r="AJ167" s="101"/>
      <c r="AK167" s="101"/>
      <c r="AL167" s="101"/>
      <c r="AM167" s="101"/>
      <c r="AN167" s="103"/>
      <c r="AO167" s="103"/>
      <c r="AP167" s="103"/>
      <c r="AQ167" s="103"/>
      <c r="AR167" s="103"/>
      <c r="AS167" s="103"/>
      <c r="AT167" s="103"/>
      <c r="AU167" s="101"/>
      <c r="AV167" s="101"/>
      <c r="AW167" s="101"/>
      <c r="AX167" s="101"/>
      <c r="AY167" s="101"/>
      <c r="AZ167" s="101"/>
      <c r="BA167" s="101"/>
      <c r="BB167" s="103"/>
      <c r="BC167" s="103"/>
      <c r="BD167" s="103"/>
      <c r="BE167" s="101"/>
      <c r="BF167" s="101"/>
      <c r="BG167" s="101"/>
      <c r="BH167" s="101"/>
      <c r="BI167" s="101"/>
      <c r="BM167" s="101"/>
      <c r="BN167" s="101"/>
      <c r="BO167" s="101"/>
      <c r="BP167" s="101"/>
      <c r="BQ167" s="101"/>
      <c r="BR167" s="101"/>
      <c r="BS167" s="101"/>
      <c r="BT167" s="104"/>
      <c r="BU167" s="104"/>
      <c r="BV167" s="104"/>
      <c r="BW167" s="104"/>
      <c r="BX167" s="104"/>
      <c r="BY167" s="104"/>
      <c r="BZ167" s="104"/>
      <c r="CA167" s="104"/>
      <c r="CB167" s="104"/>
      <c r="CC167" s="104"/>
      <c r="CD167" s="104"/>
      <c r="CE167" s="104"/>
      <c r="CF167" s="104"/>
      <c r="CG167" s="104"/>
      <c r="CH167" s="104"/>
      <c r="CI167" s="104"/>
      <c r="CJ167" s="104"/>
      <c r="CK167" s="104"/>
      <c r="CL167" s="104"/>
      <c r="CM167" s="104"/>
      <c r="CN167" s="104"/>
      <c r="CO167" s="104"/>
      <c r="CP167" s="98"/>
      <c r="CR167" s="101"/>
      <c r="CS167" s="101"/>
      <c r="CT167" s="101"/>
      <c r="CU167" s="101"/>
      <c r="CV167" s="101"/>
      <c r="FL167" s="103"/>
      <c r="FN167" s="103"/>
      <c r="FP167" s="103"/>
      <c r="FR167" s="103"/>
    </row>
    <row r="168" spans="2:174" x14ac:dyDescent="0.35">
      <c r="B168" s="97"/>
      <c r="G168" s="100"/>
      <c r="K168" s="98"/>
      <c r="L168" s="101"/>
      <c r="M168" s="101"/>
      <c r="N168" s="101"/>
      <c r="O168" s="101"/>
      <c r="P168" s="102"/>
      <c r="Q168" s="101"/>
      <c r="R168" s="98"/>
      <c r="S168" s="98"/>
      <c r="T168" s="98"/>
      <c r="U168" s="98"/>
      <c r="V168" s="98"/>
      <c r="W168" s="98"/>
      <c r="X168" s="98"/>
      <c r="Y168" s="98"/>
      <c r="Z168" s="103"/>
      <c r="AA168" s="103"/>
      <c r="AB168" s="103"/>
      <c r="AC168" s="103"/>
      <c r="AD168" s="103"/>
      <c r="AE168" s="103"/>
      <c r="AF168" s="103"/>
      <c r="AG168" s="101"/>
      <c r="AH168" s="101"/>
      <c r="AI168" s="101"/>
      <c r="AJ168" s="101"/>
      <c r="AK168" s="101"/>
      <c r="AL168" s="101"/>
      <c r="AM168" s="101"/>
      <c r="AN168" s="103"/>
      <c r="AO168" s="103"/>
      <c r="AP168" s="103"/>
      <c r="AQ168" s="103"/>
      <c r="AR168" s="103"/>
      <c r="AS168" s="103"/>
      <c r="AT168" s="103"/>
      <c r="AU168" s="101"/>
      <c r="AV168" s="101"/>
      <c r="AW168" s="101"/>
      <c r="AX168" s="101"/>
      <c r="AY168" s="101"/>
      <c r="AZ168" s="101"/>
      <c r="BA168" s="101"/>
      <c r="BB168" s="103"/>
      <c r="BC168" s="103"/>
      <c r="BD168" s="103"/>
      <c r="BE168" s="101"/>
      <c r="BF168" s="101"/>
      <c r="BG168" s="101"/>
      <c r="BH168" s="101"/>
      <c r="BI168" s="101"/>
      <c r="BM168" s="101"/>
      <c r="BN168" s="101"/>
      <c r="BO168" s="101"/>
      <c r="BP168" s="101"/>
      <c r="BQ168" s="101"/>
      <c r="BR168" s="101"/>
      <c r="BS168" s="101"/>
      <c r="BT168" s="104"/>
      <c r="BU168" s="104"/>
      <c r="BV168" s="104"/>
      <c r="BW168" s="104"/>
      <c r="BX168" s="104"/>
      <c r="BY168" s="104"/>
      <c r="BZ168" s="104"/>
      <c r="CA168" s="104"/>
      <c r="CB168" s="104"/>
      <c r="CC168" s="104"/>
      <c r="CD168" s="104"/>
      <c r="CE168" s="104"/>
      <c r="CF168" s="104"/>
      <c r="CG168" s="104"/>
      <c r="CH168" s="104"/>
      <c r="CI168" s="104"/>
      <c r="CJ168" s="104"/>
      <c r="CK168" s="104"/>
      <c r="CL168" s="104"/>
      <c r="CM168" s="104"/>
      <c r="CN168" s="104"/>
      <c r="CO168" s="104"/>
      <c r="CP168" s="98"/>
      <c r="CR168" s="101"/>
      <c r="CS168" s="101"/>
      <c r="CT168" s="101"/>
      <c r="CU168" s="101"/>
      <c r="CV168" s="101"/>
      <c r="FL168" s="103"/>
      <c r="FN168" s="103"/>
      <c r="FP168" s="103"/>
      <c r="FR168" s="103"/>
    </row>
    <row r="169" spans="2:174" x14ac:dyDescent="0.35">
      <c r="B169" s="97"/>
      <c r="G169" s="100"/>
      <c r="K169" s="98"/>
      <c r="L169" s="101"/>
      <c r="M169" s="101"/>
      <c r="N169" s="101"/>
      <c r="O169" s="101"/>
      <c r="P169" s="102"/>
      <c r="Q169" s="101"/>
      <c r="R169" s="98"/>
      <c r="S169" s="98"/>
      <c r="T169" s="98"/>
      <c r="U169" s="98"/>
      <c r="V169" s="98"/>
      <c r="W169" s="98"/>
      <c r="X169" s="98"/>
      <c r="Y169" s="98"/>
      <c r="Z169" s="103"/>
      <c r="AA169" s="103"/>
      <c r="AB169" s="103"/>
      <c r="AC169" s="103"/>
      <c r="AD169" s="103"/>
      <c r="AE169" s="103"/>
      <c r="AF169" s="103"/>
      <c r="AG169" s="101"/>
      <c r="AH169" s="101"/>
      <c r="AI169" s="101"/>
      <c r="AJ169" s="101"/>
      <c r="AK169" s="101"/>
      <c r="AL169" s="101"/>
      <c r="AM169" s="101"/>
      <c r="AN169" s="103"/>
      <c r="AO169" s="103"/>
      <c r="AP169" s="103"/>
      <c r="AQ169" s="103"/>
      <c r="AR169" s="103"/>
      <c r="AS169" s="103"/>
      <c r="AT169" s="103"/>
      <c r="AU169" s="101"/>
      <c r="AV169" s="101"/>
      <c r="AW169" s="101"/>
      <c r="AX169" s="101"/>
      <c r="AY169" s="101"/>
      <c r="AZ169" s="101"/>
      <c r="BA169" s="101"/>
      <c r="BB169" s="103"/>
      <c r="BC169" s="103"/>
      <c r="BD169" s="103"/>
      <c r="BE169" s="101"/>
      <c r="BF169" s="101"/>
      <c r="BG169" s="101"/>
      <c r="BH169" s="101"/>
      <c r="BI169" s="101"/>
      <c r="BM169" s="101"/>
      <c r="BN169" s="101"/>
      <c r="BO169" s="101"/>
      <c r="BP169" s="101"/>
      <c r="BQ169" s="101"/>
      <c r="BR169" s="101"/>
      <c r="BS169" s="101"/>
      <c r="BT169" s="104"/>
      <c r="BU169" s="104"/>
      <c r="BV169" s="104"/>
      <c r="BW169" s="104"/>
      <c r="BX169" s="104"/>
      <c r="BY169" s="104"/>
      <c r="BZ169" s="104"/>
      <c r="CA169" s="104"/>
      <c r="CB169" s="104"/>
      <c r="CC169" s="104"/>
      <c r="CD169" s="104"/>
      <c r="CE169" s="104"/>
      <c r="CF169" s="104"/>
      <c r="CG169" s="104"/>
      <c r="CH169" s="104"/>
      <c r="CI169" s="104"/>
      <c r="CJ169" s="104"/>
      <c r="CK169" s="104"/>
      <c r="CL169" s="104"/>
      <c r="CM169" s="104"/>
      <c r="CN169" s="104"/>
      <c r="CO169" s="104"/>
      <c r="CP169" s="98"/>
      <c r="CR169" s="101"/>
      <c r="CS169" s="101"/>
      <c r="CT169" s="101"/>
      <c r="CU169" s="101"/>
      <c r="CV169" s="101"/>
      <c r="FL169" s="103"/>
      <c r="FN169" s="103"/>
      <c r="FP169" s="103"/>
      <c r="FR169" s="103"/>
    </row>
    <row r="170" spans="2:174" x14ac:dyDescent="0.35">
      <c r="B170" s="97"/>
      <c r="G170" s="100"/>
      <c r="K170" s="98"/>
      <c r="L170" s="101"/>
      <c r="M170" s="101"/>
      <c r="N170" s="101"/>
      <c r="O170" s="101"/>
      <c r="P170" s="102"/>
      <c r="Q170" s="101"/>
      <c r="R170" s="98"/>
      <c r="S170" s="98"/>
      <c r="T170" s="98"/>
      <c r="U170" s="98"/>
      <c r="V170" s="98"/>
      <c r="W170" s="98"/>
      <c r="X170" s="98"/>
      <c r="Y170" s="98"/>
      <c r="Z170" s="103"/>
      <c r="AA170" s="103"/>
      <c r="AB170" s="103"/>
      <c r="AC170" s="103"/>
      <c r="AD170" s="103"/>
      <c r="AE170" s="103"/>
      <c r="AF170" s="103"/>
      <c r="AG170" s="101"/>
      <c r="AH170" s="101"/>
      <c r="AI170" s="101"/>
      <c r="AJ170" s="101"/>
      <c r="AK170" s="101"/>
      <c r="AL170" s="101"/>
      <c r="AM170" s="101"/>
      <c r="AN170" s="103"/>
      <c r="AO170" s="103"/>
      <c r="AP170" s="103"/>
      <c r="AQ170" s="103"/>
      <c r="AR170" s="103"/>
      <c r="AS170" s="103"/>
      <c r="AT170" s="103"/>
      <c r="AU170" s="101"/>
      <c r="AV170" s="101"/>
      <c r="AW170" s="101"/>
      <c r="AX170" s="101"/>
      <c r="AY170" s="101"/>
      <c r="AZ170" s="101"/>
      <c r="BA170" s="101"/>
      <c r="BB170" s="103"/>
      <c r="BC170" s="103"/>
      <c r="BD170" s="103"/>
      <c r="BE170" s="101"/>
      <c r="BF170" s="101"/>
      <c r="BG170" s="101"/>
      <c r="BH170" s="101"/>
      <c r="BI170" s="101"/>
      <c r="BM170" s="101"/>
      <c r="BN170" s="101"/>
      <c r="BO170" s="101"/>
      <c r="BP170" s="101"/>
      <c r="BQ170" s="101"/>
      <c r="BR170" s="101"/>
      <c r="BS170" s="101"/>
      <c r="BT170" s="104"/>
      <c r="BU170" s="104"/>
      <c r="BV170" s="104"/>
      <c r="BW170" s="104"/>
      <c r="BX170" s="104"/>
      <c r="BY170" s="104"/>
      <c r="BZ170" s="104"/>
      <c r="CA170" s="104"/>
      <c r="CB170" s="104"/>
      <c r="CC170" s="104"/>
      <c r="CD170" s="104"/>
      <c r="CE170" s="104"/>
      <c r="CF170" s="104"/>
      <c r="CG170" s="104"/>
      <c r="CH170" s="104"/>
      <c r="CI170" s="104"/>
      <c r="CJ170" s="104"/>
      <c r="CK170" s="104"/>
      <c r="CL170" s="104"/>
      <c r="CM170" s="104"/>
      <c r="CN170" s="104"/>
      <c r="CO170" s="104"/>
      <c r="CP170" s="98"/>
      <c r="CR170" s="101"/>
      <c r="CS170" s="101"/>
      <c r="CT170" s="101"/>
      <c r="CU170" s="101"/>
      <c r="CV170" s="101"/>
      <c r="FL170" s="103"/>
      <c r="FN170" s="103"/>
      <c r="FP170" s="103"/>
      <c r="FR170" s="103"/>
    </row>
    <row r="171" spans="2:174" x14ac:dyDescent="0.35">
      <c r="B171" s="97"/>
      <c r="G171" s="100"/>
      <c r="K171" s="98"/>
      <c r="L171" s="101"/>
      <c r="M171" s="101"/>
      <c r="N171" s="101"/>
      <c r="O171" s="101"/>
      <c r="P171" s="102"/>
      <c r="Q171" s="101"/>
      <c r="R171" s="98"/>
      <c r="S171" s="98"/>
      <c r="T171" s="98"/>
      <c r="U171" s="98"/>
      <c r="V171" s="98"/>
      <c r="W171" s="98"/>
      <c r="X171" s="98"/>
      <c r="Y171" s="98"/>
      <c r="Z171" s="103"/>
      <c r="AA171" s="103"/>
      <c r="AB171" s="103"/>
      <c r="AC171" s="103"/>
      <c r="AD171" s="103"/>
      <c r="AE171" s="103"/>
      <c r="AF171" s="103"/>
      <c r="AG171" s="101"/>
      <c r="AH171" s="101"/>
      <c r="AI171" s="101"/>
      <c r="AJ171" s="101"/>
      <c r="AK171" s="101"/>
      <c r="AL171" s="101"/>
      <c r="AM171" s="101"/>
      <c r="AN171" s="103"/>
      <c r="AO171" s="103"/>
      <c r="AP171" s="103"/>
      <c r="AQ171" s="103"/>
      <c r="AR171" s="103"/>
      <c r="AS171" s="103"/>
      <c r="AT171" s="103"/>
      <c r="AU171" s="101"/>
      <c r="AV171" s="101"/>
      <c r="AW171" s="101"/>
      <c r="AX171" s="101"/>
      <c r="AY171" s="101"/>
      <c r="AZ171" s="101"/>
      <c r="BA171" s="101"/>
      <c r="BB171" s="103"/>
      <c r="BC171" s="103"/>
      <c r="BD171" s="103"/>
      <c r="BE171" s="101"/>
      <c r="BF171" s="101"/>
      <c r="BG171" s="101"/>
      <c r="BH171" s="101"/>
      <c r="BI171" s="101"/>
      <c r="BM171" s="101"/>
      <c r="BN171" s="101"/>
      <c r="BO171" s="101"/>
      <c r="BP171" s="101"/>
      <c r="BQ171" s="101"/>
      <c r="BR171" s="101"/>
      <c r="BS171" s="101"/>
      <c r="BT171" s="104"/>
      <c r="BU171" s="104"/>
      <c r="BV171" s="104"/>
      <c r="BW171" s="104"/>
      <c r="BX171" s="104"/>
      <c r="BY171" s="104"/>
      <c r="BZ171" s="104"/>
      <c r="CA171" s="104"/>
      <c r="CB171" s="104"/>
      <c r="CC171" s="104"/>
      <c r="CD171" s="104"/>
      <c r="CE171" s="104"/>
      <c r="CF171" s="104"/>
      <c r="CG171" s="104"/>
      <c r="CH171" s="104"/>
      <c r="CI171" s="104"/>
      <c r="CJ171" s="104"/>
      <c r="CK171" s="104"/>
      <c r="CL171" s="104"/>
      <c r="CM171" s="104"/>
      <c r="CN171" s="104"/>
      <c r="CO171" s="104"/>
      <c r="CP171" s="98"/>
      <c r="CR171" s="101"/>
      <c r="CS171" s="101"/>
      <c r="CT171" s="101"/>
      <c r="CU171" s="101"/>
      <c r="CV171" s="101"/>
      <c r="FL171" s="103"/>
      <c r="FN171" s="103"/>
      <c r="FP171" s="103"/>
      <c r="FR171" s="103"/>
    </row>
    <row r="172" spans="2:174" x14ac:dyDescent="0.35">
      <c r="B172" s="97"/>
      <c r="G172" s="100"/>
      <c r="K172" s="98"/>
      <c r="L172" s="101"/>
      <c r="M172" s="101"/>
      <c r="N172" s="101"/>
      <c r="O172" s="101"/>
      <c r="P172" s="102"/>
      <c r="Q172" s="101"/>
      <c r="R172" s="98"/>
      <c r="S172" s="98"/>
      <c r="T172" s="98"/>
      <c r="U172" s="98"/>
      <c r="V172" s="98"/>
      <c r="W172" s="98"/>
      <c r="X172" s="98"/>
      <c r="Y172" s="98"/>
      <c r="Z172" s="103"/>
      <c r="AA172" s="103"/>
      <c r="AB172" s="103"/>
      <c r="AC172" s="103"/>
      <c r="AD172" s="103"/>
      <c r="AE172" s="103"/>
      <c r="AF172" s="103"/>
      <c r="AG172" s="101"/>
      <c r="AH172" s="101"/>
      <c r="AI172" s="101"/>
      <c r="AJ172" s="101"/>
      <c r="AK172" s="101"/>
      <c r="AL172" s="101"/>
      <c r="AM172" s="101"/>
      <c r="AN172" s="103"/>
      <c r="AO172" s="103"/>
      <c r="AP172" s="103"/>
      <c r="AQ172" s="103"/>
      <c r="AR172" s="103"/>
      <c r="AS172" s="103"/>
      <c r="AT172" s="103"/>
      <c r="AU172" s="101"/>
      <c r="AV172" s="101"/>
      <c r="AW172" s="101"/>
      <c r="AX172" s="101"/>
      <c r="AY172" s="101"/>
      <c r="AZ172" s="101"/>
      <c r="BA172" s="101"/>
      <c r="BB172" s="103"/>
      <c r="BC172" s="103"/>
      <c r="BD172" s="103"/>
      <c r="BE172" s="101"/>
      <c r="BF172" s="101"/>
      <c r="BG172" s="101"/>
      <c r="BH172" s="101"/>
      <c r="BI172" s="101"/>
      <c r="BM172" s="101"/>
      <c r="BN172" s="101"/>
      <c r="BO172" s="101"/>
      <c r="BP172" s="101"/>
      <c r="BQ172" s="101"/>
      <c r="BR172" s="101"/>
      <c r="BS172" s="101"/>
      <c r="BT172" s="104"/>
      <c r="BU172" s="104"/>
      <c r="BV172" s="104"/>
      <c r="BW172" s="104"/>
      <c r="BX172" s="104"/>
      <c r="BY172" s="104"/>
      <c r="BZ172" s="104"/>
      <c r="CA172" s="104"/>
      <c r="CB172" s="104"/>
      <c r="CC172" s="104"/>
      <c r="CD172" s="104"/>
      <c r="CE172" s="104"/>
      <c r="CF172" s="104"/>
      <c r="CG172" s="104"/>
      <c r="CH172" s="104"/>
      <c r="CI172" s="104"/>
      <c r="CJ172" s="104"/>
      <c r="CK172" s="104"/>
      <c r="CL172" s="104"/>
      <c r="CM172" s="104"/>
      <c r="CN172" s="104"/>
      <c r="CO172" s="104"/>
      <c r="CP172" s="98"/>
      <c r="CR172" s="101"/>
      <c r="CS172" s="101"/>
      <c r="CT172" s="101"/>
      <c r="CU172" s="101"/>
      <c r="CV172" s="101"/>
      <c r="FL172" s="103"/>
      <c r="FN172" s="103"/>
      <c r="FP172" s="103"/>
      <c r="FR172" s="103"/>
    </row>
    <row r="173" spans="2:174" x14ac:dyDescent="0.35">
      <c r="B173" s="97"/>
      <c r="G173" s="100"/>
      <c r="K173" s="98"/>
      <c r="L173" s="101"/>
      <c r="M173" s="101"/>
      <c r="N173" s="101"/>
      <c r="O173" s="101"/>
      <c r="P173" s="102"/>
      <c r="Q173" s="101"/>
      <c r="R173" s="98"/>
      <c r="S173" s="98"/>
      <c r="T173" s="98"/>
      <c r="U173" s="98"/>
      <c r="V173" s="98"/>
      <c r="W173" s="98"/>
      <c r="X173" s="98"/>
      <c r="Y173" s="98"/>
      <c r="Z173" s="103"/>
      <c r="AA173" s="103"/>
      <c r="AB173" s="103"/>
      <c r="AC173" s="103"/>
      <c r="AD173" s="103"/>
      <c r="AE173" s="103"/>
      <c r="AF173" s="103"/>
      <c r="AG173" s="101"/>
      <c r="AH173" s="101"/>
      <c r="AI173" s="101"/>
      <c r="AJ173" s="101"/>
      <c r="AK173" s="101"/>
      <c r="AL173" s="101"/>
      <c r="AM173" s="101"/>
      <c r="AN173" s="103"/>
      <c r="AO173" s="103"/>
      <c r="AP173" s="103"/>
      <c r="AQ173" s="103"/>
      <c r="AR173" s="103"/>
      <c r="AS173" s="103"/>
      <c r="AT173" s="103"/>
      <c r="AU173" s="101"/>
      <c r="AV173" s="101"/>
      <c r="AW173" s="101"/>
      <c r="AX173" s="101"/>
      <c r="AY173" s="101"/>
      <c r="AZ173" s="101"/>
      <c r="BA173" s="101"/>
      <c r="BB173" s="103"/>
      <c r="BC173" s="103"/>
      <c r="BD173" s="103"/>
      <c r="BE173" s="101"/>
      <c r="BF173" s="101"/>
      <c r="BG173" s="101"/>
      <c r="BH173" s="101"/>
      <c r="BI173" s="101"/>
      <c r="BM173" s="101"/>
      <c r="BN173" s="101"/>
      <c r="BO173" s="101"/>
      <c r="BP173" s="101"/>
      <c r="BQ173" s="101"/>
      <c r="BR173" s="101"/>
      <c r="BS173" s="101"/>
      <c r="BT173" s="104"/>
      <c r="BU173" s="104"/>
      <c r="BV173" s="104"/>
      <c r="BW173" s="104"/>
      <c r="BX173" s="104"/>
      <c r="BY173" s="104"/>
      <c r="BZ173" s="104"/>
      <c r="CA173" s="104"/>
      <c r="CB173" s="104"/>
      <c r="CC173" s="104"/>
      <c r="CD173" s="104"/>
      <c r="CE173" s="104"/>
      <c r="CF173" s="104"/>
      <c r="CG173" s="104"/>
      <c r="CH173" s="104"/>
      <c r="CI173" s="104"/>
      <c r="CJ173" s="104"/>
      <c r="CK173" s="104"/>
      <c r="CL173" s="104"/>
      <c r="CM173" s="104"/>
      <c r="CN173" s="104"/>
      <c r="CO173" s="104"/>
      <c r="CP173" s="98"/>
      <c r="CR173" s="101"/>
      <c r="CS173" s="101"/>
      <c r="CT173" s="101"/>
      <c r="CU173" s="101"/>
      <c r="CV173" s="101"/>
      <c r="FL173" s="103"/>
      <c r="FN173" s="103"/>
      <c r="FP173" s="103"/>
      <c r="FR173" s="103"/>
    </row>
    <row r="174" spans="2:174" x14ac:dyDescent="0.35">
      <c r="B174" s="97"/>
      <c r="G174" s="100"/>
      <c r="K174" s="98"/>
      <c r="L174" s="101"/>
      <c r="M174" s="101"/>
      <c r="N174" s="101"/>
      <c r="O174" s="101"/>
      <c r="P174" s="102"/>
      <c r="Q174" s="101"/>
      <c r="R174" s="98"/>
      <c r="S174" s="98"/>
      <c r="T174" s="98"/>
      <c r="U174" s="98"/>
      <c r="V174" s="98"/>
      <c r="W174" s="98"/>
      <c r="X174" s="98"/>
      <c r="Y174" s="98"/>
      <c r="Z174" s="103"/>
      <c r="AA174" s="103"/>
      <c r="AB174" s="103"/>
      <c r="AC174" s="103"/>
      <c r="AD174" s="103"/>
      <c r="AE174" s="103"/>
      <c r="AF174" s="103"/>
      <c r="AG174" s="101"/>
      <c r="AH174" s="101"/>
      <c r="AI174" s="101"/>
      <c r="AJ174" s="101"/>
      <c r="AK174" s="101"/>
      <c r="AL174" s="101"/>
      <c r="AM174" s="101"/>
      <c r="AN174" s="103"/>
      <c r="AO174" s="103"/>
      <c r="AP174" s="103"/>
      <c r="AQ174" s="103"/>
      <c r="AR174" s="103"/>
      <c r="AS174" s="103"/>
      <c r="AT174" s="103"/>
      <c r="AU174" s="101"/>
      <c r="AV174" s="101"/>
      <c r="AW174" s="101"/>
      <c r="AX174" s="101"/>
      <c r="AY174" s="101"/>
      <c r="AZ174" s="101"/>
      <c r="BA174" s="101"/>
      <c r="BB174" s="103"/>
      <c r="BC174" s="103"/>
      <c r="BD174" s="103"/>
      <c r="BE174" s="101"/>
      <c r="BF174" s="101"/>
      <c r="BG174" s="101"/>
      <c r="BH174" s="101"/>
      <c r="BI174" s="101"/>
      <c r="BM174" s="101"/>
      <c r="BN174" s="101"/>
      <c r="BO174" s="101"/>
      <c r="BP174" s="101"/>
      <c r="BQ174" s="101"/>
      <c r="BR174" s="101"/>
      <c r="BS174" s="101"/>
      <c r="BT174" s="104"/>
      <c r="BU174" s="104"/>
      <c r="BV174" s="104"/>
      <c r="BW174" s="104"/>
      <c r="BX174" s="104"/>
      <c r="BY174" s="104"/>
      <c r="BZ174" s="104"/>
      <c r="CA174" s="104"/>
      <c r="CB174" s="104"/>
      <c r="CC174" s="104"/>
      <c r="CD174" s="104"/>
      <c r="CE174" s="104"/>
      <c r="CF174" s="104"/>
      <c r="CG174" s="104"/>
      <c r="CH174" s="104"/>
      <c r="CI174" s="104"/>
      <c r="CJ174" s="104"/>
      <c r="CK174" s="104"/>
      <c r="CL174" s="104"/>
      <c r="CM174" s="104"/>
      <c r="CN174" s="104"/>
      <c r="CO174" s="104"/>
      <c r="CP174" s="98"/>
      <c r="CR174" s="101"/>
      <c r="CS174" s="101"/>
      <c r="CT174" s="101"/>
      <c r="CU174" s="101"/>
      <c r="CV174" s="101"/>
      <c r="FL174" s="103"/>
      <c r="FN174" s="103"/>
      <c r="FP174" s="103"/>
      <c r="FR174" s="103"/>
    </row>
    <row r="175" spans="2:174" x14ac:dyDescent="0.35">
      <c r="B175" s="97"/>
      <c r="G175" s="100"/>
      <c r="K175" s="98"/>
      <c r="L175" s="101"/>
      <c r="M175" s="101"/>
      <c r="N175" s="101"/>
      <c r="O175" s="101"/>
      <c r="P175" s="102"/>
      <c r="Q175" s="101"/>
      <c r="R175" s="98"/>
      <c r="S175" s="98"/>
      <c r="T175" s="98"/>
      <c r="U175" s="98"/>
      <c r="V175" s="98"/>
      <c r="W175" s="98"/>
      <c r="X175" s="98"/>
      <c r="Y175" s="98"/>
      <c r="Z175" s="103"/>
      <c r="AA175" s="103"/>
      <c r="AB175" s="103"/>
      <c r="AC175" s="103"/>
      <c r="AD175" s="103"/>
      <c r="AE175" s="103"/>
      <c r="AF175" s="103"/>
      <c r="AG175" s="101"/>
      <c r="AH175" s="101"/>
      <c r="AI175" s="101"/>
      <c r="AJ175" s="101"/>
      <c r="AK175" s="101"/>
      <c r="AL175" s="101"/>
      <c r="AM175" s="101"/>
      <c r="AN175" s="103"/>
      <c r="AO175" s="103"/>
      <c r="AP175" s="103"/>
      <c r="AQ175" s="103"/>
      <c r="AR175" s="103"/>
      <c r="AS175" s="103"/>
      <c r="AT175" s="103"/>
      <c r="AU175" s="101"/>
      <c r="AV175" s="101"/>
      <c r="AW175" s="101"/>
      <c r="AX175" s="101"/>
      <c r="AY175" s="101"/>
      <c r="AZ175" s="101"/>
      <c r="BA175" s="101"/>
      <c r="BB175" s="103"/>
      <c r="BC175" s="103"/>
      <c r="BD175" s="103"/>
      <c r="BE175" s="101"/>
      <c r="BF175" s="101"/>
      <c r="BG175" s="101"/>
      <c r="BH175" s="101"/>
      <c r="BI175" s="101"/>
      <c r="BM175" s="101"/>
      <c r="BN175" s="101"/>
      <c r="BO175" s="101"/>
      <c r="BP175" s="101"/>
      <c r="BQ175" s="101"/>
      <c r="BR175" s="101"/>
      <c r="BS175" s="101"/>
      <c r="BT175" s="104"/>
      <c r="BU175" s="104"/>
      <c r="BV175" s="104"/>
      <c r="BW175" s="104"/>
      <c r="BX175" s="104"/>
      <c r="BY175" s="104"/>
      <c r="BZ175" s="104"/>
      <c r="CA175" s="104"/>
      <c r="CB175" s="104"/>
      <c r="CC175" s="104"/>
      <c r="CD175" s="104"/>
      <c r="CE175" s="104"/>
      <c r="CF175" s="104"/>
      <c r="CG175" s="104"/>
      <c r="CH175" s="104"/>
      <c r="CI175" s="104"/>
      <c r="CJ175" s="104"/>
      <c r="CK175" s="104"/>
      <c r="CL175" s="104"/>
      <c r="CM175" s="104"/>
      <c r="CN175" s="104"/>
      <c r="CO175" s="104"/>
      <c r="CP175" s="98"/>
      <c r="CR175" s="101"/>
      <c r="CS175" s="101"/>
      <c r="CT175" s="101"/>
      <c r="CU175" s="101"/>
      <c r="CV175" s="101"/>
      <c r="FL175" s="103"/>
      <c r="FN175" s="103"/>
      <c r="FP175" s="103"/>
      <c r="FR175" s="103"/>
    </row>
    <row r="176" spans="2:174" x14ac:dyDescent="0.35">
      <c r="B176" s="97"/>
      <c r="G176" s="100"/>
      <c r="K176" s="98"/>
      <c r="L176" s="101"/>
      <c r="M176" s="101"/>
      <c r="N176" s="101"/>
      <c r="O176" s="101"/>
      <c r="P176" s="102"/>
      <c r="Q176" s="101"/>
      <c r="R176" s="98"/>
      <c r="S176" s="98"/>
      <c r="T176" s="98"/>
      <c r="U176" s="98"/>
      <c r="V176" s="98"/>
      <c r="W176" s="98"/>
      <c r="X176" s="98"/>
      <c r="Y176" s="98"/>
      <c r="Z176" s="103"/>
      <c r="AA176" s="103"/>
      <c r="AB176" s="103"/>
      <c r="AC176" s="103"/>
      <c r="AD176" s="103"/>
      <c r="AE176" s="103"/>
      <c r="AF176" s="103"/>
      <c r="AG176" s="101"/>
      <c r="AH176" s="101"/>
      <c r="AI176" s="101"/>
      <c r="AJ176" s="101"/>
      <c r="AK176" s="101"/>
      <c r="AL176" s="101"/>
      <c r="AM176" s="101"/>
      <c r="AN176" s="103"/>
      <c r="AO176" s="103"/>
      <c r="AP176" s="103"/>
      <c r="AQ176" s="103"/>
      <c r="AR176" s="103"/>
      <c r="AS176" s="103"/>
      <c r="AT176" s="103"/>
      <c r="AU176" s="101"/>
      <c r="AV176" s="101"/>
      <c r="AW176" s="101"/>
      <c r="AX176" s="101"/>
      <c r="AY176" s="101"/>
      <c r="AZ176" s="101"/>
      <c r="BA176" s="101"/>
      <c r="BB176" s="103"/>
      <c r="BC176" s="103"/>
      <c r="BD176" s="103"/>
      <c r="BE176" s="101"/>
      <c r="BF176" s="101"/>
      <c r="BG176" s="101"/>
      <c r="BH176" s="101"/>
      <c r="BI176" s="101"/>
      <c r="BM176" s="101"/>
      <c r="BN176" s="101"/>
      <c r="BO176" s="101"/>
      <c r="BP176" s="101"/>
      <c r="BQ176" s="101"/>
      <c r="BR176" s="101"/>
      <c r="BS176" s="101"/>
      <c r="BT176" s="104"/>
      <c r="BU176" s="104"/>
      <c r="BV176" s="104"/>
      <c r="BW176" s="104"/>
      <c r="BX176" s="104"/>
      <c r="BY176" s="104"/>
      <c r="BZ176" s="104"/>
      <c r="CA176" s="104"/>
      <c r="CB176" s="104"/>
      <c r="CC176" s="104"/>
      <c r="CD176" s="104"/>
      <c r="CE176" s="104"/>
      <c r="CF176" s="104"/>
      <c r="CG176" s="104"/>
      <c r="CH176" s="104"/>
      <c r="CI176" s="104"/>
      <c r="CJ176" s="104"/>
      <c r="CK176" s="104"/>
      <c r="CL176" s="104"/>
      <c r="CM176" s="104"/>
      <c r="CN176" s="104"/>
      <c r="CO176" s="104"/>
      <c r="CP176" s="98"/>
      <c r="CR176" s="101"/>
      <c r="CS176" s="101"/>
      <c r="CT176" s="101"/>
      <c r="CU176" s="101"/>
      <c r="CV176" s="101"/>
      <c r="FL176" s="103"/>
      <c r="FN176" s="103"/>
      <c r="FP176" s="103"/>
      <c r="FR176" s="103"/>
    </row>
    <row r="177" spans="2:174" x14ac:dyDescent="0.35">
      <c r="B177" s="97"/>
      <c r="G177" s="100"/>
      <c r="K177" s="98"/>
      <c r="L177" s="101"/>
      <c r="M177" s="101"/>
      <c r="N177" s="101"/>
      <c r="O177" s="101"/>
      <c r="P177" s="102"/>
      <c r="Q177" s="101"/>
      <c r="R177" s="98"/>
      <c r="S177" s="98"/>
      <c r="T177" s="98"/>
      <c r="U177" s="98"/>
      <c r="V177" s="98"/>
      <c r="W177" s="98"/>
      <c r="X177" s="98"/>
      <c r="Y177" s="98"/>
      <c r="Z177" s="103"/>
      <c r="AA177" s="103"/>
      <c r="AB177" s="103"/>
      <c r="AC177" s="103"/>
      <c r="AD177" s="103"/>
      <c r="AE177" s="103"/>
      <c r="AF177" s="103"/>
      <c r="AG177" s="101"/>
      <c r="AH177" s="101"/>
      <c r="AI177" s="101"/>
      <c r="AJ177" s="101"/>
      <c r="AK177" s="101"/>
      <c r="AL177" s="101"/>
      <c r="AM177" s="101"/>
      <c r="AN177" s="103"/>
      <c r="AO177" s="103"/>
      <c r="AP177" s="103"/>
      <c r="AQ177" s="103"/>
      <c r="AR177" s="103"/>
      <c r="AS177" s="103"/>
      <c r="AT177" s="103"/>
      <c r="AU177" s="101"/>
      <c r="AV177" s="101"/>
      <c r="AW177" s="101"/>
      <c r="AX177" s="101"/>
      <c r="AY177" s="101"/>
      <c r="AZ177" s="101"/>
      <c r="BA177" s="101"/>
      <c r="BB177" s="103"/>
      <c r="BC177" s="103"/>
      <c r="BD177" s="103"/>
      <c r="BE177" s="101"/>
      <c r="BF177" s="101"/>
      <c r="BG177" s="101"/>
      <c r="BH177" s="101"/>
      <c r="BI177" s="101"/>
      <c r="BM177" s="101"/>
      <c r="BN177" s="101"/>
      <c r="BO177" s="101"/>
      <c r="BP177" s="101"/>
      <c r="BQ177" s="101"/>
      <c r="BR177" s="101"/>
      <c r="BS177" s="101"/>
      <c r="BT177" s="104"/>
      <c r="BU177" s="104"/>
      <c r="BV177" s="104"/>
      <c r="BW177" s="104"/>
      <c r="BX177" s="104"/>
      <c r="BY177" s="104"/>
      <c r="BZ177" s="104"/>
      <c r="CA177" s="104"/>
      <c r="CB177" s="104"/>
      <c r="CC177" s="104"/>
      <c r="CD177" s="104"/>
      <c r="CE177" s="104"/>
      <c r="CF177" s="104"/>
      <c r="CG177" s="104"/>
      <c r="CH177" s="104"/>
      <c r="CI177" s="104"/>
      <c r="CJ177" s="104"/>
      <c r="CK177" s="104"/>
      <c r="CL177" s="104"/>
      <c r="CM177" s="104"/>
      <c r="CN177" s="104"/>
      <c r="CO177" s="104"/>
      <c r="CP177" s="98"/>
      <c r="CR177" s="101"/>
      <c r="CS177" s="101"/>
      <c r="CT177" s="101"/>
      <c r="CU177" s="101"/>
      <c r="CV177" s="101"/>
      <c r="FL177" s="103"/>
      <c r="FN177" s="103"/>
      <c r="FP177" s="103"/>
      <c r="FR177" s="103"/>
    </row>
    <row r="178" spans="2:174" x14ac:dyDescent="0.35">
      <c r="B178" s="97"/>
      <c r="G178" s="100"/>
      <c r="K178" s="98"/>
      <c r="L178" s="101"/>
      <c r="M178" s="101"/>
      <c r="N178" s="101"/>
      <c r="O178" s="101"/>
      <c r="P178" s="102"/>
      <c r="Q178" s="101"/>
      <c r="R178" s="98"/>
      <c r="S178" s="98"/>
      <c r="T178" s="98"/>
      <c r="U178" s="98"/>
      <c r="V178" s="98"/>
      <c r="W178" s="98"/>
      <c r="X178" s="98"/>
      <c r="Y178" s="98"/>
      <c r="Z178" s="103"/>
      <c r="AA178" s="103"/>
      <c r="AB178" s="103"/>
      <c r="AC178" s="103"/>
      <c r="AD178" s="103"/>
      <c r="AE178" s="103"/>
      <c r="AF178" s="103"/>
      <c r="AG178" s="101"/>
      <c r="AH178" s="101"/>
      <c r="AI178" s="101"/>
      <c r="AJ178" s="101"/>
      <c r="AK178" s="101"/>
      <c r="AL178" s="101"/>
      <c r="AM178" s="101"/>
      <c r="AN178" s="103"/>
      <c r="AO178" s="103"/>
      <c r="AP178" s="103"/>
      <c r="AQ178" s="103"/>
      <c r="AR178" s="103"/>
      <c r="AS178" s="103"/>
      <c r="AT178" s="103"/>
      <c r="AU178" s="101"/>
      <c r="AV178" s="101"/>
      <c r="AW178" s="101"/>
      <c r="AX178" s="101"/>
      <c r="AY178" s="101"/>
      <c r="AZ178" s="101"/>
      <c r="BA178" s="101"/>
      <c r="BB178" s="103"/>
      <c r="BC178" s="103"/>
      <c r="BD178" s="103"/>
      <c r="BE178" s="101"/>
      <c r="BF178" s="101"/>
      <c r="BG178" s="101"/>
      <c r="BH178" s="101"/>
      <c r="BI178" s="101"/>
      <c r="BM178" s="101"/>
      <c r="BN178" s="101"/>
      <c r="BO178" s="101"/>
      <c r="BP178" s="101"/>
      <c r="BQ178" s="101"/>
      <c r="BR178" s="101"/>
      <c r="BS178" s="101"/>
      <c r="BT178" s="104"/>
      <c r="BU178" s="104"/>
      <c r="BV178" s="104"/>
      <c r="BW178" s="104"/>
      <c r="BX178" s="104"/>
      <c r="BY178" s="104"/>
      <c r="BZ178" s="104"/>
      <c r="CA178" s="104"/>
      <c r="CB178" s="104"/>
      <c r="CC178" s="104"/>
      <c r="CD178" s="104"/>
      <c r="CE178" s="104"/>
      <c r="CF178" s="104"/>
      <c r="CG178" s="104"/>
      <c r="CH178" s="104"/>
      <c r="CI178" s="104"/>
      <c r="CJ178" s="104"/>
      <c r="CK178" s="104"/>
      <c r="CL178" s="104"/>
      <c r="CM178" s="104"/>
      <c r="CN178" s="104"/>
      <c r="CO178" s="104"/>
      <c r="CP178" s="98"/>
      <c r="CR178" s="101"/>
      <c r="CS178" s="101"/>
      <c r="CT178" s="101"/>
      <c r="CU178" s="101"/>
      <c r="CV178" s="101"/>
      <c r="FL178" s="103"/>
      <c r="FN178" s="103"/>
      <c r="FP178" s="103"/>
      <c r="FR178" s="103"/>
    </row>
    <row r="179" spans="2:174" x14ac:dyDescent="0.35">
      <c r="B179" s="97"/>
      <c r="G179" s="100"/>
      <c r="K179" s="98"/>
      <c r="L179" s="101"/>
      <c r="M179" s="101"/>
      <c r="N179" s="101"/>
      <c r="O179" s="101"/>
      <c r="P179" s="102"/>
      <c r="Q179" s="101"/>
      <c r="R179" s="98"/>
      <c r="S179" s="98"/>
      <c r="T179" s="98"/>
      <c r="U179" s="98"/>
      <c r="V179" s="98"/>
      <c r="W179" s="98"/>
      <c r="X179" s="98"/>
      <c r="Y179" s="98"/>
      <c r="Z179" s="103"/>
      <c r="AA179" s="103"/>
      <c r="AB179" s="103"/>
      <c r="AC179" s="103"/>
      <c r="AD179" s="103"/>
      <c r="AE179" s="103"/>
      <c r="AF179" s="103"/>
      <c r="AG179" s="101"/>
      <c r="AH179" s="101"/>
      <c r="AI179" s="101"/>
      <c r="AJ179" s="101"/>
      <c r="AK179" s="101"/>
      <c r="AL179" s="101"/>
      <c r="AM179" s="101"/>
      <c r="AN179" s="103"/>
      <c r="AO179" s="103"/>
      <c r="AP179" s="103"/>
      <c r="AQ179" s="103"/>
      <c r="AR179" s="103"/>
      <c r="AS179" s="103"/>
      <c r="AT179" s="103"/>
      <c r="AU179" s="101"/>
      <c r="AV179" s="101"/>
      <c r="AW179" s="101"/>
      <c r="AX179" s="101"/>
      <c r="AY179" s="101"/>
      <c r="AZ179" s="101"/>
      <c r="BA179" s="101"/>
      <c r="BB179" s="103"/>
      <c r="BC179" s="103"/>
      <c r="BD179" s="103"/>
      <c r="BE179" s="101"/>
      <c r="BF179" s="101"/>
      <c r="BG179" s="101"/>
      <c r="BH179" s="101"/>
      <c r="BI179" s="101"/>
      <c r="BM179" s="101"/>
      <c r="BN179" s="101"/>
      <c r="BO179" s="101"/>
      <c r="BP179" s="101"/>
      <c r="BQ179" s="101"/>
      <c r="BR179" s="101"/>
      <c r="BS179" s="101"/>
      <c r="BT179" s="104"/>
      <c r="BU179" s="104"/>
      <c r="BV179" s="104"/>
      <c r="BW179" s="104"/>
      <c r="BX179" s="104"/>
      <c r="BY179" s="104"/>
      <c r="BZ179" s="104"/>
      <c r="CA179" s="104"/>
      <c r="CB179" s="104"/>
      <c r="CC179" s="104"/>
      <c r="CD179" s="104"/>
      <c r="CE179" s="104"/>
      <c r="CF179" s="104"/>
      <c r="CG179" s="104"/>
      <c r="CH179" s="104"/>
      <c r="CI179" s="104"/>
      <c r="CJ179" s="104"/>
      <c r="CK179" s="104"/>
      <c r="CL179" s="104"/>
      <c r="CM179" s="104"/>
      <c r="CN179" s="104"/>
      <c r="CO179" s="104"/>
      <c r="CP179" s="98"/>
      <c r="CR179" s="101"/>
      <c r="CS179" s="101"/>
      <c r="CT179" s="101"/>
      <c r="CU179" s="101"/>
      <c r="CV179" s="101"/>
      <c r="FL179" s="103"/>
      <c r="FN179" s="103"/>
      <c r="FP179" s="103"/>
      <c r="FR179" s="103"/>
    </row>
    <row r="180" spans="2:174" x14ac:dyDescent="0.35">
      <c r="B180" s="97"/>
      <c r="G180" s="100"/>
      <c r="K180" s="98"/>
      <c r="L180" s="101"/>
      <c r="M180" s="101"/>
      <c r="N180" s="101"/>
      <c r="O180" s="101"/>
      <c r="P180" s="102"/>
      <c r="Q180" s="101"/>
      <c r="R180" s="98"/>
      <c r="S180" s="98"/>
      <c r="T180" s="98"/>
      <c r="U180" s="98"/>
      <c r="V180" s="98"/>
      <c r="W180" s="98"/>
      <c r="X180" s="98"/>
      <c r="Y180" s="98"/>
      <c r="Z180" s="103"/>
      <c r="AA180" s="103"/>
      <c r="AB180" s="103"/>
      <c r="AC180" s="103"/>
      <c r="AD180" s="103"/>
      <c r="AE180" s="103"/>
      <c r="AF180" s="103"/>
      <c r="AG180" s="101"/>
      <c r="AH180" s="101"/>
      <c r="AI180" s="101"/>
      <c r="AJ180" s="101"/>
      <c r="AK180" s="101"/>
      <c r="AL180" s="101"/>
      <c r="AM180" s="101"/>
      <c r="AN180" s="103"/>
      <c r="AO180" s="103"/>
      <c r="AP180" s="103"/>
      <c r="AQ180" s="103"/>
      <c r="AR180" s="103"/>
      <c r="AS180" s="103"/>
      <c r="AT180" s="103"/>
      <c r="AU180" s="101"/>
      <c r="AV180" s="101"/>
      <c r="AW180" s="101"/>
      <c r="AX180" s="101"/>
      <c r="AY180" s="101"/>
      <c r="AZ180" s="101"/>
      <c r="BA180" s="101"/>
      <c r="BB180" s="103"/>
      <c r="BC180" s="103"/>
      <c r="BD180" s="103"/>
      <c r="BE180" s="101"/>
      <c r="BF180" s="101"/>
      <c r="BG180" s="101"/>
      <c r="BH180" s="101"/>
      <c r="BI180" s="101"/>
      <c r="BM180" s="101"/>
      <c r="BN180" s="101"/>
      <c r="BO180" s="101"/>
      <c r="BP180" s="101"/>
      <c r="BQ180" s="101"/>
      <c r="BR180" s="101"/>
      <c r="BS180" s="101"/>
      <c r="BT180" s="104"/>
      <c r="BU180" s="104"/>
      <c r="BV180" s="104"/>
      <c r="BW180" s="104"/>
      <c r="BX180" s="104"/>
      <c r="BY180" s="104"/>
      <c r="BZ180" s="104"/>
      <c r="CA180" s="104"/>
      <c r="CB180" s="104"/>
      <c r="CC180" s="104"/>
      <c r="CD180" s="104"/>
      <c r="CE180" s="104"/>
      <c r="CF180" s="104"/>
      <c r="CG180" s="104"/>
      <c r="CH180" s="104"/>
      <c r="CI180" s="104"/>
      <c r="CJ180" s="104"/>
      <c r="CK180" s="104"/>
      <c r="CL180" s="104"/>
      <c r="CM180" s="104"/>
      <c r="CN180" s="104"/>
      <c r="CO180" s="104"/>
      <c r="CP180" s="98"/>
      <c r="CR180" s="101"/>
      <c r="CS180" s="101"/>
      <c r="CT180" s="101"/>
      <c r="CU180" s="101"/>
      <c r="CV180" s="101"/>
      <c r="FL180" s="103"/>
      <c r="FN180" s="103"/>
      <c r="FP180" s="103"/>
      <c r="FR180" s="103"/>
    </row>
    <row r="181" spans="2:174" x14ac:dyDescent="0.35">
      <c r="B181" s="97"/>
      <c r="G181" s="100"/>
      <c r="K181" s="98"/>
      <c r="L181" s="101"/>
      <c r="M181" s="101"/>
      <c r="N181" s="101"/>
      <c r="O181" s="101"/>
      <c r="P181" s="102"/>
      <c r="Q181" s="101"/>
      <c r="R181" s="98"/>
      <c r="S181" s="98"/>
      <c r="T181" s="98"/>
      <c r="U181" s="98"/>
      <c r="V181" s="98"/>
      <c r="W181" s="98"/>
      <c r="X181" s="98"/>
      <c r="Y181" s="98"/>
      <c r="Z181" s="103"/>
      <c r="AA181" s="103"/>
      <c r="AB181" s="103"/>
      <c r="AC181" s="103"/>
      <c r="AD181" s="103"/>
      <c r="AE181" s="103"/>
      <c r="AF181" s="103"/>
      <c r="AG181" s="101"/>
      <c r="AH181" s="101"/>
      <c r="AI181" s="101"/>
      <c r="AJ181" s="101"/>
      <c r="AK181" s="101"/>
      <c r="AL181" s="101"/>
      <c r="AM181" s="101"/>
      <c r="AN181" s="103"/>
      <c r="AO181" s="103"/>
      <c r="AP181" s="103"/>
      <c r="AQ181" s="103"/>
      <c r="AR181" s="103"/>
      <c r="AS181" s="103"/>
      <c r="AT181" s="103"/>
      <c r="AU181" s="101"/>
      <c r="AV181" s="101"/>
      <c r="AW181" s="101"/>
      <c r="AX181" s="101"/>
      <c r="AY181" s="101"/>
      <c r="AZ181" s="101"/>
      <c r="BA181" s="101"/>
      <c r="BB181" s="103"/>
      <c r="BC181" s="103"/>
      <c r="BD181" s="103"/>
      <c r="BE181" s="101"/>
      <c r="BF181" s="101"/>
      <c r="BG181" s="101"/>
      <c r="BH181" s="101"/>
      <c r="BI181" s="101"/>
      <c r="BM181" s="101"/>
      <c r="BN181" s="101"/>
      <c r="BO181" s="101"/>
      <c r="BP181" s="101"/>
      <c r="BQ181" s="101"/>
      <c r="BR181" s="101"/>
      <c r="BS181" s="101"/>
      <c r="BT181" s="104"/>
      <c r="BU181" s="104"/>
      <c r="BV181" s="104"/>
      <c r="BW181" s="104"/>
      <c r="BX181" s="104"/>
      <c r="BY181" s="104"/>
      <c r="BZ181" s="104"/>
      <c r="CA181" s="104"/>
      <c r="CB181" s="104"/>
      <c r="CC181" s="104"/>
      <c r="CD181" s="104"/>
      <c r="CE181" s="104"/>
      <c r="CF181" s="104"/>
      <c r="CG181" s="104"/>
      <c r="CH181" s="104"/>
      <c r="CI181" s="104"/>
      <c r="CJ181" s="104"/>
      <c r="CK181" s="104"/>
      <c r="CL181" s="104"/>
      <c r="CM181" s="104"/>
      <c r="CN181" s="104"/>
      <c r="CO181" s="104"/>
      <c r="CP181" s="98"/>
      <c r="CR181" s="101"/>
      <c r="CS181" s="101"/>
      <c r="CT181" s="101"/>
      <c r="CU181" s="101"/>
      <c r="CV181" s="101"/>
      <c r="FL181" s="103"/>
      <c r="FN181" s="103"/>
      <c r="FP181" s="103"/>
      <c r="FR181" s="103"/>
    </row>
    <row r="182" spans="2:174" x14ac:dyDescent="0.35">
      <c r="B182" s="97"/>
      <c r="G182" s="100"/>
      <c r="K182" s="98"/>
      <c r="L182" s="101"/>
      <c r="M182" s="101"/>
      <c r="N182" s="101"/>
      <c r="O182" s="101"/>
      <c r="P182" s="102"/>
      <c r="Q182" s="101"/>
      <c r="R182" s="98"/>
      <c r="S182" s="98"/>
      <c r="T182" s="98"/>
      <c r="U182" s="98"/>
      <c r="V182" s="98"/>
      <c r="W182" s="98"/>
      <c r="X182" s="98"/>
      <c r="Y182" s="98"/>
      <c r="Z182" s="103"/>
      <c r="AA182" s="103"/>
      <c r="AB182" s="103"/>
      <c r="AC182" s="103"/>
      <c r="AD182" s="103"/>
      <c r="AE182" s="103"/>
      <c r="AF182" s="103"/>
      <c r="AG182" s="101"/>
      <c r="AH182" s="101"/>
      <c r="AI182" s="101"/>
      <c r="AJ182" s="101"/>
      <c r="AK182" s="101"/>
      <c r="AL182" s="101"/>
      <c r="AM182" s="101"/>
      <c r="AN182" s="103"/>
      <c r="AO182" s="103"/>
      <c r="AP182" s="103"/>
      <c r="AQ182" s="103"/>
      <c r="AR182" s="103"/>
      <c r="AS182" s="103"/>
      <c r="AT182" s="103"/>
      <c r="AU182" s="101"/>
      <c r="AV182" s="101"/>
      <c r="AW182" s="101"/>
      <c r="AX182" s="101"/>
      <c r="AY182" s="101"/>
      <c r="AZ182" s="101"/>
      <c r="BA182" s="101"/>
      <c r="BB182" s="103"/>
      <c r="BC182" s="103"/>
      <c r="BD182" s="103"/>
      <c r="BE182" s="101"/>
      <c r="BF182" s="101"/>
      <c r="BG182" s="101"/>
      <c r="BH182" s="101"/>
      <c r="BI182" s="101"/>
      <c r="BM182" s="101"/>
      <c r="BN182" s="101"/>
      <c r="BO182" s="101"/>
      <c r="BP182" s="101"/>
      <c r="BQ182" s="101"/>
      <c r="BR182" s="101"/>
      <c r="BS182" s="101"/>
      <c r="BT182" s="104"/>
      <c r="BU182" s="104"/>
      <c r="BV182" s="104"/>
      <c r="BW182" s="104"/>
      <c r="BX182" s="104"/>
      <c r="BY182" s="104"/>
      <c r="BZ182" s="104"/>
      <c r="CA182" s="104"/>
      <c r="CB182" s="104"/>
      <c r="CC182" s="104"/>
      <c r="CD182" s="104"/>
      <c r="CE182" s="104"/>
      <c r="CF182" s="104"/>
      <c r="CG182" s="104"/>
      <c r="CH182" s="104"/>
      <c r="CI182" s="104"/>
      <c r="CJ182" s="104"/>
      <c r="CK182" s="104"/>
      <c r="CL182" s="104"/>
      <c r="CM182" s="104"/>
      <c r="CN182" s="104"/>
      <c r="CO182" s="104"/>
      <c r="CP182" s="98"/>
      <c r="CR182" s="101"/>
      <c r="CS182" s="101"/>
      <c r="CT182" s="101"/>
      <c r="CU182" s="101"/>
      <c r="CV182" s="101"/>
      <c r="FL182" s="103"/>
      <c r="FN182" s="103"/>
      <c r="FP182" s="103"/>
      <c r="FR182" s="103"/>
    </row>
    <row r="183" spans="2:174" x14ac:dyDescent="0.35">
      <c r="B183" s="97"/>
      <c r="G183" s="100"/>
      <c r="K183" s="98"/>
      <c r="L183" s="101"/>
      <c r="M183" s="101"/>
      <c r="N183" s="101"/>
      <c r="O183" s="101"/>
      <c r="P183" s="102"/>
      <c r="Q183" s="101"/>
      <c r="R183" s="98"/>
      <c r="S183" s="98"/>
      <c r="T183" s="98"/>
      <c r="U183" s="98"/>
      <c r="V183" s="98"/>
      <c r="W183" s="98"/>
      <c r="X183" s="98"/>
      <c r="Y183" s="98"/>
      <c r="Z183" s="103"/>
      <c r="AA183" s="103"/>
      <c r="AB183" s="103"/>
      <c r="AC183" s="103"/>
      <c r="AD183" s="103"/>
      <c r="AE183" s="103"/>
      <c r="AF183" s="103"/>
      <c r="AG183" s="101"/>
      <c r="AH183" s="101"/>
      <c r="AI183" s="101"/>
      <c r="AJ183" s="101"/>
      <c r="AK183" s="101"/>
      <c r="AL183" s="101"/>
      <c r="AM183" s="101"/>
      <c r="AN183" s="103"/>
      <c r="AO183" s="103"/>
      <c r="AP183" s="103"/>
      <c r="AQ183" s="103"/>
      <c r="AR183" s="103"/>
      <c r="AS183" s="103"/>
      <c r="AT183" s="103"/>
      <c r="AU183" s="101"/>
      <c r="AV183" s="101"/>
      <c r="AW183" s="101"/>
      <c r="AX183" s="101"/>
      <c r="AY183" s="101"/>
      <c r="AZ183" s="101"/>
      <c r="BA183" s="101"/>
      <c r="BB183" s="103"/>
      <c r="BC183" s="103"/>
      <c r="BD183" s="103"/>
      <c r="BE183" s="101"/>
      <c r="BF183" s="101"/>
      <c r="BG183" s="101"/>
      <c r="BH183" s="101"/>
      <c r="BI183" s="101"/>
      <c r="BM183" s="101"/>
      <c r="BN183" s="101"/>
      <c r="BO183" s="101"/>
      <c r="BP183" s="101"/>
      <c r="BQ183" s="101"/>
      <c r="BR183" s="101"/>
      <c r="BS183" s="101"/>
      <c r="BT183" s="104"/>
      <c r="BU183" s="104"/>
      <c r="BV183" s="104"/>
      <c r="BW183" s="104"/>
      <c r="BX183" s="104"/>
      <c r="BY183" s="104"/>
      <c r="BZ183" s="104"/>
      <c r="CA183" s="104"/>
      <c r="CB183" s="104"/>
      <c r="CC183" s="104"/>
      <c r="CD183" s="104"/>
      <c r="CE183" s="104"/>
      <c r="CF183" s="104"/>
      <c r="CG183" s="104"/>
      <c r="CH183" s="104"/>
      <c r="CI183" s="104"/>
      <c r="CJ183" s="104"/>
      <c r="CK183" s="104"/>
      <c r="CL183" s="104"/>
      <c r="CM183" s="104"/>
      <c r="CN183" s="104"/>
      <c r="CO183" s="104"/>
      <c r="CP183" s="98"/>
      <c r="CR183" s="101"/>
      <c r="CS183" s="101"/>
      <c r="CT183" s="101"/>
      <c r="CU183" s="101"/>
      <c r="CV183" s="101"/>
      <c r="FL183" s="103"/>
      <c r="FN183" s="103"/>
      <c r="FP183" s="103"/>
      <c r="FR183" s="103"/>
    </row>
    <row r="184" spans="2:174" x14ac:dyDescent="0.35">
      <c r="B184" s="97"/>
      <c r="G184" s="100"/>
      <c r="K184" s="98"/>
      <c r="L184" s="101"/>
      <c r="M184" s="101"/>
      <c r="N184" s="101"/>
      <c r="O184" s="101"/>
      <c r="P184" s="102"/>
      <c r="Q184" s="101"/>
      <c r="R184" s="98"/>
      <c r="S184" s="98"/>
      <c r="T184" s="98"/>
      <c r="U184" s="98"/>
      <c r="V184" s="98"/>
      <c r="W184" s="98"/>
      <c r="X184" s="98"/>
      <c r="Y184" s="98"/>
      <c r="Z184" s="103"/>
      <c r="AA184" s="103"/>
      <c r="AB184" s="103"/>
      <c r="AC184" s="103"/>
      <c r="AD184" s="103"/>
      <c r="AE184" s="103"/>
      <c r="AF184" s="103"/>
      <c r="AG184" s="101"/>
      <c r="AH184" s="101"/>
      <c r="AI184" s="101"/>
      <c r="AJ184" s="101"/>
      <c r="AK184" s="101"/>
      <c r="AL184" s="101"/>
      <c r="AM184" s="101"/>
      <c r="AN184" s="103"/>
      <c r="AO184" s="103"/>
      <c r="AP184" s="103"/>
      <c r="AQ184" s="103"/>
      <c r="AR184" s="103"/>
      <c r="AS184" s="103"/>
      <c r="AT184" s="103"/>
      <c r="AU184" s="101"/>
      <c r="AV184" s="101"/>
      <c r="AW184" s="101"/>
      <c r="AX184" s="101"/>
      <c r="AY184" s="101"/>
      <c r="AZ184" s="101"/>
      <c r="BA184" s="101"/>
      <c r="BB184" s="103"/>
      <c r="BC184" s="103"/>
      <c r="BD184" s="103"/>
      <c r="BE184" s="101"/>
      <c r="BF184" s="101"/>
      <c r="BG184" s="101"/>
      <c r="BH184" s="101"/>
      <c r="BI184" s="101"/>
      <c r="BM184" s="101"/>
      <c r="BN184" s="101"/>
      <c r="BO184" s="101"/>
      <c r="BP184" s="101"/>
      <c r="BQ184" s="101"/>
      <c r="BR184" s="101"/>
      <c r="BS184" s="101"/>
      <c r="BT184" s="104"/>
      <c r="BU184" s="104"/>
      <c r="BV184" s="104"/>
      <c r="BW184" s="104"/>
      <c r="BX184" s="104"/>
      <c r="BY184" s="104"/>
      <c r="BZ184" s="104"/>
      <c r="CA184" s="104"/>
      <c r="CB184" s="104"/>
      <c r="CC184" s="104"/>
      <c r="CD184" s="104"/>
      <c r="CE184" s="104"/>
      <c r="CF184" s="104"/>
      <c r="CG184" s="104"/>
      <c r="CH184" s="104"/>
      <c r="CI184" s="104"/>
      <c r="CJ184" s="104"/>
      <c r="CK184" s="104"/>
      <c r="CL184" s="104"/>
      <c r="CM184" s="104"/>
      <c r="CN184" s="104"/>
      <c r="CO184" s="104"/>
      <c r="CP184" s="98"/>
      <c r="CR184" s="101"/>
      <c r="CS184" s="101"/>
      <c r="CT184" s="101"/>
      <c r="CU184" s="101"/>
      <c r="CV184" s="101"/>
      <c r="FL184" s="103"/>
      <c r="FN184" s="103"/>
      <c r="FP184" s="103"/>
      <c r="FR184" s="103"/>
    </row>
    <row r="185" spans="2:174" x14ac:dyDescent="0.35">
      <c r="B185" s="97"/>
      <c r="G185" s="100"/>
      <c r="K185" s="98"/>
      <c r="L185" s="101"/>
      <c r="M185" s="101"/>
      <c r="N185" s="101"/>
      <c r="O185" s="101"/>
      <c r="P185" s="102"/>
      <c r="Q185" s="101"/>
      <c r="R185" s="98"/>
      <c r="S185" s="98"/>
      <c r="T185" s="98"/>
      <c r="U185" s="98"/>
      <c r="V185" s="98"/>
      <c r="W185" s="98"/>
      <c r="X185" s="98"/>
      <c r="Y185" s="98"/>
      <c r="Z185" s="103"/>
      <c r="AA185" s="103"/>
      <c r="AB185" s="103"/>
      <c r="AC185" s="103"/>
      <c r="AD185" s="103"/>
      <c r="AE185" s="103"/>
      <c r="AF185" s="103"/>
      <c r="AG185" s="101"/>
      <c r="AH185" s="101"/>
      <c r="AI185" s="101"/>
      <c r="AJ185" s="101"/>
      <c r="AK185" s="101"/>
      <c r="AL185" s="101"/>
      <c r="AM185" s="101"/>
      <c r="AN185" s="103"/>
      <c r="AO185" s="103"/>
      <c r="AP185" s="103"/>
      <c r="AQ185" s="103"/>
      <c r="AR185" s="103"/>
      <c r="AS185" s="103"/>
      <c r="AT185" s="103"/>
      <c r="AU185" s="101"/>
      <c r="AV185" s="101"/>
      <c r="AW185" s="101"/>
      <c r="AX185" s="101"/>
      <c r="AY185" s="101"/>
      <c r="AZ185" s="101"/>
      <c r="BA185" s="101"/>
      <c r="BB185" s="103"/>
      <c r="BC185" s="103"/>
      <c r="BD185" s="103"/>
      <c r="BE185" s="101"/>
      <c r="BF185" s="101"/>
      <c r="BG185" s="101"/>
      <c r="BH185" s="101"/>
      <c r="BI185" s="101"/>
      <c r="BM185" s="101"/>
      <c r="BN185" s="101"/>
      <c r="BO185" s="101"/>
      <c r="BP185" s="101"/>
      <c r="BQ185" s="101"/>
      <c r="BR185" s="101"/>
      <c r="BS185" s="101"/>
      <c r="BT185" s="104"/>
      <c r="BU185" s="104"/>
      <c r="BV185" s="104"/>
      <c r="BW185" s="104"/>
      <c r="BX185" s="104"/>
      <c r="BY185" s="104"/>
      <c r="BZ185" s="104"/>
      <c r="CA185" s="104"/>
      <c r="CB185" s="104"/>
      <c r="CC185" s="104"/>
      <c r="CD185" s="104"/>
      <c r="CE185" s="104"/>
      <c r="CF185" s="104"/>
      <c r="CG185" s="104"/>
      <c r="CH185" s="104"/>
      <c r="CI185" s="104"/>
      <c r="CJ185" s="104"/>
      <c r="CK185" s="104"/>
      <c r="CL185" s="104"/>
      <c r="CM185" s="104"/>
      <c r="CN185" s="104"/>
      <c r="CO185" s="104"/>
      <c r="CP185" s="98"/>
      <c r="CR185" s="101"/>
      <c r="CS185" s="101"/>
      <c r="CT185" s="101"/>
      <c r="CU185" s="101"/>
      <c r="CV185" s="101"/>
      <c r="FL185" s="103"/>
      <c r="FN185" s="103"/>
      <c r="FP185" s="103"/>
      <c r="FR185" s="103"/>
    </row>
    <row r="186" spans="2:174" x14ac:dyDescent="0.35">
      <c r="B186" s="97"/>
      <c r="G186" s="100"/>
      <c r="K186" s="98"/>
      <c r="L186" s="101"/>
      <c r="M186" s="101"/>
      <c r="N186" s="101"/>
      <c r="O186" s="101"/>
      <c r="P186" s="102"/>
      <c r="Q186" s="101"/>
      <c r="R186" s="98"/>
      <c r="S186" s="98"/>
      <c r="T186" s="98"/>
      <c r="U186" s="98"/>
      <c r="V186" s="98"/>
      <c r="W186" s="98"/>
      <c r="X186" s="98"/>
      <c r="Y186" s="98"/>
      <c r="Z186" s="103"/>
      <c r="AA186" s="103"/>
      <c r="AB186" s="103"/>
      <c r="AC186" s="103"/>
      <c r="AD186" s="103"/>
      <c r="AE186" s="103"/>
      <c r="AF186" s="103"/>
      <c r="AG186" s="101"/>
      <c r="AH186" s="101"/>
      <c r="AI186" s="101"/>
      <c r="AJ186" s="101"/>
      <c r="AK186" s="101"/>
      <c r="AL186" s="101"/>
      <c r="AM186" s="101"/>
      <c r="AN186" s="103"/>
      <c r="AO186" s="103"/>
      <c r="AP186" s="103"/>
      <c r="AQ186" s="103"/>
      <c r="AR186" s="103"/>
      <c r="AS186" s="103"/>
      <c r="AT186" s="103"/>
      <c r="AU186" s="101"/>
      <c r="AV186" s="101"/>
      <c r="AW186" s="101"/>
      <c r="AX186" s="101"/>
      <c r="AY186" s="101"/>
      <c r="AZ186" s="101"/>
      <c r="BA186" s="101"/>
      <c r="BB186" s="103"/>
      <c r="BC186" s="103"/>
      <c r="BD186" s="103"/>
      <c r="BE186" s="101"/>
      <c r="BF186" s="101"/>
      <c r="BG186" s="101"/>
      <c r="BH186" s="101"/>
      <c r="BI186" s="101"/>
      <c r="BM186" s="101"/>
      <c r="BN186" s="101"/>
      <c r="BO186" s="101"/>
      <c r="BP186" s="101"/>
      <c r="BQ186" s="101"/>
      <c r="BR186" s="101"/>
      <c r="BS186" s="101"/>
      <c r="BT186" s="104"/>
      <c r="BU186" s="104"/>
      <c r="BV186" s="104"/>
      <c r="BW186" s="104"/>
      <c r="BX186" s="104"/>
      <c r="BY186" s="104"/>
      <c r="BZ186" s="104"/>
      <c r="CA186" s="104"/>
      <c r="CB186" s="104"/>
      <c r="CC186" s="104"/>
      <c r="CD186" s="104"/>
      <c r="CE186" s="104"/>
      <c r="CF186" s="104"/>
      <c r="CG186" s="104"/>
      <c r="CH186" s="104"/>
      <c r="CI186" s="104"/>
      <c r="CJ186" s="104"/>
      <c r="CK186" s="104"/>
      <c r="CL186" s="104"/>
      <c r="CM186" s="104"/>
      <c r="CN186" s="104"/>
      <c r="CO186" s="104"/>
      <c r="CP186" s="98"/>
      <c r="CR186" s="101"/>
      <c r="CS186" s="101"/>
      <c r="CT186" s="101"/>
      <c r="CU186" s="101"/>
      <c r="CV186" s="101"/>
      <c r="FL186" s="103"/>
      <c r="FN186" s="103"/>
      <c r="FP186" s="103"/>
      <c r="FR186" s="103"/>
    </row>
    <row r="187" spans="2:174" x14ac:dyDescent="0.35">
      <c r="B187" s="97"/>
      <c r="G187" s="100"/>
      <c r="K187" s="98"/>
      <c r="L187" s="101"/>
      <c r="M187" s="101"/>
      <c r="N187" s="101"/>
      <c r="O187" s="101"/>
      <c r="P187" s="102"/>
      <c r="Q187" s="101"/>
      <c r="R187" s="98"/>
      <c r="S187" s="98"/>
      <c r="T187" s="98"/>
      <c r="U187" s="98"/>
      <c r="V187" s="98"/>
      <c r="W187" s="98"/>
      <c r="X187" s="98"/>
      <c r="Y187" s="98"/>
      <c r="Z187" s="103"/>
      <c r="AA187" s="103"/>
      <c r="AB187" s="103"/>
      <c r="AC187" s="103"/>
      <c r="AD187" s="103"/>
      <c r="AE187" s="103"/>
      <c r="AF187" s="103"/>
      <c r="AG187" s="101"/>
      <c r="AH187" s="101"/>
      <c r="AI187" s="101"/>
      <c r="AJ187" s="101"/>
      <c r="AK187" s="101"/>
      <c r="AL187" s="101"/>
      <c r="AM187" s="101"/>
      <c r="AN187" s="103"/>
      <c r="AO187" s="103"/>
      <c r="AP187" s="103"/>
      <c r="AQ187" s="103"/>
      <c r="AR187" s="103"/>
      <c r="AS187" s="103"/>
      <c r="AT187" s="103"/>
      <c r="AU187" s="101"/>
      <c r="AV187" s="101"/>
      <c r="AW187" s="101"/>
      <c r="AX187" s="101"/>
      <c r="AY187" s="101"/>
      <c r="AZ187" s="101"/>
      <c r="BA187" s="101"/>
      <c r="BB187" s="103"/>
      <c r="BC187" s="103"/>
      <c r="BD187" s="103"/>
      <c r="BE187" s="101"/>
      <c r="BF187" s="101"/>
      <c r="BG187" s="101"/>
      <c r="BH187" s="101"/>
      <c r="BI187" s="101"/>
      <c r="BM187" s="101"/>
      <c r="BN187" s="101"/>
      <c r="BO187" s="101"/>
      <c r="BP187" s="101"/>
      <c r="BQ187" s="101"/>
      <c r="BR187" s="101"/>
      <c r="BS187" s="101"/>
      <c r="BT187" s="104"/>
      <c r="BU187" s="104"/>
      <c r="BV187" s="104"/>
      <c r="BW187" s="104"/>
      <c r="BX187" s="104"/>
      <c r="BY187" s="104"/>
      <c r="BZ187" s="104"/>
      <c r="CA187" s="104"/>
      <c r="CB187" s="104"/>
      <c r="CC187" s="104"/>
      <c r="CD187" s="104"/>
      <c r="CE187" s="104"/>
      <c r="CF187" s="104"/>
      <c r="CG187" s="104"/>
      <c r="CH187" s="104"/>
      <c r="CI187" s="104"/>
      <c r="CJ187" s="104"/>
      <c r="CK187" s="104"/>
      <c r="CL187" s="104"/>
      <c r="CM187" s="104"/>
      <c r="CN187" s="104"/>
      <c r="CO187" s="104"/>
      <c r="CP187" s="98"/>
      <c r="CR187" s="101"/>
      <c r="CS187" s="101"/>
      <c r="CT187" s="101"/>
      <c r="CU187" s="101"/>
      <c r="CV187" s="101"/>
      <c r="FL187" s="103"/>
      <c r="FN187" s="103"/>
      <c r="FP187" s="103"/>
      <c r="FR187" s="103"/>
    </row>
    <row r="188" spans="2:174" x14ac:dyDescent="0.35">
      <c r="B188" s="97"/>
      <c r="G188" s="100"/>
      <c r="K188" s="98"/>
      <c r="L188" s="101"/>
      <c r="M188" s="101"/>
      <c r="N188" s="101"/>
      <c r="O188" s="101"/>
      <c r="P188" s="102"/>
      <c r="Q188" s="101"/>
      <c r="R188" s="98"/>
      <c r="S188" s="98"/>
      <c r="T188" s="98"/>
      <c r="U188" s="98"/>
      <c r="V188" s="98"/>
      <c r="W188" s="98"/>
      <c r="X188" s="98"/>
      <c r="Y188" s="98"/>
      <c r="Z188" s="103"/>
      <c r="AA188" s="103"/>
      <c r="AB188" s="103"/>
      <c r="AC188" s="103"/>
      <c r="AD188" s="103"/>
      <c r="AE188" s="103"/>
      <c r="AF188" s="103"/>
      <c r="AG188" s="101"/>
      <c r="AH188" s="101"/>
      <c r="AI188" s="101"/>
      <c r="AJ188" s="101"/>
      <c r="AK188" s="101"/>
      <c r="AL188" s="101"/>
      <c r="AM188" s="101"/>
      <c r="AN188" s="103"/>
      <c r="AO188" s="103"/>
      <c r="AP188" s="103"/>
      <c r="AQ188" s="103"/>
      <c r="AR188" s="103"/>
      <c r="AS188" s="103"/>
      <c r="AT188" s="103"/>
      <c r="AU188" s="101"/>
      <c r="AV188" s="101"/>
      <c r="AW188" s="101"/>
      <c r="AX188" s="101"/>
      <c r="AY188" s="101"/>
      <c r="AZ188" s="101"/>
      <c r="BA188" s="101"/>
      <c r="BB188" s="103"/>
      <c r="BC188" s="103"/>
      <c r="BD188" s="103"/>
      <c r="BE188" s="101"/>
      <c r="BF188" s="101"/>
      <c r="BG188" s="101"/>
      <c r="BH188" s="101"/>
      <c r="BI188" s="101"/>
      <c r="BM188" s="101"/>
      <c r="BN188" s="101"/>
      <c r="BO188" s="101"/>
      <c r="BP188" s="101"/>
      <c r="BQ188" s="101"/>
      <c r="BR188" s="101"/>
      <c r="BS188" s="101"/>
      <c r="BT188" s="104"/>
      <c r="BU188" s="104"/>
      <c r="BV188" s="104"/>
      <c r="BW188" s="104"/>
      <c r="BX188" s="104"/>
      <c r="BY188" s="104"/>
      <c r="BZ188" s="104"/>
      <c r="CA188" s="104"/>
      <c r="CB188" s="104"/>
      <c r="CC188" s="104"/>
      <c r="CD188" s="104"/>
      <c r="CE188" s="104"/>
      <c r="CF188" s="104"/>
      <c r="CG188" s="104"/>
      <c r="CH188" s="104"/>
      <c r="CI188" s="104"/>
      <c r="CJ188" s="104"/>
      <c r="CK188" s="104"/>
      <c r="CL188" s="104"/>
      <c r="CM188" s="104"/>
      <c r="CN188" s="104"/>
      <c r="CO188" s="104"/>
      <c r="CP188" s="98"/>
      <c r="CR188" s="101"/>
      <c r="CS188" s="101"/>
      <c r="CT188" s="101"/>
      <c r="CU188" s="101"/>
      <c r="CV188" s="101"/>
      <c r="FL188" s="103"/>
      <c r="FN188" s="103"/>
      <c r="FP188" s="103"/>
      <c r="FR188" s="103"/>
    </row>
    <row r="189" spans="2:174" x14ac:dyDescent="0.35">
      <c r="B189" s="97"/>
      <c r="G189" s="100"/>
      <c r="K189" s="98"/>
      <c r="L189" s="101"/>
      <c r="M189" s="101"/>
      <c r="N189" s="101"/>
      <c r="O189" s="101"/>
      <c r="P189" s="102"/>
      <c r="Q189" s="101"/>
      <c r="R189" s="98"/>
      <c r="S189" s="98"/>
      <c r="T189" s="98"/>
      <c r="U189" s="98"/>
      <c r="V189" s="98"/>
      <c r="W189" s="98"/>
      <c r="X189" s="98"/>
      <c r="Y189" s="98"/>
      <c r="Z189" s="103"/>
      <c r="AA189" s="103"/>
      <c r="AB189" s="103"/>
      <c r="AC189" s="103"/>
      <c r="AD189" s="103"/>
      <c r="AE189" s="103"/>
      <c r="AF189" s="103"/>
      <c r="AG189" s="101"/>
      <c r="AH189" s="101"/>
      <c r="AI189" s="101"/>
      <c r="AJ189" s="101"/>
      <c r="AK189" s="101"/>
      <c r="AL189" s="101"/>
      <c r="AM189" s="101"/>
      <c r="AN189" s="103"/>
      <c r="AO189" s="103"/>
      <c r="AP189" s="103"/>
      <c r="AQ189" s="103"/>
      <c r="AR189" s="103"/>
      <c r="AS189" s="103"/>
      <c r="AT189" s="103"/>
      <c r="AU189" s="101"/>
      <c r="AV189" s="101"/>
      <c r="AW189" s="101"/>
      <c r="AX189" s="101"/>
      <c r="AY189" s="101"/>
      <c r="AZ189" s="101"/>
      <c r="BA189" s="101"/>
      <c r="BB189" s="103"/>
      <c r="BC189" s="103"/>
      <c r="BD189" s="103"/>
      <c r="BE189" s="101"/>
      <c r="BF189" s="101"/>
      <c r="BG189" s="101"/>
      <c r="BH189" s="101"/>
      <c r="BI189" s="101"/>
      <c r="BM189" s="101"/>
      <c r="BN189" s="101"/>
      <c r="BO189" s="101"/>
      <c r="BP189" s="101"/>
      <c r="BQ189" s="101"/>
      <c r="BR189" s="101"/>
      <c r="BS189" s="101"/>
      <c r="BT189" s="104"/>
      <c r="BU189" s="104"/>
      <c r="BV189" s="104"/>
      <c r="BW189" s="104"/>
      <c r="BX189" s="104"/>
      <c r="BY189" s="104"/>
      <c r="BZ189" s="104"/>
      <c r="CA189" s="104"/>
      <c r="CB189" s="104"/>
      <c r="CC189" s="104"/>
      <c r="CD189" s="104"/>
      <c r="CE189" s="104"/>
      <c r="CF189" s="104"/>
      <c r="CG189" s="104"/>
      <c r="CH189" s="104"/>
      <c r="CI189" s="104"/>
      <c r="CJ189" s="104"/>
      <c r="CK189" s="104"/>
      <c r="CL189" s="104"/>
      <c r="CM189" s="104"/>
      <c r="CN189" s="104"/>
      <c r="CO189" s="104"/>
      <c r="CP189" s="98"/>
      <c r="CR189" s="101"/>
      <c r="CS189" s="101"/>
      <c r="CT189" s="101"/>
      <c r="CU189" s="101"/>
      <c r="CV189" s="101"/>
      <c r="FL189" s="103"/>
      <c r="FN189" s="103"/>
      <c r="FP189" s="103"/>
      <c r="FR189" s="103"/>
    </row>
    <row r="190" spans="2:174" x14ac:dyDescent="0.35">
      <c r="B190" s="97"/>
      <c r="G190" s="100"/>
      <c r="K190" s="98"/>
      <c r="L190" s="101"/>
      <c r="M190" s="101"/>
      <c r="N190" s="101"/>
      <c r="O190" s="101"/>
      <c r="P190" s="102"/>
      <c r="Q190" s="101"/>
      <c r="R190" s="98"/>
      <c r="S190" s="98"/>
      <c r="T190" s="98"/>
      <c r="U190" s="98"/>
      <c r="V190" s="98"/>
      <c r="W190" s="98"/>
      <c r="X190" s="98"/>
      <c r="Y190" s="98"/>
      <c r="Z190" s="103"/>
      <c r="AA190" s="103"/>
      <c r="AB190" s="103"/>
      <c r="AC190" s="103"/>
      <c r="AD190" s="103"/>
      <c r="AE190" s="103"/>
      <c r="AF190" s="103"/>
      <c r="AG190" s="101"/>
      <c r="AH190" s="101"/>
      <c r="AI190" s="101"/>
      <c r="AJ190" s="101"/>
      <c r="AK190" s="101"/>
      <c r="AL190" s="101"/>
      <c r="AM190" s="101"/>
      <c r="AN190" s="103"/>
      <c r="AO190" s="103"/>
      <c r="AP190" s="103"/>
      <c r="AQ190" s="103"/>
      <c r="AR190" s="103"/>
      <c r="AS190" s="103"/>
      <c r="AT190" s="103"/>
      <c r="AU190" s="101"/>
      <c r="AV190" s="101"/>
      <c r="AW190" s="101"/>
      <c r="AX190" s="101"/>
      <c r="AY190" s="101"/>
      <c r="AZ190" s="101"/>
      <c r="BA190" s="101"/>
      <c r="BB190" s="103"/>
      <c r="BC190" s="103"/>
      <c r="BD190" s="103"/>
      <c r="BE190" s="101"/>
      <c r="BF190" s="101"/>
      <c r="BG190" s="101"/>
      <c r="BH190" s="101"/>
      <c r="BI190" s="101"/>
      <c r="BM190" s="101"/>
      <c r="BN190" s="101"/>
      <c r="BO190" s="101"/>
      <c r="BP190" s="101"/>
      <c r="BQ190" s="101"/>
      <c r="BR190" s="101"/>
      <c r="BS190" s="101"/>
      <c r="BT190" s="104"/>
      <c r="BU190" s="104"/>
      <c r="BV190" s="104"/>
      <c r="BW190" s="104"/>
      <c r="BX190" s="104"/>
      <c r="BY190" s="104"/>
      <c r="BZ190" s="104"/>
      <c r="CA190" s="104"/>
      <c r="CB190" s="104"/>
      <c r="CC190" s="104"/>
      <c r="CD190" s="104"/>
      <c r="CE190" s="104"/>
      <c r="CF190" s="104"/>
      <c r="CG190" s="104"/>
      <c r="CH190" s="104"/>
      <c r="CI190" s="104"/>
      <c r="CJ190" s="104"/>
      <c r="CK190" s="104"/>
      <c r="CL190" s="104"/>
      <c r="CM190" s="104"/>
      <c r="CN190" s="104"/>
      <c r="CO190" s="104"/>
      <c r="CP190" s="98"/>
      <c r="CR190" s="101"/>
      <c r="CS190" s="101"/>
      <c r="CT190" s="101"/>
      <c r="CU190" s="101"/>
      <c r="CV190" s="101"/>
      <c r="FL190" s="103"/>
      <c r="FN190" s="103"/>
      <c r="FP190" s="103"/>
      <c r="FR190" s="103"/>
    </row>
    <row r="191" spans="2:174" x14ac:dyDescent="0.35">
      <c r="B191" s="97"/>
      <c r="G191" s="100"/>
      <c r="K191" s="98"/>
      <c r="L191" s="101"/>
      <c r="M191" s="101"/>
      <c r="N191" s="101"/>
      <c r="O191" s="101"/>
      <c r="P191" s="102"/>
      <c r="Q191" s="101"/>
      <c r="R191" s="98"/>
      <c r="S191" s="98"/>
      <c r="T191" s="98"/>
      <c r="U191" s="98"/>
      <c r="V191" s="98"/>
      <c r="W191" s="98"/>
      <c r="X191" s="98"/>
      <c r="Y191" s="98"/>
      <c r="Z191" s="103"/>
      <c r="AA191" s="103"/>
      <c r="AB191" s="103"/>
      <c r="AC191" s="103"/>
      <c r="AD191" s="103"/>
      <c r="AE191" s="103"/>
      <c r="AF191" s="103"/>
      <c r="AG191" s="101"/>
      <c r="AH191" s="101"/>
      <c r="AI191" s="101"/>
      <c r="AJ191" s="101"/>
      <c r="AK191" s="101"/>
      <c r="AL191" s="101"/>
      <c r="AM191" s="101"/>
      <c r="AN191" s="103"/>
      <c r="AO191" s="103"/>
      <c r="AP191" s="103"/>
      <c r="AQ191" s="103"/>
      <c r="AR191" s="103"/>
      <c r="AS191" s="103"/>
      <c r="AT191" s="103"/>
      <c r="AU191" s="101"/>
      <c r="AV191" s="101"/>
      <c r="AW191" s="101"/>
      <c r="AX191" s="101"/>
      <c r="AY191" s="101"/>
      <c r="AZ191" s="101"/>
      <c r="BA191" s="101"/>
      <c r="BB191" s="103"/>
      <c r="BC191" s="103"/>
      <c r="BD191" s="103"/>
      <c r="BE191" s="101"/>
      <c r="BF191" s="101"/>
      <c r="BG191" s="101"/>
      <c r="BH191" s="101"/>
      <c r="BI191" s="101"/>
      <c r="BM191" s="101"/>
      <c r="BN191" s="101"/>
      <c r="BO191" s="101"/>
      <c r="BP191" s="101"/>
      <c r="BQ191" s="101"/>
      <c r="BR191" s="101"/>
      <c r="BS191" s="101"/>
      <c r="BT191" s="104"/>
      <c r="BU191" s="104"/>
      <c r="BV191" s="104"/>
      <c r="BW191" s="104"/>
      <c r="BX191" s="104"/>
      <c r="BY191" s="104"/>
      <c r="BZ191" s="104"/>
      <c r="CA191" s="104"/>
      <c r="CB191" s="104"/>
      <c r="CC191" s="104"/>
      <c r="CD191" s="104"/>
      <c r="CE191" s="104"/>
      <c r="CF191" s="104"/>
      <c r="CG191" s="104"/>
      <c r="CH191" s="104"/>
      <c r="CI191" s="104"/>
      <c r="CJ191" s="104"/>
      <c r="CK191" s="104"/>
      <c r="CL191" s="104"/>
      <c r="CM191" s="104"/>
      <c r="CN191" s="104"/>
      <c r="CO191" s="104"/>
      <c r="CP191" s="98"/>
      <c r="CR191" s="101"/>
      <c r="CS191" s="101"/>
      <c r="CT191" s="101"/>
      <c r="CU191" s="101"/>
      <c r="CV191" s="101"/>
      <c r="FL191" s="103"/>
      <c r="FN191" s="103"/>
      <c r="FP191" s="103"/>
      <c r="FR191" s="103"/>
    </row>
    <row r="192" spans="2:174" x14ac:dyDescent="0.35">
      <c r="B192" s="97"/>
      <c r="G192" s="100"/>
      <c r="K192" s="98"/>
      <c r="L192" s="101"/>
      <c r="M192" s="101"/>
      <c r="N192" s="101"/>
      <c r="O192" s="101"/>
      <c r="P192" s="102"/>
      <c r="Q192" s="101"/>
      <c r="R192" s="98"/>
      <c r="S192" s="98"/>
      <c r="T192" s="98"/>
      <c r="U192" s="98"/>
      <c r="V192" s="98"/>
      <c r="W192" s="98"/>
      <c r="X192" s="98"/>
      <c r="Y192" s="98"/>
      <c r="Z192" s="103"/>
      <c r="AA192" s="103"/>
      <c r="AB192" s="103"/>
      <c r="AC192" s="103"/>
      <c r="AD192" s="103"/>
      <c r="AE192" s="103"/>
      <c r="AF192" s="103"/>
      <c r="AG192" s="101"/>
      <c r="AH192" s="101"/>
      <c r="AI192" s="101"/>
      <c r="AJ192" s="101"/>
      <c r="AK192" s="101"/>
      <c r="AL192" s="101"/>
      <c r="AM192" s="101"/>
      <c r="AN192" s="103"/>
      <c r="AO192" s="103"/>
      <c r="AP192" s="103"/>
      <c r="AQ192" s="103"/>
      <c r="AR192" s="103"/>
      <c r="AS192" s="103"/>
      <c r="AT192" s="103"/>
      <c r="AU192" s="101"/>
      <c r="AV192" s="101"/>
      <c r="AW192" s="101"/>
      <c r="AX192" s="101"/>
      <c r="AY192" s="101"/>
      <c r="AZ192" s="101"/>
      <c r="BA192" s="101"/>
      <c r="BB192" s="103"/>
      <c r="BC192" s="103"/>
      <c r="BD192" s="103"/>
      <c r="BE192" s="101"/>
      <c r="BF192" s="101"/>
      <c r="BG192" s="101"/>
      <c r="BH192" s="101"/>
      <c r="BI192" s="101"/>
      <c r="BM192" s="101"/>
      <c r="BN192" s="101"/>
      <c r="BO192" s="101"/>
      <c r="BP192" s="101"/>
      <c r="BQ192" s="101"/>
      <c r="BR192" s="101"/>
      <c r="BS192" s="101"/>
      <c r="BT192" s="104"/>
      <c r="BU192" s="104"/>
      <c r="BV192" s="104"/>
      <c r="BW192" s="104"/>
      <c r="BX192" s="104"/>
      <c r="BY192" s="104"/>
      <c r="BZ192" s="104"/>
      <c r="CA192" s="104"/>
      <c r="CB192" s="104"/>
      <c r="CC192" s="104"/>
      <c r="CD192" s="104"/>
      <c r="CE192" s="104"/>
      <c r="CF192" s="104"/>
      <c r="CG192" s="104"/>
      <c r="CH192" s="104"/>
      <c r="CI192" s="104"/>
      <c r="CJ192" s="104"/>
      <c r="CK192" s="104"/>
      <c r="CL192" s="104"/>
      <c r="CM192" s="104"/>
      <c r="CN192" s="104"/>
      <c r="CO192" s="104"/>
      <c r="CP192" s="98"/>
      <c r="CR192" s="101"/>
      <c r="CS192" s="101"/>
      <c r="CT192" s="101"/>
      <c r="CU192" s="101"/>
      <c r="CV192" s="101"/>
      <c r="FL192" s="103"/>
      <c r="FN192" s="103"/>
      <c r="FP192" s="103"/>
      <c r="FR192" s="103"/>
    </row>
    <row r="193" spans="2:174" x14ac:dyDescent="0.35">
      <c r="B193" s="97"/>
      <c r="G193" s="100"/>
      <c r="K193" s="98"/>
      <c r="L193" s="101"/>
      <c r="M193" s="101"/>
      <c r="N193" s="101"/>
      <c r="O193" s="101"/>
      <c r="P193" s="102"/>
      <c r="Q193" s="101"/>
      <c r="R193" s="98"/>
      <c r="S193" s="98"/>
      <c r="T193" s="98"/>
      <c r="U193" s="98"/>
      <c r="V193" s="98"/>
      <c r="W193" s="98"/>
      <c r="X193" s="98"/>
      <c r="Y193" s="98"/>
      <c r="Z193" s="103"/>
      <c r="AA193" s="103"/>
      <c r="AB193" s="103"/>
      <c r="AC193" s="103"/>
      <c r="AD193" s="103"/>
      <c r="AE193" s="103"/>
      <c r="AF193" s="103"/>
      <c r="AG193" s="101"/>
      <c r="AH193" s="101"/>
      <c r="AI193" s="101"/>
      <c r="AJ193" s="101"/>
      <c r="AK193" s="101"/>
      <c r="AL193" s="101"/>
      <c r="AM193" s="101"/>
      <c r="AN193" s="103"/>
      <c r="AO193" s="103"/>
      <c r="AP193" s="103"/>
      <c r="AQ193" s="103"/>
      <c r="AR193" s="103"/>
      <c r="AS193" s="103"/>
      <c r="AT193" s="103"/>
      <c r="AU193" s="101"/>
      <c r="AV193" s="101"/>
      <c r="AW193" s="101"/>
      <c r="AX193" s="101"/>
      <c r="AY193" s="101"/>
      <c r="AZ193" s="101"/>
      <c r="BA193" s="101"/>
      <c r="BB193" s="103"/>
      <c r="BC193" s="103"/>
      <c r="BD193" s="103"/>
      <c r="BE193" s="101"/>
      <c r="BF193" s="101"/>
      <c r="BG193" s="101"/>
      <c r="BH193" s="101"/>
      <c r="BI193" s="101"/>
      <c r="BM193" s="101"/>
      <c r="BN193" s="101"/>
      <c r="BO193" s="101"/>
      <c r="BP193" s="101"/>
      <c r="BQ193" s="101"/>
      <c r="BR193" s="101"/>
      <c r="BS193" s="101"/>
      <c r="BT193" s="104"/>
      <c r="BU193" s="104"/>
      <c r="BV193" s="104"/>
      <c r="BW193" s="104"/>
      <c r="BX193" s="104"/>
      <c r="BY193" s="104"/>
      <c r="BZ193" s="104"/>
      <c r="CA193" s="104"/>
      <c r="CB193" s="104"/>
      <c r="CC193" s="104"/>
      <c r="CD193" s="104"/>
      <c r="CE193" s="104"/>
      <c r="CF193" s="104"/>
      <c r="CG193" s="104"/>
      <c r="CH193" s="104"/>
      <c r="CI193" s="104"/>
      <c r="CJ193" s="104"/>
      <c r="CK193" s="104"/>
      <c r="CL193" s="104"/>
      <c r="CM193" s="104"/>
      <c r="CN193" s="104"/>
      <c r="CO193" s="104"/>
      <c r="CP193" s="98"/>
      <c r="CR193" s="101"/>
      <c r="CS193" s="101"/>
      <c r="CT193" s="101"/>
      <c r="CU193" s="101"/>
      <c r="CV193" s="101"/>
      <c r="FL193" s="103"/>
      <c r="FN193" s="103"/>
      <c r="FP193" s="103"/>
      <c r="FR193" s="103"/>
    </row>
    <row r="194" spans="2:174" x14ac:dyDescent="0.35">
      <c r="B194" s="97"/>
      <c r="G194" s="100"/>
      <c r="K194" s="98"/>
      <c r="L194" s="101"/>
      <c r="M194" s="101"/>
      <c r="N194" s="101"/>
      <c r="O194" s="101"/>
      <c r="P194" s="102"/>
      <c r="Q194" s="101"/>
      <c r="R194" s="98"/>
      <c r="S194" s="98"/>
      <c r="T194" s="98"/>
      <c r="U194" s="98"/>
      <c r="V194" s="98"/>
      <c r="W194" s="98"/>
      <c r="X194" s="98"/>
      <c r="Y194" s="98"/>
      <c r="Z194" s="103"/>
      <c r="AA194" s="103"/>
      <c r="AB194" s="103"/>
      <c r="AC194" s="103"/>
      <c r="AD194" s="103"/>
      <c r="AE194" s="103"/>
      <c r="AF194" s="103"/>
      <c r="AG194" s="101"/>
      <c r="AH194" s="101"/>
      <c r="AI194" s="101"/>
      <c r="AJ194" s="101"/>
      <c r="AK194" s="101"/>
      <c r="AL194" s="101"/>
      <c r="AM194" s="101"/>
      <c r="AN194" s="103"/>
      <c r="AO194" s="103"/>
      <c r="AP194" s="103"/>
      <c r="AQ194" s="103"/>
      <c r="AR194" s="103"/>
      <c r="AS194" s="103"/>
      <c r="AT194" s="103"/>
      <c r="AU194" s="101"/>
      <c r="AV194" s="101"/>
      <c r="AW194" s="101"/>
      <c r="AX194" s="101"/>
      <c r="AY194" s="101"/>
      <c r="AZ194" s="101"/>
      <c r="BA194" s="101"/>
      <c r="BB194" s="103"/>
      <c r="BC194" s="103"/>
      <c r="BD194" s="103"/>
      <c r="BE194" s="101"/>
      <c r="BF194" s="101"/>
      <c r="BG194" s="101"/>
      <c r="BH194" s="101"/>
      <c r="BI194" s="101"/>
      <c r="BM194" s="101"/>
      <c r="BN194" s="101"/>
      <c r="BO194" s="101"/>
      <c r="BP194" s="101"/>
      <c r="BQ194" s="101"/>
      <c r="BR194" s="101"/>
      <c r="BS194" s="101"/>
      <c r="BT194" s="104"/>
      <c r="BU194" s="104"/>
      <c r="BV194" s="104"/>
      <c r="BW194" s="104"/>
      <c r="BX194" s="104"/>
      <c r="BY194" s="104"/>
      <c r="BZ194" s="104"/>
      <c r="CA194" s="104"/>
      <c r="CB194" s="104"/>
      <c r="CC194" s="104"/>
      <c r="CD194" s="104"/>
      <c r="CE194" s="104"/>
      <c r="CF194" s="104"/>
      <c r="CG194" s="104"/>
      <c r="CH194" s="104"/>
      <c r="CI194" s="104"/>
      <c r="CJ194" s="104"/>
      <c r="CK194" s="104"/>
      <c r="CL194" s="104"/>
      <c r="CM194" s="104"/>
      <c r="CN194" s="104"/>
      <c r="CO194" s="104"/>
      <c r="CP194" s="98"/>
      <c r="CR194" s="101"/>
      <c r="CS194" s="101"/>
      <c r="CT194" s="101"/>
      <c r="CU194" s="101"/>
      <c r="CV194" s="101"/>
      <c r="FL194" s="103"/>
      <c r="FN194" s="103"/>
      <c r="FP194" s="103"/>
      <c r="FR194" s="103"/>
    </row>
    <row r="195" spans="2:174" x14ac:dyDescent="0.35">
      <c r="B195" s="97"/>
      <c r="G195" s="100"/>
      <c r="K195" s="98"/>
      <c r="L195" s="101"/>
      <c r="M195" s="101"/>
      <c r="N195" s="101"/>
      <c r="O195" s="101"/>
      <c r="P195" s="102"/>
      <c r="Q195" s="101"/>
      <c r="R195" s="98"/>
      <c r="S195" s="98"/>
      <c r="T195" s="98"/>
      <c r="U195" s="98"/>
      <c r="V195" s="98"/>
      <c r="W195" s="98"/>
      <c r="X195" s="98"/>
      <c r="Y195" s="98"/>
      <c r="Z195" s="103"/>
      <c r="AA195" s="103"/>
      <c r="AB195" s="103"/>
      <c r="AC195" s="103"/>
      <c r="AD195" s="103"/>
      <c r="AE195" s="103"/>
      <c r="AF195" s="103"/>
      <c r="AG195" s="101"/>
      <c r="AH195" s="101"/>
      <c r="AI195" s="101"/>
      <c r="AJ195" s="101"/>
      <c r="AK195" s="101"/>
      <c r="AL195" s="101"/>
      <c r="AM195" s="101"/>
      <c r="AN195" s="103"/>
      <c r="AO195" s="103"/>
      <c r="AP195" s="103"/>
      <c r="AQ195" s="103"/>
      <c r="AR195" s="103"/>
      <c r="AS195" s="103"/>
      <c r="AT195" s="103"/>
      <c r="AU195" s="101"/>
      <c r="AV195" s="101"/>
      <c r="AW195" s="101"/>
      <c r="AX195" s="101"/>
      <c r="AY195" s="101"/>
      <c r="AZ195" s="101"/>
      <c r="BA195" s="101"/>
      <c r="BB195" s="103"/>
      <c r="BC195" s="103"/>
      <c r="BD195" s="103"/>
      <c r="BE195" s="101"/>
      <c r="BF195" s="101"/>
      <c r="BG195" s="101"/>
      <c r="BH195" s="101"/>
      <c r="BI195" s="101"/>
      <c r="BM195" s="101"/>
      <c r="BN195" s="101"/>
      <c r="BO195" s="101"/>
      <c r="BP195" s="101"/>
      <c r="BQ195" s="101"/>
      <c r="BR195" s="101"/>
      <c r="BS195" s="101"/>
      <c r="BT195" s="104"/>
      <c r="BU195" s="104"/>
      <c r="BV195" s="104"/>
      <c r="BW195" s="104"/>
      <c r="BX195" s="104"/>
      <c r="BY195" s="104"/>
      <c r="BZ195" s="104"/>
      <c r="CA195" s="104"/>
      <c r="CB195" s="104"/>
      <c r="CC195" s="104"/>
      <c r="CD195" s="104"/>
      <c r="CE195" s="104"/>
      <c r="CF195" s="104"/>
      <c r="CG195" s="104"/>
      <c r="CH195" s="104"/>
      <c r="CI195" s="104"/>
      <c r="CJ195" s="104"/>
      <c r="CK195" s="104"/>
      <c r="CL195" s="104"/>
      <c r="CM195" s="104"/>
      <c r="CN195" s="104"/>
      <c r="CO195" s="104"/>
      <c r="CP195" s="98"/>
      <c r="CR195" s="101"/>
      <c r="CS195" s="101"/>
      <c r="CT195" s="101"/>
      <c r="CU195" s="101"/>
      <c r="CV195" s="101"/>
      <c r="FL195" s="103"/>
      <c r="FN195" s="103"/>
      <c r="FP195" s="103"/>
      <c r="FR195" s="103"/>
    </row>
    <row r="196" spans="2:174" x14ac:dyDescent="0.35">
      <c r="B196" s="97"/>
      <c r="G196" s="100"/>
      <c r="K196" s="98"/>
      <c r="L196" s="101"/>
      <c r="M196" s="101"/>
      <c r="N196" s="101"/>
      <c r="O196" s="101"/>
      <c r="P196" s="102"/>
      <c r="Q196" s="101"/>
      <c r="R196" s="98"/>
      <c r="S196" s="98"/>
      <c r="T196" s="98"/>
      <c r="U196" s="98"/>
      <c r="V196" s="98"/>
      <c r="W196" s="98"/>
      <c r="X196" s="98"/>
      <c r="Y196" s="98"/>
      <c r="Z196" s="103"/>
      <c r="AA196" s="103"/>
      <c r="AB196" s="103"/>
      <c r="AC196" s="103"/>
      <c r="AD196" s="103"/>
      <c r="AE196" s="103"/>
      <c r="AF196" s="103"/>
      <c r="AG196" s="101"/>
      <c r="AH196" s="101"/>
      <c r="AI196" s="101"/>
      <c r="AJ196" s="101"/>
      <c r="AK196" s="101"/>
      <c r="AL196" s="101"/>
      <c r="AM196" s="101"/>
      <c r="AN196" s="103"/>
      <c r="AO196" s="103"/>
      <c r="AP196" s="103"/>
      <c r="AQ196" s="103"/>
      <c r="AR196" s="103"/>
      <c r="AS196" s="103"/>
      <c r="AT196" s="103"/>
      <c r="AU196" s="101"/>
      <c r="AV196" s="101"/>
      <c r="AW196" s="101"/>
      <c r="AX196" s="101"/>
      <c r="AY196" s="101"/>
      <c r="AZ196" s="101"/>
      <c r="BA196" s="101"/>
      <c r="BB196" s="103"/>
      <c r="BC196" s="103"/>
      <c r="BD196" s="103"/>
      <c r="BE196" s="101"/>
      <c r="BF196" s="101"/>
      <c r="BG196" s="101"/>
      <c r="BH196" s="101"/>
      <c r="BI196" s="101"/>
      <c r="BM196" s="101"/>
      <c r="BN196" s="101"/>
      <c r="BO196" s="101"/>
      <c r="BP196" s="101"/>
      <c r="BQ196" s="101"/>
      <c r="BR196" s="101"/>
      <c r="BS196" s="101"/>
      <c r="BT196" s="104"/>
      <c r="BU196" s="104"/>
      <c r="BV196" s="104"/>
      <c r="BW196" s="104"/>
      <c r="BX196" s="104"/>
      <c r="BY196" s="104"/>
      <c r="BZ196" s="104"/>
      <c r="CA196" s="104"/>
      <c r="CB196" s="104"/>
      <c r="CC196" s="104"/>
      <c r="CD196" s="104"/>
      <c r="CE196" s="104"/>
      <c r="CF196" s="104"/>
      <c r="CG196" s="104"/>
      <c r="CH196" s="104"/>
      <c r="CI196" s="104"/>
      <c r="CJ196" s="104"/>
      <c r="CK196" s="104"/>
      <c r="CL196" s="104"/>
      <c r="CM196" s="104"/>
      <c r="CN196" s="104"/>
      <c r="CO196" s="104"/>
      <c r="CP196" s="98"/>
      <c r="CR196" s="101"/>
      <c r="CS196" s="101"/>
      <c r="CT196" s="101"/>
      <c r="CU196" s="101"/>
      <c r="CV196" s="101"/>
      <c r="FL196" s="103"/>
      <c r="FN196" s="103"/>
      <c r="FP196" s="103"/>
      <c r="FR196" s="103"/>
    </row>
    <row r="197" spans="2:174" x14ac:dyDescent="0.35">
      <c r="B197" s="97"/>
      <c r="G197" s="100"/>
      <c r="K197" s="98"/>
      <c r="L197" s="101"/>
      <c r="M197" s="101"/>
      <c r="N197" s="101"/>
      <c r="O197" s="101"/>
      <c r="P197" s="102"/>
      <c r="Q197" s="101"/>
      <c r="R197" s="98"/>
      <c r="S197" s="98"/>
      <c r="T197" s="98"/>
      <c r="U197" s="98"/>
      <c r="V197" s="98"/>
      <c r="W197" s="98"/>
      <c r="X197" s="98"/>
      <c r="Y197" s="98"/>
      <c r="Z197" s="103"/>
      <c r="AA197" s="103"/>
      <c r="AB197" s="103"/>
      <c r="AC197" s="103"/>
      <c r="AD197" s="103"/>
      <c r="AE197" s="103"/>
      <c r="AF197" s="103"/>
      <c r="AG197" s="101"/>
      <c r="AH197" s="101"/>
      <c r="AI197" s="101"/>
      <c r="AJ197" s="101"/>
      <c r="AK197" s="101"/>
      <c r="AL197" s="101"/>
      <c r="AM197" s="101"/>
      <c r="AN197" s="103"/>
      <c r="AO197" s="103"/>
      <c r="AP197" s="103"/>
      <c r="AQ197" s="103"/>
      <c r="AR197" s="103"/>
      <c r="AS197" s="103"/>
      <c r="AT197" s="103"/>
      <c r="AU197" s="101"/>
      <c r="AV197" s="101"/>
      <c r="AW197" s="101"/>
      <c r="AX197" s="101"/>
      <c r="AY197" s="101"/>
      <c r="AZ197" s="101"/>
      <c r="BA197" s="101"/>
      <c r="BB197" s="103"/>
      <c r="BC197" s="103"/>
      <c r="BD197" s="103"/>
      <c r="BE197" s="101"/>
      <c r="BF197" s="101"/>
      <c r="BG197" s="101"/>
      <c r="BH197" s="101"/>
      <c r="BI197" s="101"/>
      <c r="BM197" s="101"/>
      <c r="BN197" s="101"/>
      <c r="BO197" s="101"/>
      <c r="BP197" s="101"/>
      <c r="BQ197" s="101"/>
      <c r="BR197" s="101"/>
      <c r="BS197" s="101"/>
      <c r="BT197" s="104"/>
      <c r="BU197" s="104"/>
      <c r="BV197" s="104"/>
      <c r="BW197" s="104"/>
      <c r="BX197" s="104"/>
      <c r="BY197" s="104"/>
      <c r="BZ197" s="104"/>
      <c r="CA197" s="104"/>
      <c r="CB197" s="104"/>
      <c r="CC197" s="104"/>
      <c r="CD197" s="104"/>
      <c r="CE197" s="104"/>
      <c r="CF197" s="104"/>
      <c r="CG197" s="104"/>
      <c r="CH197" s="104"/>
      <c r="CI197" s="104"/>
      <c r="CJ197" s="104"/>
      <c r="CK197" s="104"/>
      <c r="CL197" s="104"/>
      <c r="CM197" s="104"/>
      <c r="CN197" s="104"/>
      <c r="CO197" s="104"/>
      <c r="CP197" s="98"/>
      <c r="CR197" s="101"/>
      <c r="CS197" s="101"/>
      <c r="CT197" s="101"/>
      <c r="CU197" s="101"/>
      <c r="CV197" s="101"/>
      <c r="FL197" s="103"/>
      <c r="FN197" s="103"/>
      <c r="FP197" s="103"/>
      <c r="FR197" s="103"/>
    </row>
    <row r="198" spans="2:174" x14ac:dyDescent="0.35">
      <c r="B198" s="97"/>
      <c r="G198" s="100"/>
      <c r="K198" s="98"/>
      <c r="L198" s="101"/>
      <c r="M198" s="101"/>
      <c r="N198" s="101"/>
      <c r="O198" s="101"/>
      <c r="P198" s="102"/>
      <c r="Q198" s="101"/>
      <c r="R198" s="98"/>
      <c r="S198" s="98"/>
      <c r="T198" s="98"/>
      <c r="U198" s="98"/>
      <c r="V198" s="98"/>
      <c r="W198" s="98"/>
      <c r="X198" s="98"/>
      <c r="Y198" s="98"/>
      <c r="Z198" s="103"/>
      <c r="AA198" s="103"/>
      <c r="AB198" s="103"/>
      <c r="AC198" s="103"/>
      <c r="AD198" s="103"/>
      <c r="AE198" s="103"/>
      <c r="AF198" s="103"/>
      <c r="AG198" s="101"/>
      <c r="AH198" s="101"/>
      <c r="AI198" s="101"/>
      <c r="AJ198" s="101"/>
      <c r="AK198" s="101"/>
      <c r="AL198" s="101"/>
      <c r="AM198" s="101"/>
      <c r="AN198" s="103"/>
      <c r="AO198" s="103"/>
      <c r="AP198" s="103"/>
      <c r="AQ198" s="103"/>
      <c r="AR198" s="103"/>
      <c r="AS198" s="103"/>
      <c r="AT198" s="103"/>
      <c r="AU198" s="101"/>
      <c r="AV198" s="101"/>
      <c r="AW198" s="101"/>
      <c r="AX198" s="101"/>
      <c r="AY198" s="101"/>
      <c r="AZ198" s="101"/>
      <c r="BA198" s="101"/>
      <c r="BB198" s="103"/>
      <c r="BC198" s="103"/>
      <c r="BD198" s="103"/>
      <c r="BE198" s="101"/>
      <c r="BF198" s="101"/>
      <c r="BG198" s="101"/>
      <c r="BH198" s="101"/>
      <c r="BI198" s="101"/>
      <c r="BM198" s="101"/>
      <c r="BN198" s="101"/>
      <c r="BO198" s="101"/>
      <c r="BP198" s="101"/>
      <c r="BQ198" s="101"/>
      <c r="BR198" s="101"/>
      <c r="BS198" s="101"/>
      <c r="BT198" s="104"/>
      <c r="BU198" s="104"/>
      <c r="BV198" s="104"/>
      <c r="BW198" s="104"/>
      <c r="BX198" s="104"/>
      <c r="BY198" s="104"/>
      <c r="BZ198" s="104"/>
      <c r="CA198" s="104"/>
      <c r="CB198" s="104"/>
      <c r="CC198" s="104"/>
      <c r="CD198" s="104"/>
      <c r="CE198" s="104"/>
      <c r="CF198" s="104"/>
      <c r="CG198" s="104"/>
      <c r="CH198" s="104"/>
      <c r="CI198" s="104"/>
      <c r="CJ198" s="104"/>
      <c r="CK198" s="104"/>
      <c r="CL198" s="104"/>
      <c r="CM198" s="104"/>
      <c r="CN198" s="104"/>
      <c r="CO198" s="104"/>
      <c r="CP198" s="98"/>
      <c r="CR198" s="101"/>
      <c r="CS198" s="101"/>
      <c r="CT198" s="101"/>
      <c r="CU198" s="101"/>
      <c r="CV198" s="101"/>
      <c r="FL198" s="103"/>
      <c r="FN198" s="103"/>
      <c r="FP198" s="103"/>
      <c r="FR198" s="103"/>
    </row>
    <row r="199" spans="2:174" x14ac:dyDescent="0.35">
      <c r="B199" s="97"/>
      <c r="G199" s="100"/>
      <c r="K199" s="98"/>
      <c r="L199" s="101"/>
      <c r="M199" s="101"/>
      <c r="N199" s="101"/>
      <c r="O199" s="101"/>
      <c r="P199" s="102"/>
      <c r="Q199" s="101"/>
      <c r="R199" s="98"/>
      <c r="S199" s="98"/>
      <c r="T199" s="98"/>
      <c r="U199" s="98"/>
      <c r="V199" s="98"/>
      <c r="W199" s="98"/>
      <c r="X199" s="98"/>
      <c r="Y199" s="98"/>
      <c r="Z199" s="103"/>
      <c r="AA199" s="103"/>
      <c r="AB199" s="103"/>
      <c r="AC199" s="103"/>
      <c r="AD199" s="103"/>
      <c r="AE199" s="103"/>
      <c r="AF199" s="103"/>
      <c r="AG199" s="101"/>
      <c r="AH199" s="101"/>
      <c r="AI199" s="101"/>
      <c r="AJ199" s="101"/>
      <c r="AK199" s="101"/>
      <c r="AL199" s="101"/>
      <c r="AM199" s="101"/>
      <c r="AN199" s="103"/>
      <c r="AO199" s="103"/>
      <c r="AP199" s="103"/>
      <c r="AQ199" s="103"/>
      <c r="AR199" s="103"/>
      <c r="AS199" s="103"/>
      <c r="AT199" s="103"/>
      <c r="AU199" s="101"/>
      <c r="AV199" s="101"/>
      <c r="AW199" s="101"/>
      <c r="AX199" s="101"/>
      <c r="AY199" s="101"/>
      <c r="AZ199" s="101"/>
      <c r="BA199" s="101"/>
      <c r="BB199" s="103"/>
      <c r="BC199" s="103"/>
      <c r="BD199" s="103"/>
      <c r="BE199" s="101"/>
      <c r="BF199" s="101"/>
      <c r="BG199" s="101"/>
      <c r="BH199" s="101"/>
      <c r="BI199" s="101"/>
      <c r="BM199" s="101"/>
      <c r="BN199" s="101"/>
      <c r="BO199" s="101"/>
      <c r="BP199" s="101"/>
      <c r="BQ199" s="101"/>
      <c r="BR199" s="101"/>
      <c r="BS199" s="101"/>
      <c r="BT199" s="104"/>
      <c r="BU199" s="104"/>
      <c r="BV199" s="104"/>
      <c r="BW199" s="104"/>
      <c r="BX199" s="104"/>
      <c r="BY199" s="104"/>
      <c r="BZ199" s="104"/>
      <c r="CA199" s="104"/>
      <c r="CB199" s="104"/>
      <c r="CC199" s="104"/>
      <c r="CD199" s="104"/>
      <c r="CE199" s="104"/>
      <c r="CF199" s="104"/>
      <c r="CG199" s="104"/>
      <c r="CH199" s="104"/>
      <c r="CI199" s="104"/>
      <c r="CJ199" s="104"/>
      <c r="CK199" s="104"/>
      <c r="CL199" s="104"/>
      <c r="CM199" s="104"/>
      <c r="CN199" s="104"/>
      <c r="CO199" s="104"/>
      <c r="CP199" s="98"/>
      <c r="CR199" s="101"/>
      <c r="CS199" s="101"/>
      <c r="CT199" s="101"/>
      <c r="CU199" s="101"/>
      <c r="CV199" s="101"/>
      <c r="FL199" s="103"/>
      <c r="FN199" s="103"/>
      <c r="FP199" s="103"/>
      <c r="FR199" s="103"/>
    </row>
    <row r="200" spans="2:174" x14ac:dyDescent="0.35">
      <c r="B200" s="97"/>
      <c r="G200" s="100"/>
      <c r="K200" s="98"/>
      <c r="L200" s="101"/>
      <c r="M200" s="101"/>
      <c r="N200" s="101"/>
      <c r="O200" s="101"/>
      <c r="P200" s="102"/>
      <c r="Q200" s="101"/>
      <c r="R200" s="98"/>
      <c r="S200" s="98"/>
      <c r="T200" s="98"/>
      <c r="U200" s="98"/>
      <c r="V200" s="98"/>
      <c r="W200" s="98"/>
      <c r="X200" s="98"/>
      <c r="Y200" s="98"/>
      <c r="Z200" s="103"/>
      <c r="AA200" s="103"/>
      <c r="AB200" s="103"/>
      <c r="AC200" s="103"/>
      <c r="AD200" s="103"/>
      <c r="AE200" s="103"/>
      <c r="AF200" s="103"/>
      <c r="AG200" s="101"/>
      <c r="AH200" s="101"/>
      <c r="AI200" s="101"/>
      <c r="AJ200" s="101"/>
      <c r="AK200" s="101"/>
      <c r="AL200" s="101"/>
      <c r="AM200" s="101"/>
      <c r="AN200" s="103"/>
      <c r="AO200" s="103"/>
      <c r="AP200" s="103"/>
      <c r="AQ200" s="103"/>
      <c r="AR200" s="103"/>
      <c r="AS200" s="103"/>
      <c r="AT200" s="103"/>
      <c r="AU200" s="101"/>
      <c r="AV200" s="101"/>
      <c r="AW200" s="101"/>
      <c r="AX200" s="101"/>
      <c r="AY200" s="101"/>
      <c r="AZ200" s="101"/>
      <c r="BA200" s="101"/>
      <c r="BB200" s="103"/>
      <c r="BC200" s="103"/>
      <c r="BD200" s="103"/>
      <c r="BE200" s="101"/>
      <c r="BF200" s="101"/>
      <c r="BG200" s="101"/>
      <c r="BH200" s="101"/>
      <c r="BI200" s="101"/>
      <c r="BM200" s="101"/>
      <c r="BN200" s="101"/>
      <c r="BO200" s="101"/>
      <c r="BP200" s="101"/>
      <c r="BQ200" s="101"/>
      <c r="BR200" s="101"/>
      <c r="BS200" s="101"/>
      <c r="BT200" s="104"/>
      <c r="BU200" s="104"/>
      <c r="BV200" s="104"/>
      <c r="BW200" s="104"/>
      <c r="BX200" s="104"/>
      <c r="BY200" s="104"/>
      <c r="BZ200" s="104"/>
      <c r="CA200" s="104"/>
      <c r="CB200" s="104"/>
      <c r="CC200" s="104"/>
      <c r="CD200" s="104"/>
      <c r="CE200" s="104"/>
      <c r="CF200" s="104"/>
      <c r="CG200" s="104"/>
      <c r="CH200" s="104"/>
      <c r="CI200" s="104"/>
      <c r="CJ200" s="104"/>
      <c r="CK200" s="104"/>
      <c r="CL200" s="104"/>
      <c r="CM200" s="104"/>
      <c r="CN200" s="104"/>
      <c r="CO200" s="104"/>
      <c r="CP200" s="98"/>
      <c r="CR200" s="101"/>
      <c r="CS200" s="101"/>
      <c r="CT200" s="101"/>
      <c r="CU200" s="101"/>
      <c r="CV200" s="101"/>
      <c r="FL200" s="103"/>
      <c r="FN200" s="103"/>
      <c r="FP200" s="103"/>
      <c r="FR200" s="103"/>
    </row>
    <row r="201" spans="2:174" x14ac:dyDescent="0.35">
      <c r="B201" s="97"/>
      <c r="G201" s="100"/>
      <c r="K201" s="98"/>
      <c r="L201" s="101"/>
      <c r="M201" s="101"/>
      <c r="N201" s="101"/>
      <c r="O201" s="101"/>
      <c r="P201" s="102"/>
      <c r="Q201" s="101"/>
      <c r="R201" s="98"/>
      <c r="S201" s="98"/>
      <c r="T201" s="98"/>
      <c r="U201" s="98"/>
      <c r="V201" s="98"/>
      <c r="W201" s="98"/>
      <c r="X201" s="98"/>
      <c r="Y201" s="98"/>
      <c r="Z201" s="103"/>
      <c r="AA201" s="103"/>
      <c r="AB201" s="103"/>
      <c r="AC201" s="103"/>
      <c r="AD201" s="103"/>
      <c r="AE201" s="103"/>
      <c r="AF201" s="103"/>
      <c r="AG201" s="101"/>
      <c r="AH201" s="101"/>
      <c r="AI201" s="101"/>
      <c r="AJ201" s="101"/>
      <c r="AK201" s="101"/>
      <c r="AL201" s="101"/>
      <c r="AM201" s="101"/>
      <c r="AN201" s="103"/>
      <c r="AO201" s="103"/>
      <c r="AP201" s="103"/>
      <c r="AQ201" s="103"/>
      <c r="AR201" s="103"/>
      <c r="AS201" s="103"/>
      <c r="AT201" s="103"/>
      <c r="AU201" s="101"/>
      <c r="AV201" s="101"/>
      <c r="AW201" s="101"/>
      <c r="AX201" s="101"/>
      <c r="AY201" s="101"/>
      <c r="AZ201" s="101"/>
      <c r="BA201" s="101"/>
      <c r="BB201" s="103"/>
      <c r="BC201" s="103"/>
      <c r="BD201" s="103"/>
      <c r="BE201" s="101"/>
      <c r="BF201" s="101"/>
      <c r="BG201" s="101"/>
      <c r="BH201" s="101"/>
      <c r="BI201" s="101"/>
      <c r="BM201" s="101"/>
      <c r="BN201" s="101"/>
      <c r="BO201" s="101"/>
      <c r="BP201" s="101"/>
      <c r="BQ201" s="101"/>
      <c r="BR201" s="101"/>
      <c r="BS201" s="101"/>
      <c r="BT201" s="104"/>
      <c r="BU201" s="104"/>
      <c r="BV201" s="104"/>
      <c r="BW201" s="104"/>
      <c r="BX201" s="104"/>
      <c r="BY201" s="104"/>
      <c r="BZ201" s="104"/>
      <c r="CA201" s="104"/>
      <c r="CB201" s="104"/>
      <c r="CC201" s="104"/>
      <c r="CD201" s="104"/>
      <c r="CE201" s="104"/>
      <c r="CF201" s="104"/>
      <c r="CG201" s="104"/>
      <c r="CH201" s="104"/>
      <c r="CI201" s="104"/>
      <c r="CJ201" s="104"/>
      <c r="CK201" s="104"/>
      <c r="CL201" s="104"/>
      <c r="CM201" s="104"/>
      <c r="CN201" s="104"/>
      <c r="CO201" s="104"/>
      <c r="CP201" s="98"/>
      <c r="CR201" s="101"/>
      <c r="CS201" s="101"/>
      <c r="CT201" s="101"/>
      <c r="CU201" s="101"/>
      <c r="CV201" s="101"/>
      <c r="FL201" s="103"/>
      <c r="FN201" s="103"/>
      <c r="FP201" s="103"/>
      <c r="FR201" s="103"/>
    </row>
    <row r="202" spans="2:174" x14ac:dyDescent="0.35">
      <c r="B202" s="97"/>
      <c r="G202" s="100"/>
      <c r="K202" s="98"/>
      <c r="L202" s="101"/>
      <c r="M202" s="101"/>
      <c r="N202" s="101"/>
      <c r="O202" s="101"/>
      <c r="P202" s="102"/>
      <c r="Q202" s="101"/>
      <c r="R202" s="98"/>
      <c r="S202" s="98"/>
      <c r="T202" s="98"/>
      <c r="U202" s="98"/>
      <c r="V202" s="98"/>
      <c r="W202" s="98"/>
      <c r="X202" s="98"/>
      <c r="Y202" s="98"/>
      <c r="Z202" s="103"/>
      <c r="AA202" s="103"/>
      <c r="AB202" s="103"/>
      <c r="AC202" s="103"/>
      <c r="AD202" s="103"/>
      <c r="AE202" s="103"/>
      <c r="AF202" s="103"/>
      <c r="AG202" s="101"/>
      <c r="AH202" s="101"/>
      <c r="AI202" s="101"/>
      <c r="AJ202" s="101"/>
      <c r="AK202" s="101"/>
      <c r="AL202" s="101"/>
      <c r="AM202" s="101"/>
      <c r="AN202" s="103"/>
      <c r="AO202" s="103"/>
      <c r="AP202" s="103"/>
      <c r="AQ202" s="103"/>
      <c r="AR202" s="103"/>
      <c r="AS202" s="103"/>
      <c r="AT202" s="103"/>
      <c r="AU202" s="101"/>
      <c r="AV202" s="101"/>
      <c r="AW202" s="101"/>
      <c r="AX202" s="101"/>
      <c r="AY202" s="101"/>
      <c r="AZ202" s="101"/>
      <c r="BA202" s="101"/>
      <c r="BB202" s="103"/>
      <c r="BC202" s="103"/>
      <c r="BD202" s="103"/>
      <c r="BE202" s="101"/>
      <c r="BF202" s="101"/>
      <c r="BG202" s="101"/>
      <c r="BH202" s="101"/>
      <c r="BI202" s="101"/>
      <c r="BM202" s="101"/>
      <c r="BN202" s="101"/>
      <c r="BO202" s="101"/>
      <c r="BP202" s="101"/>
      <c r="BQ202" s="101"/>
      <c r="BR202" s="101"/>
      <c r="BS202" s="101"/>
      <c r="BT202" s="104"/>
      <c r="BU202" s="104"/>
      <c r="BV202" s="104"/>
      <c r="BW202" s="104"/>
      <c r="BX202" s="104"/>
      <c r="BY202" s="104"/>
      <c r="BZ202" s="104"/>
      <c r="CA202" s="104"/>
      <c r="CB202" s="104"/>
      <c r="CC202" s="104"/>
      <c r="CD202" s="104"/>
      <c r="CE202" s="104"/>
      <c r="CF202" s="104"/>
      <c r="CG202" s="104"/>
      <c r="CH202" s="104"/>
      <c r="CI202" s="104"/>
      <c r="CJ202" s="104"/>
      <c r="CK202" s="104"/>
      <c r="CL202" s="104"/>
      <c r="CM202" s="104"/>
      <c r="CN202" s="104"/>
      <c r="CO202" s="104"/>
      <c r="CP202" s="98"/>
      <c r="CR202" s="101"/>
      <c r="CS202" s="101"/>
      <c r="CT202" s="101"/>
      <c r="CU202" s="101"/>
      <c r="CV202" s="101"/>
      <c r="FL202" s="103"/>
      <c r="FN202" s="103"/>
      <c r="FP202" s="103"/>
      <c r="FR202" s="103"/>
    </row>
    <row r="203" spans="2:174" x14ac:dyDescent="0.35">
      <c r="B203" s="97"/>
      <c r="G203" s="100"/>
      <c r="K203" s="98"/>
      <c r="L203" s="101"/>
      <c r="M203" s="101"/>
      <c r="N203" s="101"/>
      <c r="O203" s="101"/>
      <c r="P203" s="102"/>
      <c r="Q203" s="101"/>
      <c r="R203" s="98"/>
      <c r="S203" s="98"/>
      <c r="T203" s="98"/>
      <c r="U203" s="98"/>
      <c r="V203" s="98"/>
      <c r="W203" s="98"/>
      <c r="X203" s="98"/>
      <c r="Y203" s="98"/>
      <c r="Z203" s="103"/>
      <c r="AA203" s="103"/>
      <c r="AB203" s="103"/>
      <c r="AC203" s="103"/>
      <c r="AD203" s="103"/>
      <c r="AE203" s="103"/>
      <c r="AF203" s="103"/>
      <c r="AG203" s="101"/>
      <c r="AH203" s="101"/>
      <c r="AI203" s="101"/>
      <c r="AJ203" s="101"/>
      <c r="AK203" s="101"/>
      <c r="AL203" s="101"/>
      <c r="AM203" s="101"/>
      <c r="AN203" s="103"/>
      <c r="AO203" s="103"/>
      <c r="AP203" s="103"/>
      <c r="AQ203" s="103"/>
      <c r="AR203" s="103"/>
      <c r="AS203" s="103"/>
      <c r="AT203" s="103"/>
      <c r="AU203" s="101"/>
      <c r="AV203" s="101"/>
      <c r="AW203" s="101"/>
      <c r="AX203" s="101"/>
      <c r="AY203" s="101"/>
      <c r="AZ203" s="101"/>
      <c r="BA203" s="101"/>
      <c r="BB203" s="103"/>
      <c r="BC203" s="103"/>
      <c r="BD203" s="103"/>
      <c r="BE203" s="101"/>
      <c r="BF203" s="101"/>
      <c r="BG203" s="101"/>
      <c r="BH203" s="101"/>
      <c r="BI203" s="101"/>
      <c r="BM203" s="101"/>
      <c r="BN203" s="101"/>
      <c r="BO203" s="101"/>
      <c r="BP203" s="101"/>
      <c r="BQ203" s="101"/>
      <c r="BR203" s="101"/>
      <c r="BS203" s="101"/>
      <c r="BT203" s="104"/>
      <c r="BU203" s="104"/>
      <c r="BV203" s="104"/>
      <c r="BW203" s="104"/>
      <c r="BX203" s="104"/>
      <c r="BY203" s="104"/>
      <c r="BZ203" s="104"/>
      <c r="CA203" s="104"/>
      <c r="CB203" s="104"/>
      <c r="CC203" s="104"/>
      <c r="CD203" s="104"/>
      <c r="CE203" s="104"/>
      <c r="CF203" s="104"/>
      <c r="CG203" s="104"/>
      <c r="CH203" s="104"/>
      <c r="CI203" s="104"/>
      <c r="CJ203" s="104"/>
      <c r="CK203" s="104"/>
      <c r="CL203" s="104"/>
      <c r="CM203" s="104"/>
      <c r="CN203" s="104"/>
      <c r="CO203" s="104"/>
      <c r="CP203" s="98"/>
      <c r="CR203" s="101"/>
      <c r="CS203" s="101"/>
      <c r="CT203" s="101"/>
      <c r="CU203" s="101"/>
      <c r="CV203" s="101"/>
      <c r="FL203" s="103"/>
      <c r="FN203" s="103"/>
      <c r="FP203" s="103"/>
      <c r="FR203" s="103"/>
    </row>
    <row r="204" spans="2:174" x14ac:dyDescent="0.35">
      <c r="B204" s="97"/>
      <c r="G204" s="100"/>
      <c r="K204" s="98"/>
      <c r="L204" s="101"/>
      <c r="M204" s="101"/>
      <c r="N204" s="101"/>
      <c r="O204" s="101"/>
      <c r="P204" s="102"/>
      <c r="Q204" s="101"/>
      <c r="R204" s="98"/>
      <c r="S204" s="98"/>
      <c r="T204" s="98"/>
      <c r="U204" s="98"/>
      <c r="V204" s="98"/>
      <c r="W204" s="98"/>
      <c r="X204" s="98"/>
      <c r="Y204" s="98"/>
      <c r="Z204" s="103"/>
      <c r="AA204" s="103"/>
      <c r="AB204" s="103"/>
      <c r="AC204" s="103"/>
      <c r="AD204" s="103"/>
      <c r="AE204" s="103"/>
      <c r="AF204" s="103"/>
      <c r="AG204" s="101"/>
      <c r="AH204" s="101"/>
      <c r="AI204" s="101"/>
      <c r="AJ204" s="101"/>
      <c r="AK204" s="101"/>
      <c r="AL204" s="101"/>
      <c r="AM204" s="101"/>
      <c r="AN204" s="103"/>
      <c r="AO204" s="103"/>
      <c r="AP204" s="103"/>
      <c r="AQ204" s="103"/>
      <c r="AR204" s="103"/>
      <c r="AS204" s="103"/>
      <c r="AT204" s="103"/>
      <c r="AU204" s="101"/>
      <c r="AV204" s="101"/>
      <c r="AW204" s="101"/>
      <c r="AX204" s="101"/>
      <c r="AY204" s="101"/>
      <c r="AZ204" s="101"/>
      <c r="BA204" s="101"/>
      <c r="BB204" s="103"/>
      <c r="BC204" s="103"/>
      <c r="BD204" s="103"/>
      <c r="BE204" s="101"/>
      <c r="BF204" s="101"/>
      <c r="BG204" s="101"/>
      <c r="BH204" s="101"/>
      <c r="BI204" s="101"/>
      <c r="BM204" s="101"/>
      <c r="BN204" s="101"/>
      <c r="BO204" s="101"/>
      <c r="BP204" s="101"/>
      <c r="BQ204" s="101"/>
      <c r="BR204" s="101"/>
      <c r="BS204" s="101"/>
      <c r="BT204" s="104"/>
      <c r="BU204" s="104"/>
      <c r="BV204" s="104"/>
      <c r="BW204" s="104"/>
      <c r="BX204" s="104"/>
      <c r="BY204" s="104"/>
      <c r="BZ204" s="104"/>
      <c r="CA204" s="104"/>
      <c r="CB204" s="104"/>
      <c r="CC204" s="104"/>
      <c r="CD204" s="104"/>
      <c r="CE204" s="104"/>
      <c r="CF204" s="104"/>
      <c r="CG204" s="104"/>
      <c r="CH204" s="104"/>
      <c r="CI204" s="104"/>
      <c r="CJ204" s="104"/>
      <c r="CK204" s="104"/>
      <c r="CL204" s="104"/>
      <c r="CM204" s="104"/>
      <c r="CN204" s="104"/>
      <c r="CO204" s="104"/>
      <c r="CP204" s="98"/>
      <c r="CR204" s="101"/>
      <c r="CS204" s="101"/>
      <c r="CT204" s="101"/>
      <c r="CU204" s="101"/>
      <c r="CV204" s="101"/>
      <c r="FL204" s="103"/>
      <c r="FN204" s="103"/>
      <c r="FP204" s="103"/>
      <c r="FR204" s="103"/>
    </row>
    <row r="205" spans="2:174" x14ac:dyDescent="0.35">
      <c r="B205" s="97"/>
      <c r="G205" s="100"/>
      <c r="K205" s="98"/>
      <c r="L205" s="101"/>
      <c r="M205" s="101"/>
      <c r="N205" s="101"/>
      <c r="O205" s="101"/>
      <c r="P205" s="102"/>
      <c r="Q205" s="101"/>
      <c r="R205" s="98"/>
      <c r="S205" s="98"/>
      <c r="T205" s="98"/>
      <c r="U205" s="98"/>
      <c r="V205" s="98"/>
      <c r="W205" s="98"/>
      <c r="X205" s="98"/>
      <c r="Y205" s="98"/>
      <c r="Z205" s="103"/>
      <c r="AA205" s="103"/>
      <c r="AB205" s="103"/>
      <c r="AC205" s="103"/>
      <c r="AD205" s="103"/>
      <c r="AE205" s="103"/>
      <c r="AF205" s="103"/>
      <c r="AG205" s="101"/>
      <c r="AH205" s="101"/>
      <c r="AI205" s="101"/>
      <c r="AJ205" s="101"/>
      <c r="AK205" s="101"/>
      <c r="AL205" s="101"/>
      <c r="AM205" s="101"/>
      <c r="AN205" s="103"/>
      <c r="AO205" s="103"/>
      <c r="AP205" s="103"/>
      <c r="AQ205" s="103"/>
      <c r="AR205" s="103"/>
      <c r="AS205" s="103"/>
      <c r="AT205" s="103"/>
      <c r="AU205" s="101"/>
      <c r="AV205" s="101"/>
      <c r="AW205" s="101"/>
      <c r="AX205" s="101"/>
      <c r="AY205" s="101"/>
      <c r="AZ205" s="101"/>
      <c r="BA205" s="101"/>
      <c r="BB205" s="103"/>
      <c r="BC205" s="103"/>
      <c r="BD205" s="103"/>
      <c r="BE205" s="101"/>
      <c r="BF205" s="101"/>
      <c r="BG205" s="101"/>
      <c r="BH205" s="101"/>
      <c r="BI205" s="101"/>
      <c r="BM205" s="101"/>
      <c r="BN205" s="101"/>
      <c r="BO205" s="101"/>
      <c r="BP205" s="101"/>
      <c r="BQ205" s="101"/>
      <c r="BR205" s="101"/>
      <c r="BS205" s="101"/>
      <c r="BT205" s="104"/>
      <c r="BU205" s="104"/>
      <c r="BV205" s="104"/>
      <c r="BW205" s="104"/>
      <c r="BX205" s="104"/>
      <c r="BY205" s="104"/>
      <c r="BZ205" s="104"/>
      <c r="CA205" s="104"/>
      <c r="CB205" s="104"/>
      <c r="CC205" s="104"/>
      <c r="CD205" s="104"/>
      <c r="CE205" s="104"/>
      <c r="CF205" s="104"/>
      <c r="CG205" s="104"/>
      <c r="CH205" s="104"/>
      <c r="CI205" s="104"/>
      <c r="CJ205" s="104"/>
      <c r="CK205" s="104"/>
      <c r="CL205" s="104"/>
      <c r="CM205" s="104"/>
      <c r="CN205" s="104"/>
      <c r="CO205" s="104"/>
      <c r="CP205" s="98"/>
      <c r="CR205" s="101"/>
      <c r="CS205" s="101"/>
      <c r="CT205" s="101"/>
      <c r="CU205" s="101"/>
      <c r="CV205" s="101"/>
      <c r="FL205" s="103"/>
      <c r="FN205" s="103"/>
      <c r="FP205" s="103"/>
      <c r="FR205" s="103"/>
    </row>
    <row r="206" spans="2:174" x14ac:dyDescent="0.35">
      <c r="B206" s="97"/>
      <c r="G206" s="100"/>
      <c r="K206" s="98"/>
      <c r="L206" s="101"/>
      <c r="M206" s="101"/>
      <c r="N206" s="101"/>
      <c r="O206" s="101"/>
      <c r="P206" s="102"/>
      <c r="Q206" s="101"/>
      <c r="R206" s="98"/>
      <c r="S206" s="98"/>
      <c r="T206" s="98"/>
      <c r="U206" s="98"/>
      <c r="V206" s="98"/>
      <c r="W206" s="98"/>
      <c r="X206" s="98"/>
      <c r="Y206" s="98"/>
      <c r="Z206" s="103"/>
      <c r="AA206" s="103"/>
      <c r="AB206" s="103"/>
      <c r="AC206" s="103"/>
      <c r="AD206" s="103"/>
      <c r="AE206" s="103"/>
      <c r="AF206" s="103"/>
      <c r="AG206" s="101"/>
      <c r="AH206" s="101"/>
      <c r="AI206" s="101"/>
      <c r="AJ206" s="101"/>
      <c r="AK206" s="101"/>
      <c r="AL206" s="101"/>
      <c r="AM206" s="101"/>
      <c r="AN206" s="103"/>
      <c r="AO206" s="103"/>
      <c r="AP206" s="103"/>
      <c r="AQ206" s="103"/>
      <c r="AR206" s="103"/>
      <c r="AS206" s="103"/>
      <c r="AT206" s="103"/>
      <c r="AU206" s="101"/>
      <c r="AV206" s="101"/>
      <c r="AW206" s="101"/>
      <c r="AX206" s="101"/>
      <c r="AY206" s="101"/>
      <c r="AZ206" s="101"/>
      <c r="BA206" s="101"/>
      <c r="BB206" s="103"/>
      <c r="BC206" s="103"/>
      <c r="BD206" s="103"/>
      <c r="BE206" s="101"/>
      <c r="BF206" s="101"/>
      <c r="BG206" s="101"/>
      <c r="BH206" s="101"/>
      <c r="BI206" s="101"/>
      <c r="BM206" s="101"/>
      <c r="BN206" s="101"/>
      <c r="BO206" s="101"/>
      <c r="BP206" s="101"/>
      <c r="BQ206" s="101"/>
      <c r="BR206" s="101"/>
      <c r="BS206" s="101"/>
      <c r="BT206" s="104"/>
      <c r="BU206" s="104"/>
      <c r="BV206" s="104"/>
      <c r="BW206" s="104"/>
      <c r="BX206" s="104"/>
      <c r="BY206" s="104"/>
      <c r="BZ206" s="104"/>
      <c r="CA206" s="104"/>
      <c r="CB206" s="104"/>
      <c r="CC206" s="104"/>
      <c r="CD206" s="104"/>
      <c r="CE206" s="104"/>
      <c r="CF206" s="104"/>
      <c r="CG206" s="104"/>
      <c r="CH206" s="104"/>
      <c r="CI206" s="104"/>
      <c r="CJ206" s="104"/>
      <c r="CK206" s="104"/>
      <c r="CL206" s="104"/>
      <c r="CM206" s="104"/>
      <c r="CN206" s="104"/>
      <c r="CO206" s="104"/>
      <c r="CP206" s="98"/>
      <c r="CR206" s="101"/>
      <c r="CS206" s="101"/>
      <c r="CT206" s="101"/>
      <c r="CU206" s="101"/>
      <c r="CV206" s="101"/>
      <c r="FL206" s="103"/>
      <c r="FN206" s="103"/>
      <c r="FP206" s="103"/>
      <c r="FR206" s="103"/>
    </row>
    <row r="207" spans="2:174" x14ac:dyDescent="0.35">
      <c r="B207" s="97"/>
      <c r="G207" s="100"/>
      <c r="K207" s="98"/>
      <c r="L207" s="101"/>
      <c r="M207" s="101"/>
      <c r="N207" s="101"/>
      <c r="O207" s="101"/>
      <c r="P207" s="102"/>
      <c r="Q207" s="101"/>
      <c r="R207" s="98"/>
      <c r="S207" s="98"/>
      <c r="T207" s="98"/>
      <c r="U207" s="98"/>
      <c r="V207" s="98"/>
      <c r="W207" s="98"/>
      <c r="X207" s="98"/>
      <c r="Y207" s="98"/>
      <c r="Z207" s="103"/>
      <c r="AA207" s="103"/>
      <c r="AB207" s="103"/>
      <c r="AC207" s="103"/>
      <c r="AD207" s="103"/>
      <c r="AE207" s="103"/>
      <c r="AF207" s="103"/>
      <c r="AG207" s="101"/>
      <c r="AH207" s="101"/>
      <c r="AI207" s="101"/>
      <c r="AJ207" s="101"/>
      <c r="AK207" s="101"/>
      <c r="AL207" s="101"/>
      <c r="AM207" s="101"/>
      <c r="AN207" s="103"/>
      <c r="AO207" s="103"/>
      <c r="AP207" s="103"/>
      <c r="AQ207" s="103"/>
      <c r="AR207" s="103"/>
      <c r="AS207" s="103"/>
      <c r="AT207" s="103"/>
      <c r="AU207" s="101"/>
      <c r="AV207" s="101"/>
      <c r="AW207" s="101"/>
      <c r="AX207" s="101"/>
      <c r="AY207" s="101"/>
      <c r="AZ207" s="101"/>
      <c r="BA207" s="101"/>
      <c r="BB207" s="103"/>
      <c r="BC207" s="103"/>
      <c r="BD207" s="103"/>
      <c r="BE207" s="101"/>
      <c r="BF207" s="101"/>
      <c r="BG207" s="101"/>
      <c r="BH207" s="101"/>
      <c r="BI207" s="101"/>
      <c r="BM207" s="101"/>
      <c r="BN207" s="101"/>
      <c r="BO207" s="101"/>
      <c r="BP207" s="101"/>
      <c r="BQ207" s="101"/>
      <c r="BR207" s="101"/>
      <c r="BS207" s="101"/>
      <c r="BT207" s="104"/>
      <c r="BU207" s="104"/>
      <c r="BV207" s="104"/>
      <c r="BW207" s="104"/>
      <c r="BX207" s="104"/>
      <c r="BY207" s="104"/>
      <c r="BZ207" s="104"/>
      <c r="CA207" s="104"/>
      <c r="CB207" s="104"/>
      <c r="CC207" s="104"/>
      <c r="CD207" s="104"/>
      <c r="CE207" s="104"/>
      <c r="CF207" s="104"/>
      <c r="CG207" s="104"/>
      <c r="CH207" s="104"/>
      <c r="CI207" s="104"/>
      <c r="CJ207" s="104"/>
      <c r="CK207" s="104"/>
      <c r="CL207" s="104"/>
      <c r="CM207" s="104"/>
      <c r="CN207" s="104"/>
      <c r="CO207" s="104"/>
      <c r="CP207" s="98"/>
      <c r="CR207" s="101"/>
      <c r="CS207" s="101"/>
      <c r="CT207" s="101"/>
      <c r="CU207" s="101"/>
      <c r="CV207" s="101"/>
      <c r="FL207" s="103"/>
      <c r="FN207" s="103"/>
      <c r="FP207" s="103"/>
      <c r="FR207" s="103"/>
    </row>
    <row r="208" spans="2:174" x14ac:dyDescent="0.35">
      <c r="B208" s="97"/>
      <c r="G208" s="100"/>
      <c r="K208" s="98"/>
      <c r="L208" s="101"/>
      <c r="M208" s="101"/>
      <c r="N208" s="101"/>
      <c r="O208" s="101"/>
      <c r="P208" s="102"/>
      <c r="Q208" s="101"/>
      <c r="R208" s="98"/>
      <c r="S208" s="98"/>
      <c r="T208" s="98"/>
      <c r="U208" s="98"/>
      <c r="V208" s="98"/>
      <c r="W208" s="98"/>
      <c r="X208" s="98"/>
      <c r="Y208" s="98"/>
      <c r="Z208" s="103"/>
      <c r="AA208" s="103"/>
      <c r="AB208" s="103"/>
      <c r="AC208" s="103"/>
      <c r="AD208" s="103"/>
      <c r="AE208" s="103"/>
      <c r="AF208" s="103"/>
      <c r="AG208" s="101"/>
      <c r="AH208" s="101"/>
      <c r="AI208" s="101"/>
      <c r="AJ208" s="101"/>
      <c r="AK208" s="101"/>
      <c r="AL208" s="101"/>
      <c r="AM208" s="101"/>
      <c r="AN208" s="103"/>
      <c r="AO208" s="103"/>
      <c r="AP208" s="103"/>
      <c r="AQ208" s="103"/>
      <c r="AR208" s="103"/>
      <c r="AS208" s="103"/>
      <c r="AT208" s="103"/>
      <c r="AU208" s="101"/>
      <c r="AV208" s="101"/>
      <c r="AW208" s="101"/>
      <c r="AX208" s="101"/>
      <c r="AY208" s="101"/>
      <c r="AZ208" s="101"/>
      <c r="BA208" s="101"/>
      <c r="BB208" s="103"/>
      <c r="BC208" s="103"/>
      <c r="BD208" s="103"/>
      <c r="BE208" s="101"/>
      <c r="BF208" s="101"/>
      <c r="BG208" s="101"/>
      <c r="BH208" s="101"/>
      <c r="BI208" s="101"/>
      <c r="BM208" s="101"/>
      <c r="BN208" s="101"/>
      <c r="BO208" s="101"/>
      <c r="BP208" s="101"/>
      <c r="BQ208" s="101"/>
      <c r="BR208" s="101"/>
      <c r="BS208" s="101"/>
      <c r="BT208" s="104"/>
      <c r="BU208" s="104"/>
      <c r="BV208" s="104"/>
      <c r="BW208" s="104"/>
      <c r="BX208" s="104"/>
      <c r="BY208" s="104"/>
      <c r="BZ208" s="104"/>
      <c r="CA208" s="104"/>
      <c r="CB208" s="104"/>
      <c r="CC208" s="104"/>
      <c r="CD208" s="104"/>
      <c r="CE208" s="104"/>
      <c r="CF208" s="104"/>
      <c r="CG208" s="104"/>
      <c r="CH208" s="104"/>
      <c r="CI208" s="104"/>
      <c r="CJ208" s="104"/>
      <c r="CK208" s="104"/>
      <c r="CL208" s="104"/>
      <c r="CM208" s="104"/>
      <c r="CN208" s="104"/>
      <c r="CO208" s="104"/>
      <c r="CP208" s="98"/>
      <c r="CR208" s="101"/>
      <c r="CS208" s="101"/>
      <c r="CT208" s="101"/>
      <c r="CU208" s="101"/>
      <c r="CV208" s="101"/>
      <c r="FL208" s="103"/>
      <c r="FN208" s="103"/>
      <c r="FP208" s="103"/>
      <c r="FR208" s="103"/>
    </row>
    <row r="209" spans="2:174" x14ac:dyDescent="0.35">
      <c r="B209" s="97"/>
      <c r="G209" s="100"/>
      <c r="K209" s="98"/>
      <c r="L209" s="101"/>
      <c r="M209" s="101"/>
      <c r="N209" s="101"/>
      <c r="O209" s="101"/>
      <c r="P209" s="102"/>
      <c r="Q209" s="101"/>
      <c r="R209" s="98"/>
      <c r="S209" s="98"/>
      <c r="T209" s="98"/>
      <c r="U209" s="98"/>
      <c r="V209" s="98"/>
      <c r="W209" s="98"/>
      <c r="X209" s="98"/>
      <c r="Y209" s="98"/>
      <c r="Z209" s="103"/>
      <c r="AA209" s="103"/>
      <c r="AB209" s="103"/>
      <c r="AC209" s="103"/>
      <c r="AD209" s="103"/>
      <c r="AE209" s="103"/>
      <c r="AF209" s="103"/>
      <c r="AG209" s="101"/>
      <c r="AH209" s="101"/>
      <c r="AI209" s="101"/>
      <c r="AJ209" s="101"/>
      <c r="AK209" s="101"/>
      <c r="AL209" s="101"/>
      <c r="AM209" s="101"/>
      <c r="AN209" s="103"/>
      <c r="AO209" s="103"/>
      <c r="AP209" s="103"/>
      <c r="AQ209" s="103"/>
      <c r="AR209" s="103"/>
      <c r="AS209" s="103"/>
      <c r="AT209" s="103"/>
      <c r="AU209" s="101"/>
      <c r="AV209" s="101"/>
      <c r="AW209" s="101"/>
      <c r="AX209" s="101"/>
      <c r="AY209" s="101"/>
      <c r="AZ209" s="101"/>
      <c r="BA209" s="101"/>
      <c r="BB209" s="103"/>
      <c r="BC209" s="103"/>
      <c r="BD209" s="103"/>
      <c r="BE209" s="101"/>
      <c r="BF209" s="101"/>
      <c r="BG209" s="101"/>
      <c r="BH209" s="101"/>
      <c r="BI209" s="101"/>
      <c r="BM209" s="101"/>
      <c r="BN209" s="101"/>
      <c r="BO209" s="101"/>
      <c r="BP209" s="101"/>
      <c r="BQ209" s="101"/>
      <c r="BR209" s="101"/>
      <c r="BS209" s="101"/>
      <c r="BT209" s="104"/>
      <c r="BU209" s="104"/>
      <c r="BV209" s="104"/>
      <c r="BW209" s="104"/>
      <c r="BX209" s="104"/>
      <c r="BY209" s="104"/>
      <c r="BZ209" s="104"/>
      <c r="CA209" s="104"/>
      <c r="CB209" s="104"/>
      <c r="CC209" s="104"/>
      <c r="CD209" s="104"/>
      <c r="CE209" s="104"/>
      <c r="CF209" s="104"/>
      <c r="CG209" s="104"/>
      <c r="CH209" s="104"/>
      <c r="CI209" s="104"/>
      <c r="CJ209" s="104"/>
      <c r="CK209" s="104"/>
      <c r="CL209" s="104"/>
      <c r="CM209" s="104"/>
      <c r="CN209" s="104"/>
      <c r="CO209" s="104"/>
      <c r="CP209" s="98"/>
      <c r="CR209" s="101"/>
      <c r="CS209" s="101"/>
      <c r="CT209" s="101"/>
      <c r="CU209" s="101"/>
      <c r="CV209" s="101"/>
      <c r="FL209" s="103"/>
      <c r="FN209" s="103"/>
      <c r="FP209" s="103"/>
      <c r="FR209" s="103"/>
    </row>
    <row r="210" spans="2:174" x14ac:dyDescent="0.35">
      <c r="B210" s="97"/>
      <c r="G210" s="100"/>
      <c r="K210" s="98"/>
      <c r="L210" s="101"/>
      <c r="M210" s="101"/>
      <c r="N210" s="101"/>
      <c r="O210" s="101"/>
      <c r="P210" s="102"/>
      <c r="Q210" s="101"/>
      <c r="R210" s="98"/>
      <c r="S210" s="98"/>
      <c r="T210" s="98"/>
      <c r="U210" s="98"/>
      <c r="V210" s="98"/>
      <c r="W210" s="98"/>
      <c r="X210" s="98"/>
      <c r="Y210" s="98"/>
      <c r="Z210" s="103"/>
      <c r="AA210" s="103"/>
      <c r="AB210" s="103"/>
      <c r="AC210" s="103"/>
      <c r="AD210" s="103"/>
      <c r="AE210" s="103"/>
      <c r="AF210" s="103"/>
      <c r="AG210" s="101"/>
      <c r="AH210" s="101"/>
      <c r="AI210" s="101"/>
      <c r="AJ210" s="101"/>
      <c r="AK210" s="101"/>
      <c r="AL210" s="101"/>
      <c r="AM210" s="101"/>
      <c r="AN210" s="103"/>
      <c r="AO210" s="103"/>
      <c r="AP210" s="103"/>
      <c r="AQ210" s="103"/>
      <c r="AR210" s="103"/>
      <c r="AS210" s="103"/>
      <c r="AT210" s="103"/>
      <c r="AU210" s="101"/>
      <c r="AV210" s="101"/>
      <c r="AW210" s="101"/>
      <c r="AX210" s="101"/>
      <c r="AY210" s="101"/>
      <c r="AZ210" s="101"/>
      <c r="BA210" s="101"/>
      <c r="BB210" s="103"/>
      <c r="BC210" s="103"/>
      <c r="BD210" s="103"/>
      <c r="BE210" s="101"/>
      <c r="BF210" s="101"/>
      <c r="BG210" s="101"/>
      <c r="BH210" s="101"/>
      <c r="BI210" s="101"/>
      <c r="BM210" s="101"/>
      <c r="BN210" s="101"/>
      <c r="BO210" s="101"/>
      <c r="BP210" s="101"/>
      <c r="BQ210" s="101"/>
      <c r="BR210" s="101"/>
      <c r="BS210" s="101"/>
      <c r="BT210" s="104"/>
      <c r="BU210" s="104"/>
      <c r="BV210" s="104"/>
      <c r="BW210" s="104"/>
      <c r="BX210" s="104"/>
      <c r="BY210" s="104"/>
      <c r="BZ210" s="104"/>
      <c r="CA210" s="104"/>
      <c r="CB210" s="104"/>
      <c r="CC210" s="104"/>
      <c r="CD210" s="104"/>
      <c r="CE210" s="104"/>
      <c r="CF210" s="104"/>
      <c r="CG210" s="104"/>
      <c r="CH210" s="104"/>
      <c r="CI210" s="104"/>
      <c r="CJ210" s="104"/>
      <c r="CK210" s="104"/>
      <c r="CL210" s="104"/>
      <c r="CM210" s="104"/>
      <c r="CN210" s="104"/>
      <c r="CO210" s="104"/>
      <c r="CP210" s="98"/>
      <c r="CR210" s="101"/>
      <c r="CS210" s="101"/>
      <c r="CT210" s="101"/>
      <c r="CU210" s="101"/>
      <c r="CV210" s="101"/>
      <c r="FL210" s="103"/>
      <c r="FN210" s="103"/>
      <c r="FP210" s="103"/>
      <c r="FR210" s="103"/>
    </row>
    <row r="211" spans="2:174" x14ac:dyDescent="0.35">
      <c r="B211" s="97"/>
      <c r="G211" s="100"/>
      <c r="K211" s="98"/>
      <c r="L211" s="101"/>
      <c r="M211" s="101"/>
      <c r="N211" s="101"/>
      <c r="O211" s="101"/>
      <c r="P211" s="102"/>
      <c r="Q211" s="101"/>
      <c r="R211" s="98"/>
      <c r="S211" s="98"/>
      <c r="T211" s="98"/>
      <c r="U211" s="98"/>
      <c r="V211" s="98"/>
      <c r="W211" s="98"/>
      <c r="X211" s="98"/>
      <c r="Y211" s="98"/>
      <c r="Z211" s="103"/>
      <c r="AA211" s="103"/>
      <c r="AB211" s="103"/>
      <c r="AC211" s="103"/>
      <c r="AD211" s="103"/>
      <c r="AE211" s="103"/>
      <c r="AF211" s="103"/>
      <c r="AG211" s="101"/>
      <c r="AH211" s="101"/>
      <c r="AI211" s="101"/>
      <c r="AJ211" s="101"/>
      <c r="AK211" s="101"/>
      <c r="AL211" s="101"/>
      <c r="AM211" s="101"/>
      <c r="AN211" s="103"/>
      <c r="AO211" s="103"/>
      <c r="AP211" s="103"/>
      <c r="AQ211" s="103"/>
      <c r="AR211" s="103"/>
      <c r="AS211" s="103"/>
      <c r="AT211" s="103"/>
      <c r="AU211" s="101"/>
      <c r="AV211" s="101"/>
      <c r="AW211" s="101"/>
      <c r="AX211" s="101"/>
      <c r="AY211" s="101"/>
      <c r="AZ211" s="101"/>
      <c r="BA211" s="101"/>
      <c r="BB211" s="103"/>
      <c r="BC211" s="103"/>
      <c r="BD211" s="103"/>
      <c r="BE211" s="101"/>
      <c r="BF211" s="101"/>
      <c r="BG211" s="101"/>
      <c r="BH211" s="101"/>
      <c r="BI211" s="101"/>
      <c r="BM211" s="101"/>
      <c r="BN211" s="101"/>
      <c r="BO211" s="101"/>
      <c r="BP211" s="101"/>
      <c r="BQ211" s="101"/>
      <c r="BR211" s="101"/>
      <c r="BS211" s="101"/>
      <c r="BT211" s="104"/>
      <c r="BU211" s="104"/>
      <c r="BV211" s="104"/>
      <c r="BW211" s="104"/>
      <c r="BX211" s="104"/>
      <c r="BY211" s="104"/>
      <c r="BZ211" s="104"/>
      <c r="CA211" s="104"/>
      <c r="CB211" s="104"/>
      <c r="CC211" s="104"/>
      <c r="CD211" s="104"/>
      <c r="CE211" s="104"/>
      <c r="CF211" s="104"/>
      <c r="CG211" s="104"/>
      <c r="CH211" s="104"/>
      <c r="CI211" s="104"/>
      <c r="CJ211" s="104"/>
      <c r="CK211" s="104"/>
      <c r="CL211" s="104"/>
      <c r="CM211" s="104"/>
      <c r="CN211" s="104"/>
      <c r="CO211" s="104"/>
      <c r="CP211" s="98"/>
      <c r="CR211" s="101"/>
      <c r="CS211" s="101"/>
      <c r="CT211" s="101"/>
      <c r="CU211" s="101"/>
      <c r="CV211" s="101"/>
      <c r="FL211" s="103"/>
      <c r="FN211" s="103"/>
      <c r="FP211" s="103"/>
      <c r="FR211" s="103"/>
    </row>
    <row r="212" spans="2:174" x14ac:dyDescent="0.35">
      <c r="B212" s="97"/>
      <c r="G212" s="100"/>
      <c r="K212" s="98"/>
      <c r="L212" s="101"/>
      <c r="M212" s="101"/>
      <c r="N212" s="101"/>
      <c r="O212" s="101"/>
      <c r="P212" s="102"/>
      <c r="Q212" s="101"/>
      <c r="R212" s="98"/>
      <c r="S212" s="98"/>
      <c r="T212" s="98"/>
      <c r="U212" s="98"/>
      <c r="V212" s="98"/>
      <c r="W212" s="98"/>
      <c r="X212" s="98"/>
      <c r="Y212" s="98"/>
      <c r="Z212" s="103"/>
      <c r="AA212" s="103"/>
      <c r="AB212" s="103"/>
      <c r="AC212" s="103"/>
      <c r="AD212" s="103"/>
      <c r="AE212" s="103"/>
      <c r="AF212" s="103"/>
      <c r="AG212" s="101"/>
      <c r="AH212" s="101"/>
      <c r="AI212" s="101"/>
      <c r="AJ212" s="101"/>
      <c r="AK212" s="101"/>
      <c r="AL212" s="101"/>
      <c r="AM212" s="101"/>
      <c r="AN212" s="103"/>
      <c r="AO212" s="103"/>
      <c r="AP212" s="103"/>
      <c r="AQ212" s="103"/>
      <c r="AR212" s="103"/>
      <c r="AS212" s="103"/>
      <c r="AT212" s="103"/>
      <c r="AU212" s="101"/>
      <c r="AV212" s="101"/>
      <c r="AW212" s="101"/>
      <c r="AX212" s="101"/>
      <c r="AY212" s="101"/>
      <c r="AZ212" s="101"/>
      <c r="BA212" s="101"/>
      <c r="BB212" s="103"/>
      <c r="BC212" s="103"/>
      <c r="BD212" s="103"/>
      <c r="BE212" s="101"/>
      <c r="BF212" s="101"/>
      <c r="BG212" s="101"/>
      <c r="BH212" s="101"/>
      <c r="BI212" s="101"/>
      <c r="BM212" s="101"/>
      <c r="BN212" s="101"/>
      <c r="BO212" s="101"/>
      <c r="BP212" s="101"/>
      <c r="BQ212" s="101"/>
      <c r="BR212" s="101"/>
      <c r="BS212" s="101"/>
      <c r="BT212" s="104"/>
      <c r="BU212" s="104"/>
      <c r="BV212" s="104"/>
      <c r="BW212" s="104"/>
      <c r="BX212" s="104"/>
      <c r="BY212" s="104"/>
      <c r="BZ212" s="104"/>
      <c r="CA212" s="104"/>
      <c r="CB212" s="104"/>
      <c r="CC212" s="104"/>
      <c r="CD212" s="104"/>
      <c r="CE212" s="104"/>
      <c r="CF212" s="104"/>
      <c r="CG212" s="104"/>
      <c r="CH212" s="104"/>
      <c r="CI212" s="104"/>
      <c r="CJ212" s="104"/>
      <c r="CK212" s="104"/>
      <c r="CL212" s="104"/>
      <c r="CM212" s="104"/>
      <c r="CN212" s="104"/>
      <c r="CO212" s="104"/>
      <c r="CP212" s="98"/>
      <c r="CR212" s="101"/>
      <c r="CS212" s="101"/>
      <c r="CT212" s="101"/>
      <c r="CU212" s="101"/>
      <c r="CV212" s="101"/>
      <c r="FL212" s="103"/>
      <c r="FN212" s="103"/>
      <c r="FP212" s="103"/>
      <c r="FR212" s="103"/>
    </row>
    <row r="213" spans="2:174" x14ac:dyDescent="0.35">
      <c r="B213" s="97"/>
      <c r="G213" s="100"/>
      <c r="K213" s="98"/>
      <c r="L213" s="101"/>
      <c r="M213" s="101"/>
      <c r="N213" s="101"/>
      <c r="O213" s="101"/>
      <c r="P213" s="102"/>
      <c r="Q213" s="101"/>
      <c r="R213" s="98"/>
      <c r="S213" s="98"/>
      <c r="T213" s="98"/>
      <c r="U213" s="98"/>
      <c r="V213" s="98"/>
      <c r="W213" s="98"/>
      <c r="X213" s="98"/>
      <c r="Y213" s="98"/>
      <c r="Z213" s="103"/>
      <c r="AA213" s="103"/>
      <c r="AB213" s="103"/>
      <c r="AC213" s="103"/>
      <c r="AD213" s="103"/>
      <c r="AE213" s="103"/>
      <c r="AF213" s="103"/>
      <c r="AG213" s="101"/>
      <c r="AH213" s="101"/>
      <c r="AI213" s="101"/>
      <c r="AJ213" s="101"/>
      <c r="AK213" s="101"/>
      <c r="AL213" s="101"/>
      <c r="AM213" s="101"/>
      <c r="AN213" s="103"/>
      <c r="AO213" s="103"/>
      <c r="AP213" s="103"/>
      <c r="AQ213" s="103"/>
      <c r="AR213" s="103"/>
      <c r="AS213" s="103"/>
      <c r="AT213" s="103"/>
      <c r="AU213" s="101"/>
      <c r="AV213" s="101"/>
      <c r="AW213" s="101"/>
      <c r="AX213" s="101"/>
      <c r="AY213" s="101"/>
      <c r="AZ213" s="101"/>
      <c r="BA213" s="101"/>
      <c r="BB213" s="103"/>
      <c r="BC213" s="103"/>
      <c r="BD213" s="103"/>
      <c r="BE213" s="101"/>
      <c r="BF213" s="101"/>
      <c r="BG213" s="101"/>
      <c r="BH213" s="101"/>
      <c r="BI213" s="101"/>
      <c r="BM213" s="101"/>
      <c r="BN213" s="101"/>
      <c r="BO213" s="101"/>
      <c r="BP213" s="101"/>
      <c r="BQ213" s="101"/>
      <c r="BR213" s="101"/>
      <c r="BS213" s="101"/>
      <c r="BT213" s="104"/>
      <c r="BU213" s="104"/>
      <c r="BV213" s="104"/>
      <c r="BW213" s="104"/>
      <c r="BX213" s="104"/>
      <c r="BY213" s="104"/>
      <c r="BZ213" s="104"/>
      <c r="CA213" s="104"/>
      <c r="CB213" s="104"/>
      <c r="CC213" s="104"/>
      <c r="CD213" s="104"/>
      <c r="CE213" s="104"/>
      <c r="CF213" s="104"/>
      <c r="CG213" s="104"/>
      <c r="CH213" s="104"/>
      <c r="CI213" s="104"/>
      <c r="CJ213" s="104"/>
      <c r="CK213" s="104"/>
      <c r="CL213" s="104"/>
      <c r="CM213" s="104"/>
      <c r="CN213" s="104"/>
      <c r="CO213" s="104"/>
      <c r="CP213" s="98"/>
      <c r="CR213" s="101"/>
      <c r="CS213" s="101"/>
      <c r="CT213" s="101"/>
      <c r="CU213" s="101"/>
      <c r="CV213" s="101"/>
      <c r="FL213" s="103"/>
      <c r="FN213" s="103"/>
      <c r="FP213" s="103"/>
      <c r="FR213" s="103"/>
    </row>
    <row r="214" spans="2:174" x14ac:dyDescent="0.35">
      <c r="B214" s="97"/>
      <c r="G214" s="100"/>
      <c r="K214" s="98"/>
      <c r="L214" s="101"/>
      <c r="M214" s="101"/>
      <c r="N214" s="101"/>
      <c r="O214" s="101"/>
      <c r="P214" s="102"/>
      <c r="Q214" s="101"/>
      <c r="R214" s="98"/>
      <c r="S214" s="98"/>
      <c r="T214" s="98"/>
      <c r="U214" s="98"/>
      <c r="V214" s="98"/>
      <c r="W214" s="98"/>
      <c r="X214" s="98"/>
      <c r="Y214" s="98"/>
      <c r="Z214" s="103"/>
      <c r="AA214" s="103"/>
      <c r="AB214" s="103"/>
      <c r="AC214" s="103"/>
      <c r="AD214" s="103"/>
      <c r="AE214" s="103"/>
      <c r="AF214" s="103"/>
      <c r="AG214" s="101"/>
      <c r="AH214" s="101"/>
      <c r="AI214" s="101"/>
      <c r="AJ214" s="101"/>
      <c r="AK214" s="101"/>
      <c r="AL214" s="101"/>
      <c r="AM214" s="101"/>
      <c r="AN214" s="103"/>
      <c r="AO214" s="103"/>
      <c r="AP214" s="103"/>
      <c r="AQ214" s="103"/>
      <c r="AR214" s="103"/>
      <c r="AS214" s="103"/>
      <c r="AT214" s="103"/>
      <c r="AU214" s="101"/>
      <c r="AV214" s="101"/>
      <c r="AW214" s="101"/>
      <c r="AX214" s="101"/>
      <c r="AY214" s="101"/>
      <c r="AZ214" s="101"/>
      <c r="BA214" s="101"/>
      <c r="BB214" s="103"/>
      <c r="BC214" s="103"/>
      <c r="BD214" s="103"/>
      <c r="BE214" s="101"/>
      <c r="BF214" s="101"/>
      <c r="BG214" s="101"/>
      <c r="BH214" s="101"/>
      <c r="BI214" s="101"/>
      <c r="BM214" s="101"/>
      <c r="BN214" s="101"/>
      <c r="BO214" s="101"/>
      <c r="BP214" s="101"/>
      <c r="BQ214" s="101"/>
      <c r="BR214" s="101"/>
      <c r="BS214" s="101"/>
      <c r="BT214" s="104"/>
      <c r="BU214" s="104"/>
      <c r="BV214" s="104"/>
      <c r="BW214" s="104"/>
      <c r="BX214" s="104"/>
      <c r="BY214" s="104"/>
      <c r="BZ214" s="104"/>
      <c r="CA214" s="104"/>
      <c r="CB214" s="104"/>
      <c r="CC214" s="104"/>
      <c r="CD214" s="104"/>
      <c r="CE214" s="104"/>
      <c r="CF214" s="104"/>
      <c r="CG214" s="104"/>
      <c r="CH214" s="104"/>
      <c r="CI214" s="104"/>
      <c r="CJ214" s="104"/>
      <c r="CK214" s="104"/>
      <c r="CL214" s="104"/>
      <c r="CM214" s="104"/>
      <c r="CN214" s="104"/>
      <c r="CO214" s="104"/>
      <c r="CP214" s="98"/>
      <c r="CR214" s="101"/>
      <c r="CS214" s="101"/>
      <c r="CT214" s="101"/>
      <c r="CU214" s="101"/>
      <c r="CV214" s="101"/>
      <c r="FL214" s="103"/>
      <c r="FN214" s="103"/>
      <c r="FP214" s="103"/>
      <c r="FR214" s="103"/>
    </row>
    <row r="215" spans="2:174" x14ac:dyDescent="0.35">
      <c r="B215" s="97"/>
      <c r="G215" s="100"/>
      <c r="K215" s="98"/>
      <c r="L215" s="101"/>
      <c r="M215" s="101"/>
      <c r="N215" s="101"/>
      <c r="O215" s="101"/>
      <c r="P215" s="102"/>
      <c r="Q215" s="101"/>
      <c r="R215" s="98"/>
      <c r="S215" s="98"/>
      <c r="T215" s="98"/>
      <c r="U215" s="98"/>
      <c r="V215" s="98"/>
      <c r="W215" s="98"/>
      <c r="X215" s="98"/>
      <c r="Y215" s="98"/>
      <c r="Z215" s="103"/>
      <c r="AA215" s="103"/>
      <c r="AB215" s="103"/>
      <c r="AC215" s="103"/>
      <c r="AD215" s="103"/>
      <c r="AE215" s="103"/>
      <c r="AF215" s="103"/>
      <c r="AG215" s="101"/>
      <c r="AH215" s="101"/>
      <c r="AI215" s="101"/>
      <c r="AJ215" s="101"/>
      <c r="AK215" s="101"/>
      <c r="AL215" s="101"/>
      <c r="AM215" s="101"/>
      <c r="AN215" s="103"/>
      <c r="AO215" s="103"/>
      <c r="AP215" s="103"/>
      <c r="AQ215" s="103"/>
      <c r="AR215" s="103"/>
      <c r="AS215" s="103"/>
      <c r="AT215" s="103"/>
      <c r="AU215" s="101"/>
      <c r="AV215" s="101"/>
      <c r="AW215" s="101"/>
      <c r="AX215" s="101"/>
      <c r="AY215" s="101"/>
      <c r="AZ215" s="101"/>
      <c r="BA215" s="101"/>
      <c r="BB215" s="103"/>
      <c r="BC215" s="103"/>
      <c r="BD215" s="103"/>
      <c r="BE215" s="101"/>
      <c r="BF215" s="101"/>
      <c r="BG215" s="101"/>
      <c r="BH215" s="101"/>
      <c r="BI215" s="101"/>
      <c r="BM215" s="101"/>
      <c r="BN215" s="101"/>
      <c r="BO215" s="101"/>
      <c r="BP215" s="101"/>
      <c r="BQ215" s="101"/>
      <c r="BR215" s="101"/>
      <c r="BS215" s="101"/>
      <c r="BT215" s="104"/>
      <c r="BU215" s="104"/>
      <c r="BV215" s="104"/>
      <c r="BW215" s="104"/>
      <c r="BX215" s="104"/>
      <c r="BY215" s="104"/>
      <c r="BZ215" s="104"/>
      <c r="CA215" s="104"/>
      <c r="CB215" s="104"/>
      <c r="CC215" s="104"/>
      <c r="CD215" s="104"/>
      <c r="CE215" s="104"/>
      <c r="CF215" s="104"/>
      <c r="CG215" s="104"/>
      <c r="CH215" s="104"/>
      <c r="CI215" s="104"/>
      <c r="CJ215" s="104"/>
      <c r="CK215" s="104"/>
      <c r="CL215" s="104"/>
      <c r="CM215" s="104"/>
      <c r="CN215" s="104"/>
      <c r="CO215" s="104"/>
      <c r="CP215" s="98"/>
      <c r="CR215" s="101"/>
      <c r="CS215" s="101"/>
      <c r="CT215" s="101"/>
      <c r="CU215" s="101"/>
      <c r="CV215" s="101"/>
      <c r="FL215" s="103"/>
      <c r="FN215" s="103"/>
      <c r="FP215" s="103"/>
      <c r="FR215" s="103"/>
    </row>
    <row r="216" spans="2:174" x14ac:dyDescent="0.35">
      <c r="B216" s="97"/>
      <c r="G216" s="100"/>
      <c r="K216" s="98"/>
      <c r="L216" s="101"/>
      <c r="M216" s="101"/>
      <c r="N216" s="101"/>
      <c r="O216" s="101"/>
      <c r="P216" s="102"/>
      <c r="Q216" s="101"/>
      <c r="R216" s="98"/>
      <c r="S216" s="98"/>
      <c r="T216" s="98"/>
      <c r="U216" s="98"/>
      <c r="V216" s="98"/>
      <c r="W216" s="98"/>
      <c r="X216" s="98"/>
      <c r="Y216" s="98"/>
      <c r="Z216" s="103"/>
      <c r="AA216" s="103"/>
      <c r="AB216" s="103"/>
      <c r="AC216" s="103"/>
      <c r="AD216" s="103"/>
      <c r="AE216" s="103"/>
      <c r="AF216" s="103"/>
      <c r="AG216" s="101"/>
      <c r="AH216" s="101"/>
      <c r="AI216" s="101"/>
      <c r="AJ216" s="101"/>
      <c r="AK216" s="101"/>
      <c r="AL216" s="101"/>
      <c r="AM216" s="101"/>
      <c r="AN216" s="103"/>
      <c r="AO216" s="103"/>
      <c r="AP216" s="103"/>
      <c r="AQ216" s="103"/>
      <c r="AR216" s="103"/>
      <c r="AS216" s="103"/>
      <c r="AT216" s="103"/>
      <c r="AU216" s="101"/>
      <c r="AV216" s="101"/>
      <c r="AW216" s="101"/>
      <c r="AX216" s="101"/>
      <c r="AY216" s="101"/>
      <c r="AZ216" s="101"/>
      <c r="BA216" s="101"/>
      <c r="BB216" s="103"/>
      <c r="BC216" s="103"/>
      <c r="BD216" s="103"/>
      <c r="BE216" s="101"/>
      <c r="BF216" s="101"/>
      <c r="BG216" s="101"/>
      <c r="BH216" s="101"/>
      <c r="BI216" s="101"/>
      <c r="BM216" s="101"/>
      <c r="BN216" s="101"/>
      <c r="BO216" s="101"/>
      <c r="BP216" s="101"/>
      <c r="BQ216" s="101"/>
      <c r="BR216" s="101"/>
      <c r="BS216" s="101"/>
      <c r="BT216" s="104"/>
      <c r="BU216" s="104"/>
      <c r="BV216" s="104"/>
      <c r="BW216" s="104"/>
      <c r="BX216" s="104"/>
      <c r="BY216" s="104"/>
      <c r="BZ216" s="104"/>
      <c r="CA216" s="104"/>
      <c r="CB216" s="104"/>
      <c r="CC216" s="104"/>
      <c r="CD216" s="104"/>
      <c r="CE216" s="104"/>
      <c r="CF216" s="104"/>
      <c r="CG216" s="104"/>
      <c r="CH216" s="104"/>
      <c r="CI216" s="104"/>
      <c r="CJ216" s="104"/>
      <c r="CK216" s="104"/>
      <c r="CL216" s="104"/>
      <c r="CM216" s="104"/>
      <c r="CN216" s="104"/>
      <c r="CO216" s="104"/>
      <c r="CP216" s="98"/>
      <c r="CR216" s="101"/>
      <c r="CS216" s="101"/>
      <c r="CT216" s="101"/>
      <c r="CU216" s="101"/>
      <c r="CV216" s="101"/>
      <c r="FL216" s="103"/>
      <c r="FN216" s="103"/>
      <c r="FP216" s="103"/>
      <c r="FR216" s="103"/>
    </row>
    <row r="217" spans="2:174" x14ac:dyDescent="0.35">
      <c r="B217" s="97"/>
      <c r="G217" s="100"/>
      <c r="K217" s="98"/>
      <c r="L217" s="101"/>
      <c r="M217" s="101"/>
      <c r="N217" s="101"/>
      <c r="O217" s="101"/>
      <c r="P217" s="102"/>
      <c r="Q217" s="101"/>
      <c r="R217" s="98"/>
      <c r="S217" s="98"/>
      <c r="T217" s="98"/>
      <c r="U217" s="98"/>
      <c r="V217" s="98"/>
      <c r="W217" s="98"/>
      <c r="X217" s="98"/>
      <c r="Y217" s="98"/>
      <c r="Z217" s="103"/>
      <c r="AA217" s="103"/>
      <c r="AB217" s="103"/>
      <c r="AC217" s="103"/>
      <c r="AD217" s="103"/>
      <c r="AE217" s="103"/>
      <c r="AF217" s="103"/>
      <c r="AG217" s="101"/>
      <c r="AH217" s="101"/>
      <c r="AI217" s="101"/>
      <c r="AJ217" s="101"/>
      <c r="AK217" s="101"/>
      <c r="AL217" s="101"/>
      <c r="AM217" s="101"/>
      <c r="AN217" s="103"/>
      <c r="AO217" s="103"/>
      <c r="AP217" s="103"/>
      <c r="AQ217" s="103"/>
      <c r="AR217" s="103"/>
      <c r="AS217" s="103"/>
      <c r="AT217" s="103"/>
      <c r="AU217" s="101"/>
      <c r="AV217" s="101"/>
      <c r="AW217" s="101"/>
      <c r="AX217" s="101"/>
      <c r="AY217" s="101"/>
      <c r="AZ217" s="101"/>
      <c r="BA217" s="101"/>
      <c r="BB217" s="103"/>
      <c r="BC217" s="103"/>
      <c r="BD217" s="103"/>
      <c r="BE217" s="101"/>
      <c r="BF217" s="101"/>
      <c r="BG217" s="101"/>
      <c r="BH217" s="101"/>
      <c r="BI217" s="101"/>
      <c r="BM217" s="101"/>
      <c r="BN217" s="101"/>
      <c r="BO217" s="101"/>
      <c r="BP217" s="101"/>
      <c r="BQ217" s="101"/>
      <c r="BR217" s="101"/>
      <c r="BS217" s="101"/>
      <c r="BT217" s="104"/>
      <c r="BU217" s="104"/>
      <c r="BV217" s="104"/>
      <c r="BW217" s="104"/>
      <c r="BX217" s="104"/>
      <c r="BY217" s="104"/>
      <c r="BZ217" s="104"/>
      <c r="CA217" s="104"/>
      <c r="CB217" s="104"/>
      <c r="CC217" s="104"/>
      <c r="CD217" s="104"/>
      <c r="CE217" s="104"/>
      <c r="CF217" s="104"/>
      <c r="CG217" s="104"/>
      <c r="CH217" s="104"/>
      <c r="CI217" s="104"/>
      <c r="CJ217" s="104"/>
      <c r="CK217" s="104"/>
      <c r="CL217" s="104"/>
      <c r="CM217" s="104"/>
      <c r="CN217" s="104"/>
      <c r="CO217" s="104"/>
      <c r="CP217" s="98"/>
      <c r="CR217" s="101"/>
      <c r="CS217" s="101"/>
      <c r="CT217" s="101"/>
      <c r="CU217" s="101"/>
      <c r="CV217" s="101"/>
      <c r="FL217" s="103"/>
      <c r="FN217" s="103"/>
      <c r="FP217" s="103"/>
      <c r="FR217" s="103"/>
    </row>
    <row r="218" spans="2:174" x14ac:dyDescent="0.35">
      <c r="B218" s="97"/>
      <c r="G218" s="100"/>
      <c r="K218" s="98"/>
      <c r="L218" s="101"/>
      <c r="M218" s="101"/>
      <c r="N218" s="101"/>
      <c r="O218" s="101"/>
      <c r="P218" s="102"/>
      <c r="Q218" s="101"/>
      <c r="R218" s="98"/>
      <c r="S218" s="98"/>
      <c r="T218" s="98"/>
      <c r="U218" s="98"/>
      <c r="V218" s="98"/>
      <c r="W218" s="98"/>
      <c r="X218" s="98"/>
      <c r="Y218" s="98"/>
      <c r="Z218" s="103"/>
      <c r="AA218" s="103"/>
      <c r="AB218" s="103"/>
      <c r="AC218" s="103"/>
      <c r="AD218" s="103"/>
      <c r="AE218" s="103"/>
      <c r="AF218" s="103"/>
      <c r="AG218" s="101"/>
      <c r="AH218" s="101"/>
      <c r="AI218" s="101"/>
      <c r="AJ218" s="101"/>
      <c r="AK218" s="101"/>
      <c r="AL218" s="101"/>
      <c r="AM218" s="101"/>
      <c r="AN218" s="103"/>
      <c r="AO218" s="103"/>
      <c r="AP218" s="103"/>
      <c r="AQ218" s="103"/>
      <c r="AR218" s="103"/>
      <c r="AS218" s="103"/>
      <c r="AT218" s="103"/>
      <c r="AU218" s="101"/>
      <c r="AV218" s="101"/>
      <c r="AW218" s="101"/>
      <c r="AX218" s="101"/>
      <c r="AY218" s="101"/>
      <c r="AZ218" s="101"/>
      <c r="BA218" s="101"/>
      <c r="BB218" s="103"/>
      <c r="BC218" s="103"/>
      <c r="BD218" s="103"/>
      <c r="BE218" s="101"/>
      <c r="BF218" s="101"/>
      <c r="BG218" s="101"/>
      <c r="BH218" s="101"/>
      <c r="BI218" s="101"/>
      <c r="BM218" s="101"/>
      <c r="BN218" s="101"/>
      <c r="BO218" s="101"/>
      <c r="BP218" s="101"/>
      <c r="BQ218" s="101"/>
      <c r="BR218" s="101"/>
      <c r="BS218" s="101"/>
      <c r="BT218" s="104"/>
      <c r="BU218" s="104"/>
      <c r="BV218" s="104"/>
      <c r="BW218" s="104"/>
      <c r="BX218" s="104"/>
      <c r="BY218" s="104"/>
      <c r="BZ218" s="104"/>
      <c r="CA218" s="104"/>
      <c r="CB218" s="104"/>
      <c r="CC218" s="104"/>
      <c r="CD218" s="104"/>
      <c r="CE218" s="104"/>
      <c r="CF218" s="104"/>
      <c r="CG218" s="104"/>
      <c r="CH218" s="104"/>
      <c r="CI218" s="104"/>
      <c r="CJ218" s="104"/>
      <c r="CK218" s="104"/>
      <c r="CL218" s="104"/>
      <c r="CM218" s="104"/>
      <c r="CN218" s="104"/>
      <c r="CO218" s="104"/>
      <c r="CP218" s="98"/>
      <c r="CR218" s="101"/>
      <c r="CS218" s="101"/>
      <c r="CT218" s="101"/>
      <c r="CU218" s="101"/>
      <c r="CV218" s="101"/>
      <c r="FL218" s="103"/>
      <c r="FN218" s="103"/>
      <c r="FP218" s="103"/>
      <c r="FR218" s="103"/>
    </row>
    <row r="219" spans="2:174" x14ac:dyDescent="0.35">
      <c r="B219" s="97"/>
      <c r="G219" s="100"/>
      <c r="K219" s="98"/>
      <c r="L219" s="101"/>
      <c r="M219" s="101"/>
      <c r="N219" s="101"/>
      <c r="O219" s="101"/>
      <c r="P219" s="102"/>
      <c r="Q219" s="101"/>
      <c r="R219" s="98"/>
      <c r="S219" s="98"/>
      <c r="T219" s="98"/>
      <c r="U219" s="98"/>
      <c r="V219" s="98"/>
      <c r="W219" s="98"/>
      <c r="X219" s="98"/>
      <c r="Y219" s="98"/>
      <c r="Z219" s="103"/>
      <c r="AA219" s="103"/>
      <c r="AB219" s="103"/>
      <c r="AC219" s="103"/>
      <c r="AD219" s="103"/>
      <c r="AE219" s="103"/>
      <c r="AF219" s="103"/>
      <c r="AG219" s="101"/>
      <c r="AH219" s="101"/>
      <c r="AI219" s="101"/>
      <c r="AJ219" s="101"/>
      <c r="AK219" s="101"/>
      <c r="AL219" s="101"/>
      <c r="AM219" s="101"/>
      <c r="AN219" s="103"/>
      <c r="AO219" s="103"/>
      <c r="AP219" s="103"/>
      <c r="AQ219" s="103"/>
      <c r="AR219" s="103"/>
      <c r="AS219" s="103"/>
      <c r="AT219" s="103"/>
      <c r="AU219" s="101"/>
      <c r="AV219" s="101"/>
      <c r="AW219" s="101"/>
      <c r="AX219" s="101"/>
      <c r="AY219" s="101"/>
      <c r="AZ219" s="101"/>
      <c r="BA219" s="101"/>
      <c r="BB219" s="103"/>
      <c r="BC219" s="103"/>
      <c r="BD219" s="103"/>
      <c r="BE219" s="101"/>
      <c r="BF219" s="101"/>
      <c r="BG219" s="101"/>
      <c r="BH219" s="101"/>
      <c r="BI219" s="101"/>
      <c r="BM219" s="101"/>
      <c r="BN219" s="101"/>
      <c r="BO219" s="101"/>
      <c r="BP219" s="101"/>
      <c r="BQ219" s="101"/>
      <c r="BR219" s="101"/>
      <c r="BS219" s="101"/>
      <c r="BT219" s="104"/>
      <c r="BU219" s="104"/>
      <c r="BV219" s="104"/>
      <c r="BW219" s="104"/>
      <c r="BX219" s="104"/>
      <c r="BY219" s="104"/>
      <c r="BZ219" s="104"/>
      <c r="CA219" s="104"/>
      <c r="CB219" s="104"/>
      <c r="CC219" s="104"/>
      <c r="CD219" s="104"/>
      <c r="CE219" s="104"/>
      <c r="CF219" s="104"/>
      <c r="CG219" s="104"/>
      <c r="CH219" s="104"/>
      <c r="CI219" s="104"/>
      <c r="CJ219" s="104"/>
      <c r="CK219" s="104"/>
      <c r="CL219" s="104"/>
      <c r="CM219" s="104"/>
      <c r="CN219" s="104"/>
      <c r="CO219" s="104"/>
      <c r="CP219" s="98"/>
      <c r="CR219" s="101"/>
      <c r="CS219" s="101"/>
      <c r="CT219" s="101"/>
      <c r="CU219" s="101"/>
      <c r="CV219" s="101"/>
      <c r="FL219" s="103"/>
      <c r="FN219" s="103"/>
      <c r="FP219" s="103"/>
      <c r="FR219" s="103"/>
    </row>
    <row r="220" spans="2:174" x14ac:dyDescent="0.35">
      <c r="B220" s="97"/>
      <c r="G220" s="100"/>
      <c r="K220" s="98"/>
      <c r="L220" s="101"/>
      <c r="M220" s="101"/>
      <c r="N220" s="101"/>
      <c r="O220" s="101"/>
      <c r="P220" s="102"/>
      <c r="Q220" s="101"/>
      <c r="R220" s="98"/>
      <c r="S220" s="98"/>
      <c r="T220" s="98"/>
      <c r="U220" s="98"/>
      <c r="V220" s="98"/>
      <c r="W220" s="98"/>
      <c r="X220" s="98"/>
      <c r="Y220" s="98"/>
      <c r="Z220" s="103"/>
      <c r="AA220" s="103"/>
      <c r="AB220" s="103"/>
      <c r="AC220" s="103"/>
      <c r="AD220" s="103"/>
      <c r="AE220" s="103"/>
      <c r="AF220" s="103"/>
      <c r="AG220" s="101"/>
      <c r="AH220" s="101"/>
      <c r="AI220" s="101"/>
      <c r="AJ220" s="101"/>
      <c r="AK220" s="101"/>
      <c r="AL220" s="101"/>
      <c r="AM220" s="101"/>
      <c r="AN220" s="103"/>
      <c r="AO220" s="103"/>
      <c r="AP220" s="103"/>
      <c r="AQ220" s="103"/>
      <c r="AR220" s="103"/>
      <c r="AS220" s="103"/>
      <c r="AT220" s="103"/>
      <c r="AU220" s="101"/>
      <c r="AV220" s="101"/>
      <c r="AW220" s="101"/>
      <c r="AX220" s="101"/>
      <c r="AY220" s="101"/>
      <c r="AZ220" s="101"/>
      <c r="BA220" s="101"/>
      <c r="BB220" s="103"/>
      <c r="BC220" s="103"/>
      <c r="BD220" s="103"/>
      <c r="BE220" s="101"/>
      <c r="BF220" s="101"/>
      <c r="BG220" s="101"/>
      <c r="BH220" s="101"/>
      <c r="BI220" s="101"/>
      <c r="BM220" s="101"/>
      <c r="BN220" s="101"/>
      <c r="BO220" s="101"/>
      <c r="BP220" s="101"/>
      <c r="BQ220" s="101"/>
      <c r="BR220" s="101"/>
      <c r="BS220" s="101"/>
      <c r="BT220" s="104"/>
      <c r="BU220" s="104"/>
      <c r="BV220" s="104"/>
      <c r="BW220" s="104"/>
      <c r="BX220" s="104"/>
      <c r="BY220" s="104"/>
      <c r="BZ220" s="104"/>
      <c r="CA220" s="104"/>
      <c r="CB220" s="104"/>
      <c r="CC220" s="104"/>
      <c r="CD220" s="104"/>
      <c r="CE220" s="104"/>
      <c r="CF220" s="104"/>
      <c r="CG220" s="104"/>
      <c r="CH220" s="104"/>
      <c r="CI220" s="104"/>
      <c r="CJ220" s="104"/>
      <c r="CK220" s="104"/>
      <c r="CL220" s="104"/>
      <c r="CM220" s="104"/>
      <c r="CN220" s="104"/>
      <c r="CO220" s="104"/>
      <c r="CP220" s="98"/>
      <c r="CR220" s="101"/>
      <c r="CS220" s="101"/>
      <c r="CT220" s="101"/>
      <c r="CU220" s="101"/>
      <c r="CV220" s="101"/>
      <c r="FL220" s="103"/>
      <c r="FN220" s="103"/>
      <c r="FP220" s="103"/>
      <c r="FR220" s="103"/>
    </row>
    <row r="221" spans="2:174" x14ac:dyDescent="0.35">
      <c r="B221" s="97"/>
      <c r="G221" s="100"/>
      <c r="K221" s="98"/>
      <c r="L221" s="101"/>
      <c r="M221" s="101"/>
      <c r="N221" s="101"/>
      <c r="O221" s="101"/>
      <c r="P221" s="102"/>
      <c r="Q221" s="101"/>
      <c r="R221" s="98"/>
      <c r="S221" s="98"/>
      <c r="T221" s="98"/>
      <c r="U221" s="98"/>
      <c r="V221" s="98"/>
      <c r="W221" s="98"/>
      <c r="X221" s="98"/>
      <c r="Y221" s="98"/>
      <c r="Z221" s="103"/>
      <c r="AA221" s="103"/>
      <c r="AB221" s="103"/>
      <c r="AC221" s="103"/>
      <c r="AD221" s="103"/>
      <c r="AE221" s="103"/>
      <c r="AF221" s="103"/>
      <c r="AG221" s="101"/>
      <c r="AH221" s="101"/>
      <c r="AI221" s="101"/>
      <c r="AJ221" s="101"/>
      <c r="AK221" s="101"/>
      <c r="AL221" s="101"/>
      <c r="AM221" s="101"/>
      <c r="AN221" s="103"/>
      <c r="AO221" s="103"/>
      <c r="AP221" s="103"/>
      <c r="AQ221" s="103"/>
      <c r="AR221" s="103"/>
      <c r="AS221" s="103"/>
      <c r="AT221" s="103"/>
      <c r="AU221" s="101"/>
      <c r="AV221" s="101"/>
      <c r="AW221" s="101"/>
      <c r="AX221" s="101"/>
      <c r="AY221" s="101"/>
      <c r="AZ221" s="101"/>
      <c r="BA221" s="101"/>
      <c r="BB221" s="103"/>
      <c r="BC221" s="103"/>
      <c r="BD221" s="103"/>
      <c r="BE221" s="101"/>
      <c r="BF221" s="101"/>
      <c r="BG221" s="101"/>
      <c r="BH221" s="101"/>
      <c r="BI221" s="101"/>
      <c r="BM221" s="101"/>
      <c r="BN221" s="101"/>
      <c r="BO221" s="101"/>
      <c r="BP221" s="101"/>
      <c r="BQ221" s="101"/>
      <c r="BR221" s="101"/>
      <c r="BS221" s="101"/>
      <c r="BT221" s="104"/>
      <c r="BU221" s="104"/>
      <c r="BV221" s="104"/>
      <c r="BW221" s="104"/>
      <c r="BX221" s="104"/>
      <c r="BY221" s="104"/>
      <c r="BZ221" s="104"/>
      <c r="CA221" s="104"/>
      <c r="CB221" s="104"/>
      <c r="CC221" s="104"/>
      <c r="CD221" s="104"/>
      <c r="CE221" s="104"/>
      <c r="CF221" s="104"/>
      <c r="CG221" s="104"/>
      <c r="CH221" s="104"/>
      <c r="CI221" s="104"/>
      <c r="CJ221" s="104"/>
      <c r="CK221" s="104"/>
      <c r="CL221" s="104"/>
      <c r="CM221" s="104"/>
      <c r="CN221" s="104"/>
      <c r="CO221" s="104"/>
      <c r="CP221" s="98"/>
      <c r="CR221" s="101"/>
      <c r="CS221" s="101"/>
      <c r="CT221" s="101"/>
      <c r="CU221" s="101"/>
      <c r="CV221" s="101"/>
      <c r="FL221" s="103"/>
      <c r="FN221" s="103"/>
      <c r="FP221" s="103"/>
      <c r="FR221" s="103"/>
    </row>
    <row r="222" spans="2:174" x14ac:dyDescent="0.35">
      <c r="B222" s="97"/>
      <c r="G222" s="100"/>
      <c r="K222" s="98"/>
      <c r="L222" s="101"/>
      <c r="M222" s="101"/>
      <c r="N222" s="101"/>
      <c r="O222" s="101"/>
      <c r="P222" s="102"/>
      <c r="Q222" s="101"/>
      <c r="R222" s="98"/>
      <c r="S222" s="98"/>
      <c r="T222" s="98"/>
      <c r="U222" s="98"/>
      <c r="V222" s="98"/>
      <c r="W222" s="98"/>
      <c r="X222" s="98"/>
      <c r="Y222" s="98"/>
      <c r="Z222" s="103"/>
      <c r="AA222" s="103"/>
      <c r="AB222" s="103"/>
      <c r="AC222" s="103"/>
      <c r="AD222" s="103"/>
      <c r="AE222" s="103"/>
      <c r="AF222" s="103"/>
      <c r="AG222" s="101"/>
      <c r="AH222" s="101"/>
      <c r="AI222" s="101"/>
      <c r="AJ222" s="101"/>
      <c r="AK222" s="101"/>
      <c r="AL222" s="101"/>
      <c r="AM222" s="101"/>
      <c r="AN222" s="103"/>
      <c r="AO222" s="103"/>
      <c r="AP222" s="103"/>
      <c r="AQ222" s="103"/>
      <c r="AR222" s="103"/>
      <c r="AS222" s="103"/>
      <c r="AT222" s="103"/>
      <c r="AU222" s="101"/>
      <c r="AV222" s="101"/>
      <c r="AW222" s="101"/>
      <c r="AX222" s="101"/>
      <c r="AY222" s="101"/>
      <c r="AZ222" s="101"/>
      <c r="BA222" s="101"/>
      <c r="BB222" s="103"/>
      <c r="BC222" s="103"/>
      <c r="BD222" s="103"/>
      <c r="BE222" s="101"/>
      <c r="BF222" s="101"/>
      <c r="BG222" s="101"/>
      <c r="BH222" s="101"/>
      <c r="BI222" s="101"/>
      <c r="BM222" s="101"/>
      <c r="BN222" s="101"/>
      <c r="BO222" s="101"/>
      <c r="BP222" s="101"/>
      <c r="BQ222" s="101"/>
      <c r="BR222" s="101"/>
      <c r="BS222" s="101"/>
      <c r="BT222" s="104"/>
      <c r="BU222" s="104"/>
      <c r="BV222" s="104"/>
      <c r="BW222" s="104"/>
      <c r="BX222" s="104"/>
      <c r="BY222" s="104"/>
      <c r="BZ222" s="104"/>
      <c r="CA222" s="104"/>
      <c r="CB222" s="104"/>
      <c r="CC222" s="104"/>
      <c r="CD222" s="104"/>
      <c r="CE222" s="104"/>
      <c r="CF222" s="104"/>
      <c r="CG222" s="104"/>
      <c r="CH222" s="104"/>
      <c r="CI222" s="104"/>
      <c r="CJ222" s="104"/>
      <c r="CK222" s="104"/>
      <c r="CL222" s="104"/>
      <c r="CM222" s="104"/>
      <c r="CN222" s="104"/>
      <c r="CO222" s="104"/>
      <c r="CP222" s="98"/>
      <c r="CR222" s="101"/>
      <c r="CS222" s="101"/>
      <c r="CT222" s="101"/>
      <c r="CU222" s="101"/>
      <c r="CV222" s="101"/>
      <c r="FL222" s="103"/>
      <c r="FN222" s="103"/>
      <c r="FP222" s="103"/>
      <c r="FR222" s="103"/>
    </row>
    <row r="223" spans="2:174" x14ac:dyDescent="0.35">
      <c r="B223" s="97"/>
      <c r="G223" s="100"/>
      <c r="K223" s="98"/>
      <c r="L223" s="101"/>
      <c r="M223" s="101"/>
      <c r="N223" s="101"/>
      <c r="O223" s="101"/>
      <c r="P223" s="102"/>
      <c r="Q223" s="101"/>
      <c r="R223" s="98"/>
      <c r="S223" s="98"/>
      <c r="T223" s="98"/>
      <c r="U223" s="98"/>
      <c r="V223" s="98"/>
      <c r="W223" s="98"/>
      <c r="X223" s="98"/>
      <c r="Y223" s="98"/>
      <c r="Z223" s="103"/>
      <c r="AA223" s="103"/>
      <c r="AB223" s="103"/>
      <c r="AC223" s="103"/>
      <c r="AD223" s="103"/>
      <c r="AE223" s="103"/>
      <c r="AF223" s="103"/>
      <c r="AG223" s="101"/>
      <c r="AH223" s="101"/>
      <c r="AI223" s="101"/>
      <c r="AJ223" s="101"/>
      <c r="AK223" s="101"/>
      <c r="AL223" s="101"/>
      <c r="AM223" s="101"/>
      <c r="AN223" s="103"/>
      <c r="AO223" s="103"/>
      <c r="AP223" s="103"/>
      <c r="AQ223" s="103"/>
      <c r="AR223" s="103"/>
      <c r="AS223" s="103"/>
      <c r="AT223" s="103"/>
      <c r="AU223" s="101"/>
      <c r="AV223" s="101"/>
      <c r="AW223" s="101"/>
      <c r="AX223" s="101"/>
      <c r="AY223" s="101"/>
      <c r="AZ223" s="101"/>
      <c r="BA223" s="101"/>
      <c r="BB223" s="103"/>
      <c r="BC223" s="103"/>
      <c r="BD223" s="103"/>
      <c r="BE223" s="101"/>
      <c r="BF223" s="101"/>
      <c r="BG223" s="101"/>
      <c r="BH223" s="101"/>
      <c r="BI223" s="101"/>
      <c r="BM223" s="101"/>
      <c r="BN223" s="101"/>
      <c r="BO223" s="101"/>
      <c r="BP223" s="101"/>
      <c r="BQ223" s="101"/>
      <c r="BR223" s="101"/>
      <c r="BS223" s="101"/>
      <c r="BT223" s="104"/>
      <c r="BU223" s="104"/>
      <c r="BV223" s="104"/>
      <c r="BW223" s="104"/>
      <c r="BX223" s="104"/>
      <c r="BY223" s="104"/>
      <c r="BZ223" s="104"/>
      <c r="CA223" s="104"/>
      <c r="CB223" s="104"/>
      <c r="CC223" s="104"/>
      <c r="CD223" s="104"/>
      <c r="CE223" s="104"/>
      <c r="CF223" s="104"/>
      <c r="CG223" s="104"/>
      <c r="CH223" s="104"/>
      <c r="CI223" s="104"/>
      <c r="CJ223" s="104"/>
      <c r="CK223" s="104"/>
      <c r="CL223" s="104"/>
      <c r="CM223" s="104"/>
      <c r="CN223" s="104"/>
      <c r="CO223" s="104"/>
      <c r="CP223" s="98"/>
      <c r="CR223" s="101"/>
      <c r="CS223" s="101"/>
      <c r="CT223" s="101"/>
      <c r="CU223" s="101"/>
      <c r="CV223" s="101"/>
      <c r="FL223" s="103"/>
      <c r="FN223" s="103"/>
      <c r="FP223" s="103"/>
      <c r="FR223" s="103"/>
    </row>
    <row r="224" spans="2:174" x14ac:dyDescent="0.35">
      <c r="B224" s="97"/>
      <c r="G224" s="100"/>
      <c r="K224" s="98"/>
      <c r="L224" s="101"/>
      <c r="M224" s="101"/>
      <c r="N224" s="101"/>
      <c r="O224" s="101"/>
      <c r="P224" s="102"/>
      <c r="Q224" s="101"/>
      <c r="R224" s="98"/>
      <c r="S224" s="98"/>
      <c r="T224" s="98"/>
      <c r="U224" s="98"/>
      <c r="V224" s="98"/>
      <c r="W224" s="98"/>
      <c r="X224" s="98"/>
      <c r="Y224" s="98"/>
      <c r="Z224" s="103"/>
      <c r="AA224" s="103"/>
      <c r="AB224" s="103"/>
      <c r="AC224" s="103"/>
      <c r="AD224" s="103"/>
      <c r="AE224" s="103"/>
      <c r="AF224" s="103"/>
      <c r="AG224" s="101"/>
      <c r="AH224" s="101"/>
      <c r="AI224" s="101"/>
      <c r="AJ224" s="101"/>
      <c r="AK224" s="101"/>
      <c r="AL224" s="101"/>
      <c r="AM224" s="101"/>
      <c r="AN224" s="103"/>
      <c r="AO224" s="103"/>
      <c r="AP224" s="103"/>
      <c r="AQ224" s="103"/>
      <c r="AR224" s="103"/>
      <c r="AS224" s="103"/>
      <c r="AT224" s="103"/>
      <c r="AU224" s="101"/>
      <c r="AV224" s="101"/>
      <c r="AW224" s="101"/>
      <c r="AX224" s="101"/>
      <c r="AY224" s="101"/>
      <c r="AZ224" s="101"/>
      <c r="BA224" s="101"/>
      <c r="BB224" s="103"/>
      <c r="BC224" s="103"/>
      <c r="BD224" s="103"/>
      <c r="BE224" s="101"/>
      <c r="BF224" s="101"/>
      <c r="BG224" s="101"/>
      <c r="BH224" s="101"/>
      <c r="BI224" s="101"/>
      <c r="BM224" s="101"/>
      <c r="BN224" s="101"/>
      <c r="BO224" s="101"/>
      <c r="BP224" s="101"/>
      <c r="BQ224" s="101"/>
      <c r="BR224" s="101"/>
      <c r="BS224" s="101"/>
      <c r="BT224" s="104"/>
      <c r="BU224" s="104"/>
      <c r="BV224" s="104"/>
      <c r="BW224" s="104"/>
      <c r="BX224" s="104"/>
      <c r="BY224" s="104"/>
      <c r="BZ224" s="104"/>
      <c r="CA224" s="104"/>
      <c r="CB224" s="104"/>
      <c r="CC224" s="104"/>
      <c r="CD224" s="104"/>
      <c r="CE224" s="104"/>
      <c r="CF224" s="104"/>
      <c r="CG224" s="104"/>
      <c r="CH224" s="104"/>
      <c r="CI224" s="104"/>
      <c r="CJ224" s="104"/>
      <c r="CK224" s="104"/>
      <c r="CL224" s="104"/>
      <c r="CM224" s="104"/>
      <c r="CN224" s="104"/>
      <c r="CO224" s="104"/>
      <c r="CP224" s="98"/>
      <c r="CR224" s="101"/>
      <c r="CS224" s="101"/>
      <c r="CT224" s="101"/>
      <c r="CU224" s="101"/>
      <c r="CV224" s="101"/>
      <c r="FL224" s="103"/>
      <c r="FN224" s="103"/>
      <c r="FP224" s="103"/>
      <c r="FR224" s="103"/>
    </row>
    <row r="225" spans="2:174" x14ac:dyDescent="0.35">
      <c r="B225" s="97"/>
      <c r="G225" s="100"/>
      <c r="K225" s="98"/>
      <c r="L225" s="101"/>
      <c r="M225" s="101"/>
      <c r="N225" s="101"/>
      <c r="O225" s="101"/>
      <c r="P225" s="102"/>
      <c r="Q225" s="101"/>
      <c r="R225" s="98"/>
      <c r="S225" s="98"/>
      <c r="T225" s="98"/>
      <c r="U225" s="98"/>
      <c r="V225" s="98"/>
      <c r="W225" s="98"/>
      <c r="X225" s="98"/>
      <c r="Y225" s="98"/>
      <c r="Z225" s="103"/>
      <c r="AA225" s="103"/>
      <c r="AB225" s="103"/>
      <c r="AC225" s="103"/>
      <c r="AD225" s="103"/>
      <c r="AE225" s="103"/>
      <c r="AF225" s="103"/>
      <c r="AG225" s="101"/>
      <c r="AH225" s="101"/>
      <c r="AI225" s="101"/>
      <c r="AJ225" s="101"/>
      <c r="AK225" s="101"/>
      <c r="AL225" s="101"/>
      <c r="AM225" s="101"/>
      <c r="AN225" s="103"/>
      <c r="AO225" s="103"/>
      <c r="AP225" s="103"/>
      <c r="AQ225" s="103"/>
      <c r="AR225" s="103"/>
      <c r="AS225" s="103"/>
      <c r="AT225" s="103"/>
      <c r="AU225" s="101"/>
      <c r="AV225" s="101"/>
      <c r="AW225" s="101"/>
      <c r="AX225" s="101"/>
      <c r="AY225" s="101"/>
      <c r="AZ225" s="101"/>
      <c r="BA225" s="101"/>
      <c r="BB225" s="103"/>
      <c r="BC225" s="103"/>
      <c r="BD225" s="103"/>
      <c r="BE225" s="101"/>
      <c r="BF225" s="101"/>
      <c r="BG225" s="101"/>
      <c r="BH225" s="101"/>
      <c r="BI225" s="101"/>
      <c r="BM225" s="101"/>
      <c r="BN225" s="101"/>
      <c r="BO225" s="101"/>
      <c r="BP225" s="101"/>
      <c r="BQ225" s="101"/>
      <c r="BR225" s="101"/>
      <c r="BS225" s="101"/>
      <c r="BT225" s="104"/>
      <c r="BU225" s="104"/>
      <c r="BV225" s="104"/>
      <c r="BW225" s="104"/>
      <c r="BX225" s="104"/>
      <c r="BY225" s="104"/>
      <c r="BZ225" s="104"/>
      <c r="CA225" s="104"/>
      <c r="CB225" s="104"/>
      <c r="CC225" s="104"/>
      <c r="CD225" s="104"/>
      <c r="CE225" s="104"/>
      <c r="CF225" s="104"/>
      <c r="CG225" s="104"/>
      <c r="CH225" s="104"/>
      <c r="CI225" s="104"/>
      <c r="CJ225" s="104"/>
      <c r="CK225" s="104"/>
      <c r="CL225" s="104"/>
      <c r="CM225" s="104"/>
      <c r="CN225" s="104"/>
      <c r="CO225" s="104"/>
      <c r="CP225" s="98"/>
      <c r="CR225" s="101"/>
      <c r="CS225" s="101"/>
      <c r="CT225" s="101"/>
      <c r="CU225" s="101"/>
      <c r="CV225" s="101"/>
      <c r="FL225" s="103"/>
      <c r="FN225" s="103"/>
      <c r="FP225" s="103"/>
      <c r="FR225" s="103"/>
    </row>
    <row r="226" spans="2:174" x14ac:dyDescent="0.35">
      <c r="B226" s="97"/>
      <c r="G226" s="100"/>
      <c r="K226" s="98"/>
      <c r="L226" s="101"/>
      <c r="M226" s="101"/>
      <c r="N226" s="101"/>
      <c r="O226" s="101"/>
      <c r="P226" s="102"/>
      <c r="Q226" s="101"/>
      <c r="R226" s="98"/>
      <c r="S226" s="98"/>
      <c r="T226" s="98"/>
      <c r="U226" s="98"/>
      <c r="V226" s="98"/>
      <c r="W226" s="98"/>
      <c r="X226" s="98"/>
      <c r="Y226" s="98"/>
      <c r="Z226" s="103"/>
      <c r="AA226" s="103"/>
      <c r="AB226" s="103"/>
      <c r="AC226" s="103"/>
      <c r="AD226" s="103"/>
      <c r="AE226" s="103"/>
      <c r="AF226" s="103"/>
      <c r="AG226" s="101"/>
      <c r="AH226" s="101"/>
      <c r="AI226" s="101"/>
      <c r="AJ226" s="101"/>
      <c r="AK226" s="101"/>
      <c r="AL226" s="101"/>
      <c r="AM226" s="101"/>
      <c r="AN226" s="103"/>
      <c r="AO226" s="103"/>
      <c r="AP226" s="103"/>
      <c r="AQ226" s="103"/>
      <c r="AR226" s="103"/>
      <c r="AS226" s="103"/>
      <c r="AT226" s="103"/>
      <c r="AU226" s="101"/>
      <c r="AV226" s="101"/>
      <c r="AW226" s="101"/>
      <c r="AX226" s="101"/>
      <c r="AY226" s="101"/>
      <c r="AZ226" s="101"/>
      <c r="BA226" s="101"/>
      <c r="BB226" s="103"/>
      <c r="BC226" s="103"/>
      <c r="BD226" s="103"/>
      <c r="BE226" s="101"/>
      <c r="BF226" s="101"/>
      <c r="BG226" s="101"/>
      <c r="BH226" s="101"/>
      <c r="BI226" s="101"/>
      <c r="BM226" s="101"/>
      <c r="BN226" s="101"/>
      <c r="BO226" s="101"/>
      <c r="BP226" s="101"/>
      <c r="BQ226" s="101"/>
      <c r="BR226" s="101"/>
      <c r="BS226" s="101"/>
      <c r="BT226" s="104"/>
      <c r="BU226" s="104"/>
      <c r="BV226" s="104"/>
      <c r="BW226" s="104"/>
      <c r="BX226" s="104"/>
      <c r="BY226" s="104"/>
      <c r="BZ226" s="104"/>
      <c r="CA226" s="104"/>
      <c r="CB226" s="104"/>
      <c r="CC226" s="104"/>
      <c r="CD226" s="104"/>
      <c r="CE226" s="104"/>
      <c r="CF226" s="104"/>
      <c r="CG226" s="104"/>
      <c r="CH226" s="104"/>
      <c r="CI226" s="104"/>
      <c r="CJ226" s="104"/>
      <c r="CK226" s="104"/>
      <c r="CL226" s="104"/>
      <c r="CM226" s="104"/>
      <c r="CN226" s="104"/>
      <c r="CO226" s="104"/>
      <c r="CP226" s="98"/>
      <c r="CR226" s="101"/>
      <c r="CS226" s="101"/>
      <c r="CT226" s="101"/>
      <c r="CU226" s="101"/>
      <c r="CV226" s="101"/>
      <c r="FL226" s="103"/>
      <c r="FN226" s="103"/>
      <c r="FP226" s="103"/>
      <c r="FR226" s="103"/>
    </row>
    <row r="227" spans="2:174" x14ac:dyDescent="0.35">
      <c r="B227" s="97"/>
      <c r="G227" s="100"/>
      <c r="K227" s="98"/>
      <c r="L227" s="101"/>
      <c r="M227" s="101"/>
      <c r="N227" s="101"/>
      <c r="O227" s="101"/>
      <c r="P227" s="102"/>
      <c r="Q227" s="101"/>
      <c r="R227" s="98"/>
      <c r="S227" s="98"/>
      <c r="T227" s="98"/>
      <c r="U227" s="98"/>
      <c r="V227" s="98"/>
      <c r="W227" s="98"/>
      <c r="X227" s="98"/>
      <c r="Y227" s="98"/>
      <c r="Z227" s="103"/>
      <c r="AA227" s="103"/>
      <c r="AB227" s="103"/>
      <c r="AC227" s="103"/>
      <c r="AD227" s="103"/>
      <c r="AE227" s="103"/>
      <c r="AF227" s="103"/>
      <c r="AG227" s="101"/>
      <c r="AH227" s="101"/>
      <c r="AI227" s="101"/>
      <c r="AJ227" s="101"/>
      <c r="AK227" s="101"/>
      <c r="AL227" s="101"/>
      <c r="AM227" s="101"/>
      <c r="AN227" s="103"/>
      <c r="AO227" s="103"/>
      <c r="AP227" s="103"/>
      <c r="AQ227" s="103"/>
      <c r="AR227" s="103"/>
      <c r="AS227" s="103"/>
      <c r="AT227" s="103"/>
      <c r="AU227" s="101"/>
      <c r="AV227" s="101"/>
      <c r="AW227" s="101"/>
      <c r="AX227" s="101"/>
      <c r="AY227" s="101"/>
      <c r="AZ227" s="101"/>
      <c r="BA227" s="101"/>
      <c r="BB227" s="103"/>
      <c r="BC227" s="103"/>
      <c r="BD227" s="103"/>
      <c r="BE227" s="101"/>
      <c r="BF227" s="101"/>
      <c r="BG227" s="101"/>
      <c r="BH227" s="101"/>
      <c r="BI227" s="101"/>
      <c r="BM227" s="101"/>
      <c r="BN227" s="101"/>
      <c r="BO227" s="101"/>
      <c r="BP227" s="101"/>
      <c r="BQ227" s="101"/>
      <c r="BR227" s="101"/>
      <c r="BS227" s="101"/>
      <c r="BT227" s="104"/>
      <c r="BU227" s="104"/>
      <c r="BV227" s="104"/>
      <c r="BW227" s="104"/>
      <c r="BX227" s="104"/>
      <c r="BY227" s="104"/>
      <c r="BZ227" s="104"/>
      <c r="CA227" s="104"/>
      <c r="CB227" s="104"/>
      <c r="CC227" s="104"/>
      <c r="CD227" s="104"/>
      <c r="CE227" s="104"/>
      <c r="CF227" s="104"/>
      <c r="CG227" s="104"/>
      <c r="CH227" s="104"/>
      <c r="CI227" s="104"/>
      <c r="CJ227" s="104"/>
      <c r="CK227" s="104"/>
      <c r="CL227" s="104"/>
      <c r="CM227" s="104"/>
      <c r="CN227" s="104"/>
      <c r="CO227" s="104"/>
      <c r="CP227" s="98"/>
      <c r="CR227" s="101"/>
      <c r="CS227" s="101"/>
      <c r="CT227" s="101"/>
      <c r="CU227" s="101"/>
      <c r="CV227" s="101"/>
      <c r="FL227" s="103"/>
      <c r="FN227" s="103"/>
      <c r="FP227" s="103"/>
      <c r="FR227" s="103"/>
    </row>
    <row r="228" spans="2:174" x14ac:dyDescent="0.35">
      <c r="B228" s="97"/>
      <c r="G228" s="100"/>
      <c r="K228" s="98"/>
      <c r="L228" s="101"/>
      <c r="M228" s="101"/>
      <c r="N228" s="101"/>
      <c r="O228" s="101"/>
      <c r="P228" s="102"/>
      <c r="Q228" s="101"/>
      <c r="R228" s="98"/>
      <c r="S228" s="98"/>
      <c r="T228" s="98"/>
      <c r="U228" s="98"/>
      <c r="V228" s="98"/>
      <c r="W228" s="98"/>
      <c r="X228" s="98"/>
      <c r="Y228" s="98"/>
      <c r="Z228" s="103"/>
      <c r="AA228" s="103"/>
      <c r="AB228" s="103"/>
      <c r="AC228" s="103"/>
      <c r="AD228" s="103"/>
      <c r="AE228" s="103"/>
      <c r="AF228" s="103"/>
      <c r="AG228" s="101"/>
      <c r="AH228" s="101"/>
      <c r="AI228" s="101"/>
      <c r="AJ228" s="101"/>
      <c r="AK228" s="101"/>
      <c r="AL228" s="101"/>
      <c r="AM228" s="101"/>
      <c r="AN228" s="103"/>
      <c r="AO228" s="103"/>
      <c r="AP228" s="103"/>
      <c r="AQ228" s="103"/>
      <c r="AR228" s="103"/>
      <c r="AS228" s="103"/>
      <c r="AT228" s="103"/>
      <c r="AU228" s="101"/>
      <c r="AV228" s="101"/>
      <c r="AW228" s="101"/>
      <c r="AX228" s="101"/>
      <c r="AY228" s="101"/>
      <c r="AZ228" s="101"/>
      <c r="BA228" s="101"/>
      <c r="BB228" s="103"/>
      <c r="BC228" s="103"/>
      <c r="BD228" s="103"/>
      <c r="BE228" s="101"/>
      <c r="BF228" s="101"/>
      <c r="BG228" s="101"/>
      <c r="BH228" s="101"/>
      <c r="BI228" s="101"/>
      <c r="BM228" s="101"/>
      <c r="BN228" s="101"/>
      <c r="BO228" s="101"/>
      <c r="BP228" s="101"/>
      <c r="BQ228" s="101"/>
      <c r="BR228" s="101"/>
      <c r="BS228" s="101"/>
      <c r="BT228" s="104"/>
      <c r="BU228" s="104"/>
      <c r="BV228" s="104"/>
      <c r="BW228" s="104"/>
      <c r="BX228" s="104"/>
      <c r="BY228" s="104"/>
      <c r="BZ228" s="104"/>
      <c r="CA228" s="104"/>
      <c r="CB228" s="104"/>
      <c r="CC228" s="104"/>
      <c r="CD228" s="104"/>
      <c r="CE228" s="104"/>
      <c r="CF228" s="104"/>
      <c r="CG228" s="104"/>
      <c r="CH228" s="104"/>
      <c r="CI228" s="104"/>
      <c r="CJ228" s="104"/>
      <c r="CK228" s="104"/>
      <c r="CL228" s="104"/>
      <c r="CM228" s="104"/>
      <c r="CN228" s="104"/>
      <c r="CO228" s="104"/>
      <c r="CP228" s="98"/>
      <c r="CR228" s="101"/>
      <c r="CS228" s="101"/>
      <c r="CT228" s="101"/>
      <c r="CU228" s="101"/>
      <c r="CV228" s="101"/>
      <c r="FL228" s="103"/>
      <c r="FN228" s="103"/>
      <c r="FP228" s="103"/>
      <c r="FR228" s="103"/>
    </row>
    <row r="229" spans="2:174" x14ac:dyDescent="0.35">
      <c r="B229" s="97"/>
      <c r="G229" s="100"/>
      <c r="K229" s="98"/>
      <c r="L229" s="101"/>
      <c r="M229" s="101"/>
      <c r="N229" s="101"/>
      <c r="O229" s="101"/>
      <c r="P229" s="102"/>
      <c r="Q229" s="101"/>
      <c r="R229" s="98"/>
      <c r="S229" s="98"/>
      <c r="T229" s="98"/>
      <c r="U229" s="98"/>
      <c r="V229" s="98"/>
      <c r="W229" s="98"/>
      <c r="X229" s="98"/>
      <c r="Y229" s="98"/>
      <c r="Z229" s="103"/>
      <c r="AA229" s="103"/>
      <c r="AB229" s="103"/>
      <c r="AC229" s="103"/>
      <c r="AD229" s="103"/>
      <c r="AE229" s="103"/>
      <c r="AF229" s="103"/>
      <c r="AG229" s="101"/>
      <c r="AH229" s="101"/>
      <c r="AI229" s="101"/>
      <c r="AJ229" s="101"/>
      <c r="AK229" s="101"/>
      <c r="AL229" s="101"/>
      <c r="AM229" s="101"/>
      <c r="AN229" s="103"/>
      <c r="AO229" s="103"/>
      <c r="AP229" s="103"/>
      <c r="AQ229" s="103"/>
      <c r="AR229" s="103"/>
      <c r="AS229" s="103"/>
      <c r="AT229" s="103"/>
      <c r="AU229" s="101"/>
      <c r="AV229" s="101"/>
      <c r="AW229" s="101"/>
      <c r="AX229" s="101"/>
      <c r="AY229" s="101"/>
      <c r="AZ229" s="101"/>
      <c r="BA229" s="101"/>
      <c r="BB229" s="103"/>
      <c r="BC229" s="103"/>
      <c r="BD229" s="103"/>
      <c r="BE229" s="101"/>
      <c r="BF229" s="101"/>
      <c r="BG229" s="101"/>
      <c r="BH229" s="101"/>
      <c r="BI229" s="101"/>
      <c r="BM229" s="101"/>
      <c r="BN229" s="101"/>
      <c r="BO229" s="101"/>
      <c r="BP229" s="101"/>
      <c r="BQ229" s="101"/>
      <c r="BR229" s="101"/>
      <c r="BS229" s="101"/>
      <c r="BT229" s="104"/>
      <c r="BU229" s="104"/>
      <c r="BV229" s="104"/>
      <c r="BW229" s="104"/>
      <c r="BX229" s="104"/>
      <c r="BY229" s="104"/>
      <c r="BZ229" s="104"/>
      <c r="CA229" s="104"/>
      <c r="CB229" s="104"/>
      <c r="CC229" s="104"/>
      <c r="CD229" s="104"/>
      <c r="CE229" s="104"/>
      <c r="CF229" s="104"/>
      <c r="CG229" s="104"/>
      <c r="CH229" s="104"/>
      <c r="CI229" s="104"/>
      <c r="CJ229" s="104"/>
      <c r="CK229" s="104"/>
      <c r="CL229" s="104"/>
      <c r="CM229" s="104"/>
      <c r="CN229" s="104"/>
      <c r="CO229" s="104"/>
      <c r="CP229" s="98"/>
      <c r="CR229" s="101"/>
      <c r="CS229" s="101"/>
      <c r="CT229" s="101"/>
      <c r="CU229" s="101"/>
      <c r="CV229" s="101"/>
      <c r="FL229" s="103"/>
      <c r="FN229" s="103"/>
      <c r="FP229" s="103"/>
      <c r="FR229" s="103"/>
    </row>
    <row r="230" spans="2:174" x14ac:dyDescent="0.35">
      <c r="B230" s="97"/>
      <c r="G230" s="100"/>
      <c r="K230" s="98"/>
      <c r="L230" s="101"/>
      <c r="M230" s="101"/>
      <c r="N230" s="101"/>
      <c r="O230" s="101"/>
      <c r="P230" s="102"/>
      <c r="Q230" s="101"/>
      <c r="R230" s="98"/>
      <c r="S230" s="98"/>
      <c r="T230" s="98"/>
      <c r="U230" s="98"/>
      <c r="V230" s="98"/>
      <c r="W230" s="98"/>
      <c r="X230" s="98"/>
      <c r="Y230" s="98"/>
      <c r="Z230" s="103"/>
      <c r="AA230" s="103"/>
      <c r="AB230" s="103"/>
      <c r="AC230" s="103"/>
      <c r="AD230" s="103"/>
      <c r="AE230" s="103"/>
      <c r="AF230" s="103"/>
      <c r="AG230" s="101"/>
      <c r="AH230" s="101"/>
      <c r="AI230" s="101"/>
      <c r="AJ230" s="101"/>
      <c r="AK230" s="101"/>
      <c r="AL230" s="101"/>
      <c r="AM230" s="101"/>
      <c r="AN230" s="103"/>
      <c r="AO230" s="103"/>
      <c r="AP230" s="103"/>
      <c r="AQ230" s="103"/>
      <c r="AR230" s="103"/>
      <c r="AS230" s="103"/>
      <c r="AT230" s="103"/>
      <c r="AU230" s="101"/>
      <c r="AV230" s="101"/>
      <c r="AW230" s="101"/>
      <c r="AX230" s="101"/>
      <c r="AY230" s="101"/>
      <c r="AZ230" s="101"/>
      <c r="BA230" s="101"/>
      <c r="BB230" s="103"/>
      <c r="BC230" s="103"/>
      <c r="BD230" s="103"/>
      <c r="BE230" s="101"/>
      <c r="BF230" s="101"/>
      <c r="BG230" s="101"/>
      <c r="BH230" s="101"/>
      <c r="BI230" s="101"/>
      <c r="BM230" s="101"/>
      <c r="BN230" s="101"/>
      <c r="BO230" s="101"/>
      <c r="BP230" s="101"/>
      <c r="BQ230" s="101"/>
      <c r="BR230" s="101"/>
      <c r="BS230" s="101"/>
      <c r="BT230" s="104"/>
      <c r="BU230" s="104"/>
      <c r="BV230" s="104"/>
      <c r="BW230" s="104"/>
      <c r="BX230" s="104"/>
      <c r="BY230" s="104"/>
      <c r="BZ230" s="104"/>
      <c r="CA230" s="104"/>
      <c r="CB230" s="104"/>
      <c r="CC230" s="104"/>
      <c r="CD230" s="104"/>
      <c r="CE230" s="104"/>
      <c r="CF230" s="104"/>
      <c r="CG230" s="104"/>
      <c r="CH230" s="104"/>
      <c r="CI230" s="104"/>
      <c r="CJ230" s="104"/>
      <c r="CK230" s="104"/>
      <c r="CL230" s="104"/>
      <c r="CM230" s="104"/>
      <c r="CN230" s="104"/>
      <c r="CO230" s="104"/>
      <c r="CP230" s="98"/>
      <c r="CR230" s="101"/>
      <c r="CS230" s="101"/>
      <c r="CT230" s="101"/>
      <c r="CU230" s="101"/>
      <c r="CV230" s="101"/>
      <c r="FL230" s="103"/>
      <c r="FN230" s="103"/>
      <c r="FP230" s="103"/>
      <c r="FR230" s="103"/>
    </row>
    <row r="231" spans="2:174" x14ac:dyDescent="0.35">
      <c r="B231" s="97"/>
      <c r="G231" s="100"/>
      <c r="K231" s="98"/>
      <c r="L231" s="101"/>
      <c r="M231" s="101"/>
      <c r="N231" s="101"/>
      <c r="O231" s="101"/>
      <c r="P231" s="102"/>
      <c r="Q231" s="101"/>
      <c r="R231" s="98"/>
      <c r="S231" s="98"/>
      <c r="T231" s="98"/>
      <c r="U231" s="98"/>
      <c r="V231" s="98"/>
      <c r="W231" s="98"/>
      <c r="X231" s="98"/>
      <c r="Y231" s="98"/>
      <c r="Z231" s="103"/>
      <c r="AA231" s="103"/>
      <c r="AB231" s="103"/>
      <c r="AC231" s="103"/>
      <c r="AD231" s="103"/>
      <c r="AE231" s="103"/>
      <c r="AF231" s="103"/>
      <c r="AG231" s="101"/>
      <c r="AH231" s="101"/>
      <c r="AI231" s="101"/>
      <c r="AJ231" s="101"/>
      <c r="AK231" s="101"/>
      <c r="AL231" s="101"/>
      <c r="AM231" s="101"/>
      <c r="AN231" s="103"/>
      <c r="AO231" s="103"/>
      <c r="AP231" s="103"/>
      <c r="AQ231" s="103"/>
      <c r="AR231" s="103"/>
      <c r="AS231" s="103"/>
      <c r="AT231" s="103"/>
      <c r="AU231" s="101"/>
      <c r="AV231" s="101"/>
      <c r="AW231" s="101"/>
      <c r="AX231" s="101"/>
      <c r="AY231" s="101"/>
      <c r="AZ231" s="101"/>
      <c r="BA231" s="101"/>
      <c r="BB231" s="103"/>
      <c r="BC231" s="103"/>
      <c r="BD231" s="103"/>
      <c r="BE231" s="101"/>
      <c r="BF231" s="101"/>
      <c r="BG231" s="101"/>
      <c r="BH231" s="101"/>
      <c r="BI231" s="101"/>
      <c r="BM231" s="101"/>
      <c r="BN231" s="101"/>
      <c r="BO231" s="101"/>
      <c r="BP231" s="101"/>
      <c r="BQ231" s="101"/>
      <c r="BR231" s="101"/>
      <c r="BS231" s="101"/>
      <c r="BT231" s="104"/>
      <c r="BU231" s="104"/>
      <c r="BV231" s="104"/>
      <c r="BW231" s="104"/>
      <c r="BX231" s="104"/>
      <c r="BY231" s="104"/>
      <c r="BZ231" s="104"/>
      <c r="CA231" s="104"/>
      <c r="CB231" s="104"/>
      <c r="CC231" s="104"/>
      <c r="CD231" s="104"/>
      <c r="CE231" s="104"/>
      <c r="CF231" s="104"/>
      <c r="CG231" s="104"/>
      <c r="CH231" s="104"/>
      <c r="CI231" s="104"/>
      <c r="CJ231" s="104"/>
      <c r="CK231" s="104"/>
      <c r="CL231" s="104"/>
      <c r="CM231" s="104"/>
      <c r="CN231" s="104"/>
      <c r="CO231" s="104"/>
      <c r="CP231" s="98"/>
      <c r="CR231" s="101"/>
      <c r="CS231" s="101"/>
      <c r="CT231" s="101"/>
      <c r="CU231" s="101"/>
      <c r="CV231" s="101"/>
      <c r="FL231" s="103"/>
      <c r="FN231" s="103"/>
      <c r="FP231" s="103"/>
      <c r="FR231" s="103"/>
    </row>
    <row r="232" spans="2:174" x14ac:dyDescent="0.35">
      <c r="B232" s="97"/>
      <c r="G232" s="100"/>
      <c r="K232" s="98"/>
      <c r="L232" s="101"/>
      <c r="M232" s="101"/>
      <c r="N232" s="101"/>
      <c r="O232" s="101"/>
      <c r="P232" s="102"/>
      <c r="Q232" s="101"/>
      <c r="R232" s="98"/>
      <c r="S232" s="98"/>
      <c r="T232" s="98"/>
      <c r="U232" s="98"/>
      <c r="V232" s="98"/>
      <c r="W232" s="98"/>
      <c r="X232" s="98"/>
      <c r="Y232" s="98"/>
      <c r="Z232" s="103"/>
      <c r="AA232" s="103"/>
      <c r="AB232" s="103"/>
      <c r="AC232" s="103"/>
      <c r="AD232" s="103"/>
      <c r="AE232" s="103"/>
      <c r="AF232" s="103"/>
      <c r="AG232" s="101"/>
      <c r="AH232" s="101"/>
      <c r="AI232" s="101"/>
      <c r="AJ232" s="101"/>
      <c r="AK232" s="101"/>
      <c r="AL232" s="101"/>
      <c r="AM232" s="101"/>
      <c r="AN232" s="103"/>
      <c r="AO232" s="103"/>
      <c r="AP232" s="103"/>
      <c r="AQ232" s="103"/>
      <c r="AR232" s="103"/>
      <c r="AS232" s="103"/>
      <c r="AT232" s="103"/>
      <c r="AU232" s="101"/>
      <c r="AV232" s="101"/>
      <c r="AW232" s="101"/>
      <c r="AX232" s="101"/>
      <c r="AY232" s="101"/>
      <c r="AZ232" s="101"/>
      <c r="BA232" s="101"/>
      <c r="BB232" s="103"/>
      <c r="BC232" s="103"/>
      <c r="BD232" s="103"/>
      <c r="BE232" s="101"/>
      <c r="BF232" s="101"/>
      <c r="BG232" s="101"/>
      <c r="BH232" s="101"/>
      <c r="BI232" s="101"/>
      <c r="BM232" s="101"/>
      <c r="BN232" s="101"/>
      <c r="BO232" s="101"/>
      <c r="BP232" s="101"/>
      <c r="BQ232" s="101"/>
      <c r="BR232" s="101"/>
      <c r="BS232" s="101"/>
      <c r="BT232" s="104"/>
      <c r="BU232" s="104"/>
      <c r="BV232" s="104"/>
      <c r="BW232" s="104"/>
      <c r="BX232" s="104"/>
      <c r="BY232" s="104"/>
      <c r="BZ232" s="104"/>
      <c r="CA232" s="104"/>
      <c r="CB232" s="104"/>
      <c r="CC232" s="104"/>
      <c r="CD232" s="104"/>
      <c r="CE232" s="104"/>
      <c r="CF232" s="104"/>
      <c r="CG232" s="104"/>
      <c r="CH232" s="104"/>
      <c r="CI232" s="104"/>
      <c r="CJ232" s="104"/>
      <c r="CK232" s="104"/>
      <c r="CL232" s="104"/>
      <c r="CM232" s="104"/>
      <c r="CN232" s="104"/>
      <c r="CO232" s="104"/>
      <c r="CP232" s="98"/>
      <c r="CR232" s="101"/>
      <c r="CS232" s="101"/>
      <c r="CT232" s="101"/>
      <c r="CU232" s="101"/>
      <c r="CV232" s="101"/>
      <c r="FL232" s="103"/>
      <c r="FN232" s="103"/>
      <c r="FP232" s="103"/>
      <c r="FR232" s="103"/>
    </row>
    <row r="233" spans="2:174" x14ac:dyDescent="0.35">
      <c r="B233" s="97"/>
      <c r="G233" s="100"/>
      <c r="K233" s="98"/>
      <c r="L233" s="101"/>
      <c r="M233" s="101"/>
      <c r="N233" s="101"/>
      <c r="O233" s="101"/>
      <c r="P233" s="102"/>
      <c r="Q233" s="101"/>
      <c r="R233" s="98"/>
      <c r="S233" s="98"/>
      <c r="T233" s="98"/>
      <c r="U233" s="98"/>
      <c r="V233" s="98"/>
      <c r="W233" s="98"/>
      <c r="X233" s="98"/>
      <c r="Y233" s="98"/>
      <c r="Z233" s="103"/>
      <c r="AA233" s="103"/>
      <c r="AB233" s="103"/>
      <c r="AC233" s="103"/>
      <c r="AD233" s="103"/>
      <c r="AE233" s="103"/>
      <c r="AF233" s="103"/>
      <c r="AG233" s="101"/>
      <c r="AH233" s="101"/>
      <c r="AI233" s="101"/>
      <c r="AJ233" s="101"/>
      <c r="AK233" s="101"/>
      <c r="AL233" s="101"/>
      <c r="AM233" s="101"/>
      <c r="AN233" s="103"/>
      <c r="AO233" s="103"/>
      <c r="AP233" s="103"/>
      <c r="AQ233" s="103"/>
      <c r="AR233" s="103"/>
      <c r="AS233" s="103"/>
      <c r="AT233" s="103"/>
      <c r="AU233" s="101"/>
      <c r="AV233" s="101"/>
      <c r="AW233" s="101"/>
      <c r="AX233" s="101"/>
      <c r="AY233" s="101"/>
      <c r="AZ233" s="101"/>
      <c r="BA233" s="101"/>
      <c r="BB233" s="103"/>
      <c r="BC233" s="103"/>
      <c r="BD233" s="103"/>
      <c r="BE233" s="101"/>
      <c r="BF233" s="101"/>
      <c r="BG233" s="101"/>
      <c r="BH233" s="101"/>
      <c r="BI233" s="101"/>
      <c r="BM233" s="101"/>
      <c r="BN233" s="101"/>
      <c r="BO233" s="101"/>
      <c r="BP233" s="101"/>
      <c r="BQ233" s="101"/>
      <c r="BR233" s="101"/>
      <c r="BS233" s="101"/>
      <c r="BT233" s="104"/>
      <c r="BU233" s="104"/>
      <c r="BV233" s="104"/>
      <c r="BW233" s="104"/>
      <c r="BX233" s="104"/>
      <c r="BY233" s="104"/>
      <c r="BZ233" s="104"/>
      <c r="CA233" s="104"/>
      <c r="CB233" s="104"/>
      <c r="CC233" s="104"/>
      <c r="CD233" s="104"/>
      <c r="CE233" s="104"/>
      <c r="CF233" s="104"/>
      <c r="CG233" s="104"/>
      <c r="CH233" s="104"/>
      <c r="CI233" s="104"/>
      <c r="CJ233" s="104"/>
      <c r="CK233" s="104"/>
      <c r="CL233" s="104"/>
      <c r="CM233" s="104"/>
      <c r="CN233" s="104"/>
      <c r="CO233" s="104"/>
      <c r="CP233" s="98"/>
      <c r="CR233" s="101"/>
      <c r="CS233" s="101"/>
      <c r="CT233" s="101"/>
      <c r="CU233" s="101"/>
      <c r="CV233" s="101"/>
      <c r="FL233" s="103"/>
      <c r="FN233" s="103"/>
      <c r="FP233" s="103"/>
      <c r="FR233" s="103"/>
    </row>
    <row r="234" spans="2:174" x14ac:dyDescent="0.35">
      <c r="B234" s="97"/>
      <c r="G234" s="100"/>
      <c r="K234" s="98"/>
      <c r="L234" s="101"/>
      <c r="M234" s="101"/>
      <c r="N234" s="101"/>
      <c r="O234" s="101"/>
      <c r="P234" s="102"/>
      <c r="Q234" s="101"/>
      <c r="R234" s="98"/>
      <c r="S234" s="98"/>
      <c r="T234" s="98"/>
      <c r="U234" s="98"/>
      <c r="V234" s="98"/>
      <c r="W234" s="98"/>
      <c r="X234" s="98"/>
      <c r="Y234" s="98"/>
      <c r="Z234" s="103"/>
      <c r="AA234" s="103"/>
      <c r="AB234" s="103"/>
      <c r="AC234" s="103"/>
      <c r="AD234" s="103"/>
      <c r="AE234" s="103"/>
      <c r="AF234" s="103"/>
      <c r="AG234" s="101"/>
      <c r="AH234" s="101"/>
      <c r="AI234" s="101"/>
      <c r="AJ234" s="101"/>
      <c r="AK234" s="101"/>
      <c r="AL234" s="101"/>
      <c r="AM234" s="101"/>
      <c r="AN234" s="103"/>
      <c r="AO234" s="103"/>
      <c r="AP234" s="103"/>
      <c r="AQ234" s="103"/>
      <c r="AR234" s="103"/>
      <c r="AS234" s="103"/>
      <c r="AT234" s="103"/>
      <c r="AU234" s="101"/>
      <c r="AV234" s="101"/>
      <c r="AW234" s="101"/>
      <c r="AX234" s="101"/>
      <c r="AY234" s="101"/>
      <c r="AZ234" s="101"/>
      <c r="BA234" s="101"/>
      <c r="BB234" s="103"/>
      <c r="BC234" s="103"/>
      <c r="BD234" s="103"/>
      <c r="BE234" s="101"/>
      <c r="BF234" s="101"/>
      <c r="BG234" s="101"/>
      <c r="BH234" s="101"/>
      <c r="BI234" s="101"/>
      <c r="BM234" s="101"/>
      <c r="BN234" s="101"/>
      <c r="BO234" s="101"/>
      <c r="BP234" s="101"/>
      <c r="BQ234" s="101"/>
      <c r="BR234" s="101"/>
      <c r="BS234" s="101"/>
      <c r="BT234" s="104"/>
      <c r="BU234" s="104"/>
      <c r="BV234" s="104"/>
      <c r="BW234" s="104"/>
      <c r="BX234" s="104"/>
      <c r="BY234" s="104"/>
      <c r="BZ234" s="104"/>
      <c r="CA234" s="104"/>
      <c r="CB234" s="104"/>
      <c r="CC234" s="104"/>
      <c r="CD234" s="104"/>
      <c r="CE234" s="104"/>
      <c r="CF234" s="104"/>
      <c r="CG234" s="104"/>
      <c r="CH234" s="104"/>
      <c r="CI234" s="104"/>
      <c r="CJ234" s="104"/>
      <c r="CK234" s="104"/>
      <c r="CL234" s="104"/>
      <c r="CM234" s="104"/>
      <c r="CN234" s="104"/>
      <c r="CO234" s="104"/>
      <c r="CP234" s="98"/>
      <c r="CR234" s="101"/>
      <c r="CS234" s="101"/>
      <c r="CT234" s="101"/>
      <c r="CU234" s="101"/>
      <c r="CV234" s="101"/>
      <c r="FL234" s="103"/>
      <c r="FN234" s="103"/>
      <c r="FP234" s="103"/>
      <c r="FR234" s="103"/>
    </row>
    <row r="235" spans="2:174" x14ac:dyDescent="0.35">
      <c r="B235" s="97"/>
      <c r="G235" s="100"/>
      <c r="K235" s="98"/>
      <c r="L235" s="101"/>
      <c r="M235" s="101"/>
      <c r="N235" s="101"/>
      <c r="O235" s="101"/>
      <c r="P235" s="102"/>
      <c r="Q235" s="101"/>
      <c r="R235" s="98"/>
      <c r="S235" s="98"/>
      <c r="T235" s="98"/>
      <c r="U235" s="98"/>
      <c r="V235" s="98"/>
      <c r="W235" s="98"/>
      <c r="X235" s="98"/>
      <c r="Y235" s="98"/>
      <c r="Z235" s="103"/>
      <c r="AA235" s="103"/>
      <c r="AB235" s="103"/>
      <c r="AC235" s="103"/>
      <c r="AD235" s="103"/>
      <c r="AE235" s="103"/>
      <c r="AF235" s="103"/>
      <c r="AG235" s="101"/>
      <c r="AH235" s="101"/>
      <c r="AI235" s="101"/>
      <c r="AJ235" s="101"/>
      <c r="AK235" s="101"/>
      <c r="AL235" s="101"/>
      <c r="AM235" s="101"/>
      <c r="AN235" s="103"/>
      <c r="AO235" s="103"/>
      <c r="AP235" s="103"/>
      <c r="AQ235" s="103"/>
      <c r="AR235" s="103"/>
      <c r="AS235" s="103"/>
      <c r="AT235" s="103"/>
      <c r="AU235" s="101"/>
      <c r="AV235" s="101"/>
      <c r="AW235" s="101"/>
      <c r="AX235" s="101"/>
      <c r="AY235" s="101"/>
      <c r="AZ235" s="101"/>
      <c r="BA235" s="101"/>
      <c r="BB235" s="103"/>
      <c r="BC235" s="103"/>
      <c r="BD235" s="103"/>
      <c r="BE235" s="101"/>
      <c r="BF235" s="101"/>
      <c r="BG235" s="101"/>
      <c r="BH235" s="101"/>
      <c r="BI235" s="101"/>
      <c r="BM235" s="101"/>
      <c r="BN235" s="101"/>
      <c r="BO235" s="101"/>
      <c r="BP235" s="101"/>
      <c r="BQ235" s="101"/>
      <c r="BR235" s="101"/>
      <c r="BS235" s="101"/>
      <c r="BT235" s="104"/>
      <c r="BU235" s="104"/>
      <c r="BV235" s="104"/>
      <c r="BW235" s="104"/>
      <c r="BX235" s="104"/>
      <c r="BY235" s="104"/>
      <c r="BZ235" s="104"/>
      <c r="CA235" s="104"/>
      <c r="CB235" s="104"/>
      <c r="CC235" s="104"/>
      <c r="CD235" s="104"/>
      <c r="CE235" s="104"/>
      <c r="CF235" s="104"/>
      <c r="CG235" s="104"/>
      <c r="CH235" s="104"/>
      <c r="CI235" s="104"/>
      <c r="CJ235" s="104"/>
      <c r="CK235" s="104"/>
      <c r="CL235" s="104"/>
      <c r="CM235" s="104"/>
      <c r="CN235" s="104"/>
      <c r="CO235" s="104"/>
      <c r="CP235" s="98"/>
      <c r="CR235" s="101"/>
      <c r="CS235" s="101"/>
      <c r="CT235" s="101"/>
      <c r="CU235" s="101"/>
      <c r="CV235" s="101"/>
      <c r="FL235" s="103"/>
      <c r="FN235" s="103"/>
      <c r="FP235" s="103"/>
      <c r="FR235" s="103"/>
    </row>
    <row r="236" spans="2:174" x14ac:dyDescent="0.35">
      <c r="B236" s="97"/>
      <c r="G236" s="100"/>
      <c r="K236" s="98"/>
      <c r="L236" s="101"/>
      <c r="M236" s="101"/>
      <c r="N236" s="101"/>
      <c r="O236" s="101"/>
      <c r="P236" s="102"/>
      <c r="Q236" s="101"/>
      <c r="R236" s="98"/>
      <c r="S236" s="98"/>
      <c r="T236" s="98"/>
      <c r="U236" s="98"/>
      <c r="V236" s="98"/>
      <c r="W236" s="98"/>
      <c r="X236" s="98"/>
      <c r="Y236" s="98"/>
      <c r="Z236" s="103"/>
      <c r="AA236" s="103"/>
      <c r="AB236" s="103"/>
      <c r="AC236" s="103"/>
      <c r="AD236" s="103"/>
      <c r="AE236" s="103"/>
      <c r="AF236" s="103"/>
      <c r="AG236" s="101"/>
      <c r="AH236" s="101"/>
      <c r="AI236" s="101"/>
      <c r="AJ236" s="101"/>
      <c r="AK236" s="101"/>
      <c r="AL236" s="101"/>
      <c r="AM236" s="101"/>
      <c r="AN236" s="103"/>
      <c r="AO236" s="103"/>
      <c r="AP236" s="103"/>
      <c r="AQ236" s="103"/>
      <c r="AR236" s="103"/>
      <c r="AS236" s="103"/>
      <c r="AT236" s="103"/>
      <c r="AU236" s="101"/>
      <c r="AV236" s="101"/>
      <c r="AW236" s="101"/>
      <c r="AX236" s="101"/>
      <c r="AY236" s="101"/>
      <c r="AZ236" s="101"/>
      <c r="BA236" s="101"/>
      <c r="BB236" s="103"/>
      <c r="BC236" s="103"/>
      <c r="BD236" s="103"/>
      <c r="BE236" s="101"/>
      <c r="BF236" s="101"/>
      <c r="BG236" s="101"/>
      <c r="BH236" s="101"/>
      <c r="BI236" s="101"/>
      <c r="BM236" s="101"/>
      <c r="BN236" s="101"/>
      <c r="BO236" s="101"/>
      <c r="BP236" s="101"/>
      <c r="BQ236" s="101"/>
      <c r="BR236" s="101"/>
      <c r="BS236" s="101"/>
      <c r="BT236" s="104"/>
      <c r="BU236" s="104"/>
      <c r="BV236" s="104"/>
      <c r="BW236" s="104"/>
      <c r="BX236" s="104"/>
      <c r="BY236" s="104"/>
      <c r="BZ236" s="104"/>
      <c r="CA236" s="104"/>
      <c r="CB236" s="104"/>
      <c r="CC236" s="104"/>
      <c r="CD236" s="104"/>
      <c r="CE236" s="104"/>
      <c r="CF236" s="104"/>
      <c r="CG236" s="104"/>
      <c r="CH236" s="104"/>
      <c r="CI236" s="104"/>
      <c r="CJ236" s="104"/>
      <c r="CK236" s="104"/>
      <c r="CL236" s="104"/>
      <c r="CM236" s="104"/>
      <c r="CN236" s="104"/>
      <c r="CO236" s="104"/>
      <c r="CP236" s="98"/>
      <c r="CR236" s="101"/>
      <c r="CS236" s="101"/>
      <c r="CT236" s="101"/>
      <c r="CU236" s="101"/>
      <c r="CV236" s="101"/>
      <c r="FL236" s="103"/>
      <c r="FN236" s="103"/>
      <c r="FP236" s="103"/>
      <c r="FR236" s="103"/>
    </row>
    <row r="237" spans="2:174" x14ac:dyDescent="0.35">
      <c r="B237" s="97"/>
      <c r="G237" s="100"/>
      <c r="K237" s="98"/>
      <c r="L237" s="101"/>
      <c r="M237" s="101"/>
      <c r="N237" s="101"/>
      <c r="O237" s="101"/>
      <c r="P237" s="102"/>
      <c r="Q237" s="101"/>
      <c r="R237" s="98"/>
      <c r="S237" s="98"/>
      <c r="T237" s="98"/>
      <c r="U237" s="98"/>
      <c r="V237" s="98"/>
      <c r="W237" s="98"/>
      <c r="X237" s="98"/>
      <c r="Y237" s="98"/>
      <c r="Z237" s="103"/>
      <c r="AA237" s="103"/>
      <c r="AB237" s="103"/>
      <c r="AC237" s="103"/>
      <c r="AD237" s="103"/>
      <c r="AE237" s="103"/>
      <c r="AF237" s="103"/>
      <c r="AG237" s="101"/>
      <c r="AH237" s="101"/>
      <c r="AI237" s="101"/>
      <c r="AJ237" s="101"/>
      <c r="AK237" s="101"/>
      <c r="AL237" s="101"/>
      <c r="AM237" s="101"/>
      <c r="AN237" s="103"/>
      <c r="AO237" s="103"/>
      <c r="AP237" s="103"/>
      <c r="AQ237" s="103"/>
      <c r="AR237" s="103"/>
      <c r="AS237" s="103"/>
      <c r="AT237" s="103"/>
      <c r="AU237" s="101"/>
      <c r="AV237" s="101"/>
      <c r="AW237" s="101"/>
      <c r="AX237" s="101"/>
      <c r="AY237" s="101"/>
      <c r="AZ237" s="101"/>
      <c r="BA237" s="101"/>
      <c r="BB237" s="103"/>
      <c r="BC237" s="103"/>
      <c r="BD237" s="103"/>
      <c r="BE237" s="101"/>
      <c r="BF237" s="101"/>
      <c r="BG237" s="101"/>
      <c r="BH237" s="101"/>
      <c r="BI237" s="101"/>
      <c r="BM237" s="101"/>
      <c r="BN237" s="101"/>
      <c r="BO237" s="101"/>
      <c r="BP237" s="101"/>
      <c r="BQ237" s="101"/>
      <c r="BR237" s="101"/>
      <c r="BS237" s="101"/>
      <c r="BT237" s="104"/>
      <c r="BU237" s="104"/>
      <c r="BV237" s="104"/>
      <c r="BW237" s="104"/>
      <c r="BX237" s="104"/>
      <c r="BY237" s="104"/>
      <c r="BZ237" s="104"/>
      <c r="CA237" s="104"/>
      <c r="CB237" s="104"/>
      <c r="CC237" s="104"/>
      <c r="CD237" s="104"/>
      <c r="CE237" s="104"/>
      <c r="CF237" s="104"/>
      <c r="CG237" s="104"/>
      <c r="CH237" s="104"/>
      <c r="CI237" s="104"/>
      <c r="CJ237" s="104"/>
      <c r="CK237" s="104"/>
      <c r="CL237" s="104"/>
      <c r="CM237" s="104"/>
      <c r="CN237" s="104"/>
      <c r="CO237" s="104"/>
      <c r="CP237" s="98"/>
      <c r="CR237" s="101"/>
      <c r="CS237" s="101"/>
      <c r="CT237" s="101"/>
      <c r="CU237" s="101"/>
      <c r="CV237" s="101"/>
      <c r="FL237" s="103"/>
      <c r="FN237" s="103"/>
      <c r="FP237" s="103"/>
      <c r="FR237" s="103"/>
    </row>
    <row r="238" spans="2:174" x14ac:dyDescent="0.35">
      <c r="B238" s="97"/>
      <c r="G238" s="100"/>
      <c r="K238" s="98"/>
      <c r="L238" s="101"/>
      <c r="M238" s="101"/>
      <c r="N238" s="101"/>
      <c r="O238" s="101"/>
      <c r="P238" s="102"/>
      <c r="Q238" s="101"/>
      <c r="R238" s="98"/>
      <c r="S238" s="98"/>
      <c r="T238" s="98"/>
      <c r="U238" s="98"/>
      <c r="V238" s="98"/>
      <c r="W238" s="98"/>
      <c r="X238" s="98"/>
      <c r="Y238" s="98"/>
      <c r="Z238" s="103"/>
      <c r="AA238" s="103"/>
      <c r="AB238" s="103"/>
      <c r="AC238" s="103"/>
      <c r="AD238" s="103"/>
      <c r="AE238" s="103"/>
      <c r="AF238" s="103"/>
      <c r="AG238" s="101"/>
      <c r="AH238" s="101"/>
      <c r="AI238" s="101"/>
      <c r="AJ238" s="101"/>
      <c r="AK238" s="101"/>
      <c r="AL238" s="101"/>
      <c r="AM238" s="101"/>
      <c r="AN238" s="103"/>
      <c r="AO238" s="103"/>
      <c r="AP238" s="103"/>
      <c r="AQ238" s="103"/>
      <c r="AR238" s="103"/>
      <c r="AS238" s="103"/>
      <c r="AT238" s="103"/>
      <c r="AU238" s="101"/>
      <c r="AV238" s="101"/>
      <c r="AW238" s="101"/>
      <c r="AX238" s="101"/>
      <c r="AY238" s="101"/>
      <c r="AZ238" s="101"/>
      <c r="BA238" s="101"/>
      <c r="BB238" s="103"/>
      <c r="BC238" s="103"/>
      <c r="BD238" s="103"/>
      <c r="BE238" s="101"/>
      <c r="BF238" s="101"/>
      <c r="BG238" s="101"/>
      <c r="BH238" s="101"/>
      <c r="BI238" s="101"/>
      <c r="BM238" s="101"/>
      <c r="BN238" s="101"/>
      <c r="BO238" s="101"/>
      <c r="BP238" s="101"/>
      <c r="BQ238" s="101"/>
      <c r="BR238" s="101"/>
      <c r="BS238" s="101"/>
      <c r="BT238" s="104"/>
      <c r="BU238" s="104"/>
      <c r="BV238" s="104"/>
      <c r="BW238" s="104"/>
      <c r="BX238" s="104"/>
      <c r="BY238" s="104"/>
      <c r="BZ238" s="104"/>
      <c r="CA238" s="104"/>
      <c r="CB238" s="104"/>
      <c r="CC238" s="104"/>
      <c r="CD238" s="104"/>
      <c r="CE238" s="104"/>
      <c r="CF238" s="104"/>
      <c r="CG238" s="104"/>
      <c r="CH238" s="104"/>
      <c r="CI238" s="104"/>
      <c r="CJ238" s="104"/>
      <c r="CK238" s="104"/>
      <c r="CL238" s="104"/>
      <c r="CM238" s="104"/>
      <c r="CN238" s="104"/>
      <c r="CO238" s="104"/>
      <c r="CP238" s="98"/>
      <c r="CR238" s="101"/>
      <c r="CS238" s="101"/>
      <c r="CT238" s="101"/>
      <c r="CU238" s="101"/>
      <c r="CV238" s="101"/>
      <c r="FL238" s="103"/>
      <c r="FN238" s="103"/>
      <c r="FP238" s="103"/>
      <c r="FR238" s="103"/>
    </row>
    <row r="239" spans="2:174" x14ac:dyDescent="0.35">
      <c r="B239" s="97"/>
      <c r="G239" s="100"/>
      <c r="K239" s="98"/>
      <c r="L239" s="101"/>
      <c r="M239" s="101"/>
      <c r="N239" s="101"/>
      <c r="O239" s="101"/>
      <c r="P239" s="102"/>
      <c r="Q239" s="101"/>
      <c r="R239" s="98"/>
      <c r="S239" s="98"/>
      <c r="T239" s="98"/>
      <c r="U239" s="98"/>
      <c r="V239" s="98"/>
      <c r="W239" s="98"/>
      <c r="X239" s="98"/>
      <c r="Y239" s="98"/>
      <c r="Z239" s="103"/>
      <c r="AA239" s="103"/>
      <c r="AB239" s="103"/>
      <c r="AC239" s="103"/>
      <c r="AD239" s="103"/>
      <c r="AE239" s="103"/>
      <c r="AF239" s="103"/>
      <c r="AG239" s="101"/>
      <c r="AH239" s="101"/>
      <c r="AI239" s="101"/>
      <c r="AJ239" s="101"/>
      <c r="AK239" s="101"/>
      <c r="AL239" s="101"/>
      <c r="AM239" s="101"/>
      <c r="AN239" s="103"/>
      <c r="AO239" s="103"/>
      <c r="AP239" s="103"/>
      <c r="AQ239" s="103"/>
      <c r="AR239" s="103"/>
      <c r="AS239" s="103"/>
      <c r="AT239" s="103"/>
      <c r="AU239" s="101"/>
      <c r="AV239" s="101"/>
      <c r="AW239" s="101"/>
      <c r="AX239" s="101"/>
      <c r="AY239" s="101"/>
      <c r="AZ239" s="101"/>
      <c r="BA239" s="101"/>
      <c r="BB239" s="103"/>
      <c r="BC239" s="103"/>
      <c r="BD239" s="103"/>
      <c r="BE239" s="101"/>
      <c r="BF239" s="101"/>
      <c r="BG239" s="101"/>
      <c r="BH239" s="101"/>
      <c r="BI239" s="101"/>
      <c r="BM239" s="101"/>
      <c r="BN239" s="101"/>
      <c r="BO239" s="101"/>
      <c r="BP239" s="101"/>
      <c r="BQ239" s="101"/>
      <c r="BR239" s="101"/>
      <c r="BS239" s="101"/>
      <c r="BT239" s="104"/>
      <c r="BU239" s="104"/>
      <c r="BV239" s="104"/>
      <c r="BW239" s="104"/>
      <c r="BX239" s="104"/>
      <c r="BY239" s="104"/>
      <c r="BZ239" s="104"/>
      <c r="CA239" s="104"/>
      <c r="CB239" s="104"/>
      <c r="CC239" s="104"/>
      <c r="CD239" s="104"/>
      <c r="CE239" s="104"/>
      <c r="CF239" s="104"/>
      <c r="CG239" s="104"/>
      <c r="CH239" s="104"/>
      <c r="CI239" s="104"/>
      <c r="CJ239" s="104"/>
      <c r="CK239" s="104"/>
      <c r="CL239" s="104"/>
      <c r="CM239" s="104"/>
      <c r="CN239" s="104"/>
      <c r="CO239" s="104"/>
      <c r="CP239" s="98"/>
      <c r="CR239" s="101"/>
      <c r="CS239" s="101"/>
      <c r="CT239" s="101"/>
      <c r="CU239" s="101"/>
      <c r="CV239" s="101"/>
      <c r="FL239" s="103"/>
      <c r="FN239" s="103"/>
      <c r="FP239" s="103"/>
      <c r="FR239" s="103"/>
    </row>
    <row r="240" spans="2:174" x14ac:dyDescent="0.35">
      <c r="B240" s="97"/>
      <c r="G240" s="100"/>
      <c r="K240" s="98"/>
      <c r="L240" s="101"/>
      <c r="M240" s="101"/>
      <c r="N240" s="101"/>
      <c r="O240" s="101"/>
      <c r="P240" s="102"/>
      <c r="Q240" s="101"/>
      <c r="R240" s="98"/>
      <c r="S240" s="98"/>
      <c r="T240" s="98"/>
      <c r="U240" s="98"/>
      <c r="V240" s="98"/>
      <c r="W240" s="98"/>
      <c r="X240" s="98"/>
      <c r="Y240" s="98"/>
      <c r="Z240" s="103"/>
      <c r="AA240" s="103"/>
      <c r="AB240" s="103"/>
      <c r="AC240" s="103"/>
      <c r="AD240" s="103"/>
      <c r="AE240" s="103"/>
      <c r="AF240" s="103"/>
      <c r="AG240" s="101"/>
      <c r="AH240" s="101"/>
      <c r="AI240" s="101"/>
      <c r="AJ240" s="101"/>
      <c r="AK240" s="101"/>
      <c r="AL240" s="101"/>
      <c r="AM240" s="101"/>
      <c r="AN240" s="103"/>
      <c r="AO240" s="103"/>
      <c r="AP240" s="103"/>
      <c r="AQ240" s="103"/>
      <c r="AR240" s="103"/>
      <c r="AS240" s="103"/>
      <c r="AT240" s="103"/>
      <c r="AU240" s="101"/>
      <c r="AV240" s="101"/>
      <c r="AW240" s="101"/>
      <c r="AX240" s="101"/>
      <c r="AY240" s="101"/>
      <c r="AZ240" s="101"/>
      <c r="BA240" s="101"/>
      <c r="BB240" s="103"/>
      <c r="BC240" s="103"/>
      <c r="BD240" s="103"/>
      <c r="BE240" s="101"/>
      <c r="BF240" s="101"/>
      <c r="BG240" s="101"/>
      <c r="BH240" s="101"/>
      <c r="BI240" s="101"/>
      <c r="BM240" s="101"/>
      <c r="BN240" s="101"/>
      <c r="BO240" s="101"/>
      <c r="BP240" s="101"/>
      <c r="BQ240" s="101"/>
      <c r="BR240" s="101"/>
      <c r="BS240" s="101"/>
      <c r="BT240" s="104"/>
      <c r="BU240" s="104"/>
      <c r="BV240" s="104"/>
      <c r="BW240" s="104"/>
      <c r="BX240" s="104"/>
      <c r="BY240" s="104"/>
      <c r="BZ240" s="104"/>
      <c r="CA240" s="104"/>
      <c r="CB240" s="104"/>
      <c r="CC240" s="104"/>
      <c r="CD240" s="104"/>
      <c r="CE240" s="104"/>
      <c r="CF240" s="104"/>
      <c r="CG240" s="104"/>
      <c r="CH240" s="104"/>
      <c r="CI240" s="104"/>
      <c r="CJ240" s="104"/>
      <c r="CK240" s="104"/>
      <c r="CL240" s="104"/>
      <c r="CM240" s="104"/>
      <c r="CN240" s="104"/>
      <c r="CO240" s="104"/>
      <c r="CP240" s="98"/>
      <c r="CR240" s="101"/>
      <c r="CS240" s="101"/>
      <c r="CT240" s="101"/>
      <c r="CU240" s="101"/>
      <c r="CV240" s="101"/>
      <c r="FL240" s="103"/>
      <c r="FN240" s="103"/>
      <c r="FP240" s="103"/>
      <c r="FR240" s="103"/>
    </row>
    <row r="241" spans="2:174" x14ac:dyDescent="0.35">
      <c r="B241" s="97"/>
      <c r="G241" s="100"/>
      <c r="K241" s="98"/>
      <c r="L241" s="101"/>
      <c r="M241" s="101"/>
      <c r="N241" s="101"/>
      <c r="O241" s="101"/>
      <c r="P241" s="102"/>
      <c r="Q241" s="101"/>
      <c r="R241" s="98"/>
      <c r="S241" s="98"/>
      <c r="T241" s="98"/>
      <c r="U241" s="98"/>
      <c r="V241" s="98"/>
      <c r="W241" s="98"/>
      <c r="X241" s="98"/>
      <c r="Y241" s="98"/>
      <c r="Z241" s="103"/>
      <c r="AA241" s="103"/>
      <c r="AB241" s="103"/>
      <c r="AC241" s="103"/>
      <c r="AD241" s="103"/>
      <c r="AE241" s="103"/>
      <c r="AF241" s="103"/>
      <c r="AG241" s="101"/>
      <c r="AH241" s="101"/>
      <c r="AI241" s="101"/>
      <c r="AJ241" s="101"/>
      <c r="AK241" s="101"/>
      <c r="AL241" s="101"/>
      <c r="AM241" s="101"/>
      <c r="AN241" s="103"/>
      <c r="AO241" s="103"/>
      <c r="AP241" s="103"/>
      <c r="AQ241" s="103"/>
      <c r="AR241" s="103"/>
      <c r="AS241" s="103"/>
      <c r="AT241" s="103"/>
      <c r="AU241" s="101"/>
      <c r="AV241" s="101"/>
      <c r="AW241" s="101"/>
      <c r="AX241" s="101"/>
      <c r="AY241" s="101"/>
      <c r="AZ241" s="101"/>
      <c r="BA241" s="101"/>
      <c r="BB241" s="103"/>
      <c r="BC241" s="103"/>
      <c r="BD241" s="103"/>
      <c r="BE241" s="101"/>
      <c r="BF241" s="101"/>
      <c r="BG241" s="101"/>
      <c r="BH241" s="101"/>
      <c r="BI241" s="101"/>
      <c r="BM241" s="101"/>
      <c r="BN241" s="101"/>
      <c r="BO241" s="101"/>
      <c r="BP241" s="101"/>
      <c r="BQ241" s="101"/>
      <c r="BR241" s="101"/>
      <c r="BS241" s="101"/>
      <c r="BT241" s="104"/>
      <c r="BU241" s="104"/>
      <c r="BV241" s="104"/>
      <c r="BW241" s="104"/>
      <c r="BX241" s="104"/>
      <c r="BY241" s="104"/>
      <c r="BZ241" s="104"/>
      <c r="CA241" s="104"/>
      <c r="CB241" s="104"/>
      <c r="CC241" s="104"/>
      <c r="CD241" s="104"/>
      <c r="CE241" s="104"/>
      <c r="CF241" s="104"/>
      <c r="CG241" s="104"/>
      <c r="CH241" s="104"/>
      <c r="CI241" s="104"/>
      <c r="CJ241" s="104"/>
      <c r="CK241" s="104"/>
      <c r="CL241" s="104"/>
      <c r="CM241" s="104"/>
      <c r="CN241" s="104"/>
      <c r="CO241" s="104"/>
      <c r="CP241" s="98"/>
      <c r="CR241" s="101"/>
      <c r="CS241" s="101"/>
      <c r="CT241" s="101"/>
      <c r="CU241" s="101"/>
      <c r="CV241" s="101"/>
      <c r="FL241" s="103"/>
      <c r="FN241" s="103"/>
      <c r="FP241" s="103"/>
      <c r="FR241" s="103"/>
    </row>
    <row r="242" spans="2:174" x14ac:dyDescent="0.35">
      <c r="B242" s="97"/>
      <c r="G242" s="100"/>
      <c r="K242" s="98"/>
      <c r="L242" s="101"/>
      <c r="M242" s="101"/>
      <c r="N242" s="101"/>
      <c r="O242" s="101"/>
      <c r="P242" s="102"/>
      <c r="Q242" s="101"/>
      <c r="R242" s="98"/>
      <c r="S242" s="98"/>
      <c r="T242" s="98"/>
      <c r="U242" s="98"/>
      <c r="V242" s="98"/>
      <c r="W242" s="98"/>
      <c r="X242" s="98"/>
      <c r="Y242" s="98"/>
      <c r="Z242" s="103"/>
      <c r="AA242" s="103"/>
      <c r="AB242" s="103"/>
      <c r="AC242" s="103"/>
      <c r="AD242" s="103"/>
      <c r="AE242" s="103"/>
      <c r="AF242" s="103"/>
      <c r="AG242" s="101"/>
      <c r="AH242" s="101"/>
      <c r="AI242" s="101"/>
      <c r="AJ242" s="101"/>
      <c r="AK242" s="101"/>
      <c r="AL242" s="101"/>
      <c r="AM242" s="101"/>
      <c r="AN242" s="103"/>
      <c r="AO242" s="103"/>
      <c r="AP242" s="103"/>
      <c r="AQ242" s="103"/>
      <c r="AR242" s="103"/>
      <c r="AS242" s="103"/>
      <c r="AT242" s="103"/>
      <c r="AU242" s="101"/>
      <c r="AV242" s="101"/>
      <c r="AW242" s="101"/>
      <c r="AX242" s="101"/>
      <c r="AY242" s="101"/>
      <c r="AZ242" s="101"/>
      <c r="BA242" s="101"/>
      <c r="BB242" s="103"/>
      <c r="BC242" s="103"/>
      <c r="BD242" s="103"/>
      <c r="BE242" s="101"/>
      <c r="BF242" s="101"/>
      <c r="BG242" s="101"/>
      <c r="BH242" s="101"/>
      <c r="BI242" s="101"/>
      <c r="BM242" s="101"/>
      <c r="BN242" s="101"/>
      <c r="BO242" s="101"/>
      <c r="BP242" s="101"/>
      <c r="BQ242" s="101"/>
      <c r="BR242" s="101"/>
      <c r="BS242" s="101"/>
      <c r="BT242" s="104"/>
      <c r="BU242" s="104"/>
      <c r="BV242" s="104"/>
      <c r="BW242" s="104"/>
      <c r="BX242" s="104"/>
      <c r="BY242" s="104"/>
      <c r="BZ242" s="104"/>
      <c r="CA242" s="104"/>
      <c r="CB242" s="104"/>
      <c r="CC242" s="104"/>
      <c r="CD242" s="104"/>
      <c r="CE242" s="104"/>
      <c r="CF242" s="104"/>
      <c r="CG242" s="104"/>
      <c r="CH242" s="104"/>
      <c r="CI242" s="104"/>
      <c r="CJ242" s="104"/>
      <c r="CK242" s="104"/>
      <c r="CL242" s="104"/>
      <c r="CM242" s="104"/>
      <c r="CN242" s="104"/>
      <c r="CO242" s="104"/>
      <c r="CP242" s="98"/>
      <c r="CR242" s="101"/>
      <c r="CS242" s="101"/>
      <c r="CT242" s="101"/>
      <c r="CU242" s="101"/>
      <c r="CV242" s="101"/>
      <c r="FL242" s="103"/>
      <c r="FN242" s="103"/>
      <c r="FP242" s="103"/>
      <c r="FR242" s="103"/>
    </row>
    <row r="243" spans="2:174" x14ac:dyDescent="0.35">
      <c r="B243" s="97"/>
      <c r="G243" s="100"/>
      <c r="K243" s="98"/>
      <c r="L243" s="101"/>
      <c r="M243" s="101"/>
      <c r="N243" s="101"/>
      <c r="O243" s="101"/>
      <c r="P243" s="102"/>
      <c r="Q243" s="101"/>
      <c r="R243" s="98"/>
      <c r="S243" s="98"/>
      <c r="T243" s="98"/>
      <c r="U243" s="98"/>
      <c r="V243" s="98"/>
      <c r="W243" s="98"/>
      <c r="X243" s="98"/>
      <c r="Y243" s="98"/>
      <c r="Z243" s="103"/>
      <c r="AA243" s="103"/>
      <c r="AB243" s="103"/>
      <c r="AC243" s="103"/>
      <c r="AD243" s="103"/>
      <c r="AE243" s="103"/>
      <c r="AF243" s="103"/>
      <c r="AG243" s="101"/>
      <c r="AH243" s="101"/>
      <c r="AI243" s="101"/>
      <c r="AJ243" s="101"/>
      <c r="AK243" s="101"/>
      <c r="AL243" s="101"/>
      <c r="AM243" s="101"/>
      <c r="AN243" s="103"/>
      <c r="AO243" s="103"/>
      <c r="AP243" s="103"/>
      <c r="AQ243" s="103"/>
      <c r="AR243" s="103"/>
      <c r="AS243" s="103"/>
      <c r="AT243" s="103"/>
      <c r="AU243" s="101"/>
      <c r="AV243" s="101"/>
      <c r="AW243" s="101"/>
      <c r="AX243" s="101"/>
      <c r="AY243" s="101"/>
      <c r="AZ243" s="101"/>
      <c r="BA243" s="101"/>
      <c r="BB243" s="103"/>
      <c r="BC243" s="103"/>
      <c r="BD243" s="103"/>
      <c r="BE243" s="101"/>
      <c r="BF243" s="101"/>
      <c r="BG243" s="101"/>
      <c r="BH243" s="101"/>
      <c r="BI243" s="101"/>
      <c r="BM243" s="101"/>
      <c r="BN243" s="101"/>
      <c r="BO243" s="101"/>
      <c r="BP243" s="101"/>
      <c r="BQ243" s="101"/>
      <c r="BR243" s="101"/>
      <c r="BS243" s="101"/>
      <c r="BT243" s="104"/>
      <c r="BU243" s="104"/>
      <c r="BV243" s="104"/>
      <c r="BW243" s="104"/>
      <c r="BX243" s="104"/>
      <c r="BY243" s="104"/>
      <c r="BZ243" s="104"/>
      <c r="CA243" s="104"/>
      <c r="CB243" s="104"/>
      <c r="CC243" s="104"/>
      <c r="CD243" s="104"/>
      <c r="CE243" s="104"/>
      <c r="CF243" s="104"/>
      <c r="CG243" s="104"/>
      <c r="CH243" s="104"/>
      <c r="CI243" s="104"/>
      <c r="CJ243" s="104"/>
      <c r="CK243" s="104"/>
      <c r="CL243" s="104"/>
      <c r="CM243" s="104"/>
      <c r="CN243" s="104"/>
      <c r="CO243" s="104"/>
      <c r="CP243" s="98"/>
      <c r="CR243" s="101"/>
      <c r="CS243" s="101"/>
      <c r="CT243" s="101"/>
      <c r="CU243" s="101"/>
      <c r="CV243" s="101"/>
      <c r="FL243" s="103"/>
      <c r="FN243" s="103"/>
      <c r="FP243" s="103"/>
      <c r="FR243" s="103"/>
    </row>
    <row r="244" spans="2:174" x14ac:dyDescent="0.35">
      <c r="B244" s="97"/>
      <c r="G244" s="100"/>
      <c r="K244" s="98"/>
      <c r="L244" s="101"/>
      <c r="M244" s="101"/>
      <c r="N244" s="101"/>
      <c r="O244" s="101"/>
      <c r="P244" s="102"/>
      <c r="Q244" s="101"/>
      <c r="R244" s="98"/>
      <c r="S244" s="98"/>
      <c r="T244" s="98"/>
      <c r="U244" s="98"/>
      <c r="V244" s="98"/>
      <c r="W244" s="98"/>
      <c r="X244" s="98"/>
      <c r="Y244" s="98"/>
      <c r="Z244" s="103"/>
      <c r="AA244" s="103"/>
      <c r="AB244" s="103"/>
      <c r="AC244" s="103"/>
      <c r="AD244" s="103"/>
      <c r="AE244" s="103"/>
      <c r="AF244" s="103"/>
      <c r="AG244" s="101"/>
      <c r="AH244" s="101"/>
      <c r="AI244" s="101"/>
      <c r="AJ244" s="101"/>
      <c r="AK244" s="101"/>
      <c r="AL244" s="101"/>
      <c r="AM244" s="101"/>
      <c r="AN244" s="103"/>
      <c r="AO244" s="103"/>
      <c r="AP244" s="103"/>
      <c r="AQ244" s="103"/>
      <c r="AR244" s="103"/>
      <c r="AS244" s="103"/>
      <c r="AT244" s="103"/>
      <c r="AU244" s="101"/>
      <c r="AV244" s="101"/>
      <c r="AW244" s="101"/>
      <c r="AX244" s="101"/>
      <c r="AY244" s="101"/>
      <c r="AZ244" s="101"/>
      <c r="BA244" s="101"/>
      <c r="BB244" s="103"/>
      <c r="BC244" s="103"/>
      <c r="BD244" s="103"/>
      <c r="BE244" s="101"/>
      <c r="BF244" s="101"/>
      <c r="BG244" s="101"/>
      <c r="BH244" s="101"/>
      <c r="BI244" s="101"/>
      <c r="BM244" s="101"/>
      <c r="BN244" s="101"/>
      <c r="BO244" s="101"/>
      <c r="BP244" s="101"/>
      <c r="BQ244" s="101"/>
      <c r="BR244" s="101"/>
      <c r="BS244" s="101"/>
      <c r="BT244" s="104"/>
      <c r="BU244" s="104"/>
      <c r="BV244" s="104"/>
      <c r="BW244" s="104"/>
      <c r="BX244" s="104"/>
      <c r="BY244" s="104"/>
      <c r="BZ244" s="104"/>
      <c r="CA244" s="104"/>
      <c r="CB244" s="104"/>
      <c r="CC244" s="104"/>
      <c r="CD244" s="104"/>
      <c r="CE244" s="104"/>
      <c r="CF244" s="104"/>
      <c r="CG244" s="104"/>
      <c r="CH244" s="104"/>
      <c r="CI244" s="104"/>
      <c r="CJ244" s="104"/>
      <c r="CK244" s="104"/>
      <c r="CL244" s="104"/>
      <c r="CM244" s="104"/>
      <c r="CN244" s="104"/>
      <c r="CO244" s="104"/>
      <c r="CP244" s="98"/>
      <c r="CR244" s="101"/>
      <c r="CS244" s="101"/>
      <c r="CT244" s="101"/>
      <c r="CU244" s="101"/>
      <c r="CV244" s="101"/>
      <c r="FL244" s="103"/>
      <c r="FN244" s="103"/>
      <c r="FP244" s="103"/>
      <c r="FR244" s="103"/>
    </row>
    <row r="245" spans="2:174" x14ac:dyDescent="0.35">
      <c r="B245" s="97"/>
      <c r="G245" s="100"/>
      <c r="K245" s="98"/>
      <c r="L245" s="101"/>
      <c r="M245" s="101"/>
      <c r="N245" s="101"/>
      <c r="O245" s="101"/>
      <c r="P245" s="102"/>
      <c r="Q245" s="101"/>
      <c r="R245" s="98"/>
      <c r="S245" s="98"/>
      <c r="T245" s="98"/>
      <c r="U245" s="98"/>
      <c r="V245" s="98"/>
      <c r="W245" s="98"/>
      <c r="X245" s="98"/>
      <c r="Y245" s="98"/>
      <c r="Z245" s="103"/>
      <c r="AA245" s="103"/>
      <c r="AB245" s="103"/>
      <c r="AC245" s="103"/>
      <c r="AD245" s="103"/>
      <c r="AE245" s="103"/>
      <c r="AF245" s="103"/>
      <c r="AG245" s="101"/>
      <c r="AH245" s="101"/>
      <c r="AI245" s="101"/>
      <c r="AJ245" s="101"/>
      <c r="AK245" s="101"/>
      <c r="AL245" s="101"/>
      <c r="AM245" s="101"/>
      <c r="AN245" s="103"/>
      <c r="AO245" s="103"/>
      <c r="AP245" s="103"/>
      <c r="AQ245" s="103"/>
      <c r="AR245" s="103"/>
      <c r="AS245" s="103"/>
      <c r="AT245" s="103"/>
      <c r="AU245" s="101"/>
      <c r="AV245" s="101"/>
      <c r="AW245" s="101"/>
      <c r="AX245" s="101"/>
      <c r="AY245" s="101"/>
      <c r="AZ245" s="101"/>
      <c r="BA245" s="101"/>
      <c r="BB245" s="103"/>
      <c r="BC245" s="103"/>
      <c r="BD245" s="103"/>
      <c r="BE245" s="101"/>
      <c r="BF245" s="101"/>
      <c r="BG245" s="101"/>
      <c r="BH245" s="101"/>
      <c r="BI245" s="101"/>
      <c r="BM245" s="101"/>
      <c r="BN245" s="101"/>
      <c r="BO245" s="101"/>
      <c r="BP245" s="101"/>
      <c r="BQ245" s="101"/>
      <c r="BR245" s="101"/>
      <c r="BS245" s="101"/>
      <c r="BT245" s="104"/>
      <c r="BU245" s="104"/>
      <c r="BV245" s="104"/>
      <c r="BW245" s="104"/>
      <c r="BX245" s="104"/>
      <c r="BY245" s="104"/>
      <c r="BZ245" s="104"/>
      <c r="CA245" s="104"/>
      <c r="CB245" s="104"/>
      <c r="CC245" s="104"/>
      <c r="CD245" s="104"/>
      <c r="CE245" s="104"/>
      <c r="CF245" s="104"/>
      <c r="CG245" s="104"/>
      <c r="CH245" s="104"/>
      <c r="CI245" s="104"/>
      <c r="CJ245" s="104"/>
      <c r="CK245" s="104"/>
      <c r="CL245" s="104"/>
      <c r="CM245" s="104"/>
      <c r="CN245" s="104"/>
      <c r="CO245" s="104"/>
      <c r="CP245" s="98"/>
      <c r="CR245" s="101"/>
      <c r="CS245" s="101"/>
      <c r="CT245" s="101"/>
      <c r="CU245" s="101"/>
      <c r="CV245" s="101"/>
      <c r="FL245" s="103"/>
      <c r="FN245" s="103"/>
      <c r="FP245" s="103"/>
      <c r="FR245" s="103"/>
    </row>
    <row r="246" spans="2:174" x14ac:dyDescent="0.35">
      <c r="B246" s="97"/>
      <c r="G246" s="100"/>
      <c r="K246" s="98"/>
      <c r="L246" s="101"/>
      <c r="M246" s="101"/>
      <c r="N246" s="101"/>
      <c r="O246" s="101"/>
      <c r="P246" s="102"/>
      <c r="Q246" s="101"/>
      <c r="R246" s="98"/>
      <c r="S246" s="98"/>
      <c r="T246" s="98"/>
      <c r="U246" s="98"/>
      <c r="V246" s="98"/>
      <c r="W246" s="98"/>
      <c r="X246" s="98"/>
      <c r="Y246" s="98"/>
      <c r="Z246" s="103"/>
      <c r="AA246" s="103"/>
      <c r="AB246" s="103"/>
      <c r="AC246" s="103"/>
      <c r="AD246" s="103"/>
      <c r="AE246" s="103"/>
      <c r="AF246" s="103"/>
      <c r="AG246" s="101"/>
      <c r="AH246" s="101"/>
      <c r="AI246" s="101"/>
      <c r="AJ246" s="101"/>
      <c r="AK246" s="101"/>
      <c r="AL246" s="101"/>
      <c r="AM246" s="101"/>
      <c r="AN246" s="103"/>
      <c r="AO246" s="103"/>
      <c r="AP246" s="103"/>
      <c r="AQ246" s="103"/>
      <c r="AR246" s="103"/>
      <c r="AS246" s="103"/>
      <c r="AT246" s="103"/>
      <c r="AU246" s="101"/>
      <c r="AV246" s="101"/>
      <c r="AW246" s="101"/>
      <c r="AX246" s="101"/>
      <c r="AY246" s="101"/>
      <c r="AZ246" s="101"/>
      <c r="BA246" s="101"/>
      <c r="BB246" s="103"/>
      <c r="BC246" s="103"/>
      <c r="BD246" s="103"/>
      <c r="BE246" s="101"/>
      <c r="BF246" s="101"/>
      <c r="BG246" s="101"/>
      <c r="BH246" s="101"/>
      <c r="BI246" s="101"/>
      <c r="BM246" s="101"/>
      <c r="BN246" s="101"/>
      <c r="BO246" s="101"/>
      <c r="BP246" s="101"/>
      <c r="BQ246" s="101"/>
      <c r="BR246" s="101"/>
      <c r="BS246" s="101"/>
      <c r="BT246" s="104"/>
      <c r="BU246" s="104"/>
      <c r="BV246" s="104"/>
      <c r="BW246" s="104"/>
      <c r="BX246" s="104"/>
      <c r="BY246" s="104"/>
      <c r="BZ246" s="104"/>
      <c r="CA246" s="104"/>
      <c r="CB246" s="104"/>
      <c r="CC246" s="104"/>
      <c r="CD246" s="104"/>
      <c r="CE246" s="104"/>
      <c r="CF246" s="104"/>
      <c r="CG246" s="104"/>
      <c r="CH246" s="104"/>
      <c r="CI246" s="104"/>
      <c r="CJ246" s="104"/>
      <c r="CK246" s="104"/>
      <c r="CL246" s="104"/>
      <c r="CM246" s="104"/>
      <c r="CN246" s="104"/>
      <c r="CO246" s="104"/>
      <c r="CP246" s="98"/>
      <c r="CR246" s="101"/>
      <c r="CS246" s="101"/>
      <c r="CT246" s="101"/>
      <c r="CU246" s="101"/>
      <c r="CV246" s="101"/>
      <c r="FL246" s="103"/>
      <c r="FN246" s="103"/>
      <c r="FP246" s="103"/>
      <c r="FR246" s="103"/>
    </row>
    <row r="247" spans="2:174" x14ac:dyDescent="0.35">
      <c r="B247" s="97"/>
      <c r="G247" s="100"/>
      <c r="K247" s="98"/>
      <c r="L247" s="101"/>
      <c r="M247" s="101"/>
      <c r="N247" s="101"/>
      <c r="O247" s="101"/>
      <c r="P247" s="102"/>
      <c r="Q247" s="101"/>
      <c r="R247" s="98"/>
      <c r="S247" s="98"/>
      <c r="T247" s="98"/>
      <c r="U247" s="98"/>
      <c r="V247" s="98"/>
      <c r="W247" s="98"/>
      <c r="X247" s="98"/>
      <c r="Y247" s="98"/>
      <c r="Z247" s="103"/>
      <c r="AA247" s="103"/>
      <c r="AB247" s="103"/>
      <c r="AC247" s="103"/>
      <c r="AD247" s="103"/>
      <c r="AE247" s="103"/>
      <c r="AF247" s="103"/>
      <c r="AG247" s="101"/>
      <c r="AH247" s="101"/>
      <c r="AI247" s="101"/>
      <c r="AJ247" s="101"/>
      <c r="AK247" s="101"/>
      <c r="AL247" s="101"/>
      <c r="AM247" s="101"/>
      <c r="AN247" s="103"/>
      <c r="AO247" s="103"/>
      <c r="AP247" s="103"/>
      <c r="AQ247" s="103"/>
      <c r="AR247" s="103"/>
      <c r="AS247" s="103"/>
      <c r="AT247" s="103"/>
      <c r="AU247" s="101"/>
      <c r="AV247" s="101"/>
      <c r="AW247" s="101"/>
      <c r="AX247" s="101"/>
      <c r="AY247" s="101"/>
      <c r="AZ247" s="101"/>
      <c r="BA247" s="101"/>
      <c r="BB247" s="103"/>
      <c r="BC247" s="103"/>
      <c r="BD247" s="103"/>
      <c r="BE247" s="101"/>
      <c r="BF247" s="101"/>
      <c r="BG247" s="101"/>
      <c r="BH247" s="101"/>
      <c r="BI247" s="101"/>
      <c r="BM247" s="101"/>
      <c r="BN247" s="101"/>
      <c r="BO247" s="101"/>
      <c r="BP247" s="101"/>
      <c r="BQ247" s="101"/>
      <c r="BR247" s="101"/>
      <c r="BS247" s="101"/>
      <c r="BT247" s="104"/>
      <c r="BU247" s="104"/>
      <c r="BV247" s="104"/>
      <c r="BW247" s="104"/>
      <c r="BX247" s="104"/>
      <c r="BY247" s="104"/>
      <c r="BZ247" s="104"/>
      <c r="CA247" s="104"/>
      <c r="CB247" s="104"/>
      <c r="CC247" s="104"/>
      <c r="CD247" s="104"/>
      <c r="CE247" s="104"/>
      <c r="CF247" s="104"/>
      <c r="CG247" s="104"/>
      <c r="CH247" s="104"/>
      <c r="CI247" s="104"/>
      <c r="CJ247" s="104"/>
      <c r="CK247" s="104"/>
      <c r="CL247" s="104"/>
      <c r="CM247" s="104"/>
      <c r="CN247" s="104"/>
      <c r="CO247" s="104"/>
      <c r="CP247" s="98"/>
      <c r="CR247" s="101"/>
      <c r="CS247" s="101"/>
      <c r="CT247" s="101"/>
      <c r="CU247" s="101"/>
      <c r="CV247" s="101"/>
      <c r="FL247" s="103"/>
      <c r="FN247" s="103"/>
      <c r="FP247" s="103"/>
      <c r="FR247" s="103"/>
    </row>
    <row r="248" spans="2:174" x14ac:dyDescent="0.35">
      <c r="B248" s="97"/>
      <c r="G248" s="100"/>
      <c r="K248" s="98"/>
      <c r="L248" s="101"/>
      <c r="M248" s="101"/>
      <c r="N248" s="101"/>
      <c r="O248" s="101"/>
      <c r="P248" s="102"/>
      <c r="Q248" s="101"/>
      <c r="R248" s="98"/>
      <c r="S248" s="98"/>
      <c r="T248" s="98"/>
      <c r="U248" s="98"/>
      <c r="V248" s="98"/>
      <c r="W248" s="98"/>
      <c r="X248" s="98"/>
      <c r="Y248" s="98"/>
      <c r="Z248" s="103"/>
      <c r="AA248" s="103"/>
      <c r="AB248" s="103"/>
      <c r="AC248" s="103"/>
      <c r="AD248" s="103"/>
      <c r="AE248" s="103"/>
      <c r="AF248" s="103"/>
      <c r="AG248" s="101"/>
      <c r="AH248" s="101"/>
      <c r="AI248" s="101"/>
      <c r="AJ248" s="101"/>
      <c r="AK248" s="101"/>
      <c r="AL248" s="101"/>
      <c r="AM248" s="101"/>
      <c r="AN248" s="103"/>
      <c r="AO248" s="103"/>
      <c r="AP248" s="103"/>
      <c r="AQ248" s="103"/>
      <c r="AR248" s="103"/>
      <c r="AS248" s="103"/>
      <c r="AT248" s="103"/>
      <c r="AU248" s="101"/>
      <c r="AV248" s="101"/>
      <c r="AW248" s="101"/>
      <c r="AX248" s="101"/>
      <c r="AY248" s="101"/>
      <c r="AZ248" s="101"/>
      <c r="BA248" s="101"/>
      <c r="BB248" s="103"/>
      <c r="BC248" s="103"/>
      <c r="BD248" s="103"/>
      <c r="BE248" s="101"/>
      <c r="BF248" s="101"/>
      <c r="BG248" s="101"/>
      <c r="BH248" s="101"/>
      <c r="BI248" s="101"/>
      <c r="BM248" s="101"/>
      <c r="BN248" s="101"/>
      <c r="BO248" s="101"/>
      <c r="BP248" s="101"/>
      <c r="BQ248" s="101"/>
      <c r="BR248" s="101"/>
      <c r="BS248" s="101"/>
      <c r="BT248" s="104"/>
      <c r="BU248" s="104"/>
      <c r="BV248" s="104"/>
      <c r="BW248" s="104"/>
      <c r="BX248" s="104"/>
      <c r="BY248" s="104"/>
      <c r="BZ248" s="104"/>
      <c r="CA248" s="104"/>
      <c r="CB248" s="104"/>
      <c r="CC248" s="104"/>
      <c r="CD248" s="104"/>
      <c r="CE248" s="104"/>
      <c r="CF248" s="104"/>
      <c r="CG248" s="104"/>
      <c r="CH248" s="104"/>
      <c r="CI248" s="104"/>
      <c r="CJ248" s="104"/>
      <c r="CK248" s="104"/>
      <c r="CL248" s="104"/>
      <c r="CM248" s="104"/>
      <c r="CN248" s="104"/>
      <c r="CO248" s="104"/>
      <c r="CP248" s="98"/>
      <c r="CR248" s="101"/>
      <c r="CS248" s="101"/>
      <c r="CT248" s="101"/>
      <c r="CU248" s="101"/>
      <c r="CV248" s="101"/>
      <c r="FL248" s="103"/>
      <c r="FN248" s="103"/>
      <c r="FP248" s="103"/>
      <c r="FR248" s="103"/>
    </row>
    <row r="249" spans="2:174" x14ac:dyDescent="0.35">
      <c r="B249" s="97"/>
      <c r="G249" s="100"/>
      <c r="K249" s="98"/>
      <c r="L249" s="101"/>
      <c r="M249" s="101"/>
      <c r="N249" s="101"/>
      <c r="O249" s="101"/>
      <c r="P249" s="102"/>
      <c r="Q249" s="101"/>
      <c r="R249" s="98"/>
      <c r="S249" s="98"/>
      <c r="T249" s="98"/>
      <c r="U249" s="98"/>
      <c r="V249" s="98"/>
      <c r="W249" s="98"/>
      <c r="X249" s="98"/>
      <c r="Y249" s="98"/>
      <c r="Z249" s="103"/>
      <c r="AA249" s="103"/>
      <c r="AB249" s="103"/>
      <c r="AC249" s="103"/>
      <c r="AD249" s="103"/>
      <c r="AE249" s="103"/>
      <c r="AF249" s="103"/>
      <c r="AG249" s="101"/>
      <c r="AH249" s="101"/>
      <c r="AI249" s="101"/>
      <c r="AJ249" s="101"/>
      <c r="AK249" s="101"/>
      <c r="AL249" s="101"/>
      <c r="AM249" s="101"/>
      <c r="AN249" s="103"/>
      <c r="AO249" s="103"/>
      <c r="AP249" s="103"/>
      <c r="AQ249" s="103"/>
      <c r="AR249" s="103"/>
      <c r="AS249" s="103"/>
      <c r="AT249" s="103"/>
      <c r="AU249" s="101"/>
      <c r="AV249" s="101"/>
      <c r="AW249" s="101"/>
      <c r="AX249" s="101"/>
      <c r="AY249" s="101"/>
      <c r="AZ249" s="101"/>
      <c r="BA249" s="101"/>
      <c r="BB249" s="103"/>
      <c r="BC249" s="103"/>
      <c r="BD249" s="103"/>
      <c r="BE249" s="101"/>
      <c r="BF249" s="101"/>
      <c r="BG249" s="101"/>
      <c r="BH249" s="101"/>
      <c r="BI249" s="101"/>
      <c r="BM249" s="101"/>
      <c r="BN249" s="101"/>
      <c r="BO249" s="101"/>
      <c r="BP249" s="101"/>
      <c r="BQ249" s="101"/>
      <c r="BR249" s="101"/>
      <c r="BS249" s="101"/>
      <c r="BT249" s="104"/>
      <c r="BU249" s="104"/>
      <c r="BV249" s="104"/>
      <c r="BW249" s="104"/>
      <c r="BX249" s="104"/>
      <c r="BY249" s="104"/>
      <c r="BZ249" s="104"/>
      <c r="CA249" s="104"/>
      <c r="CB249" s="104"/>
      <c r="CC249" s="104"/>
      <c r="CD249" s="104"/>
      <c r="CE249" s="104"/>
      <c r="CF249" s="104"/>
      <c r="CG249" s="104"/>
      <c r="CH249" s="104"/>
      <c r="CI249" s="104"/>
      <c r="CJ249" s="104"/>
      <c r="CK249" s="104"/>
      <c r="CL249" s="104"/>
      <c r="CM249" s="104"/>
      <c r="CN249" s="104"/>
      <c r="CO249" s="104"/>
      <c r="CP249" s="98"/>
      <c r="CR249" s="101"/>
      <c r="CS249" s="101"/>
      <c r="CT249" s="101"/>
      <c r="CU249" s="101"/>
      <c r="CV249" s="101"/>
      <c r="FL249" s="103"/>
      <c r="FN249" s="103"/>
      <c r="FP249" s="103"/>
      <c r="FR249" s="103"/>
    </row>
    <row r="250" spans="2:174" x14ac:dyDescent="0.35">
      <c r="B250" s="97"/>
      <c r="G250" s="100"/>
      <c r="K250" s="98"/>
      <c r="L250" s="101"/>
      <c r="M250" s="101"/>
      <c r="N250" s="101"/>
      <c r="O250" s="101"/>
      <c r="P250" s="102"/>
      <c r="Q250" s="101"/>
      <c r="R250" s="98"/>
      <c r="S250" s="98"/>
      <c r="T250" s="98"/>
      <c r="U250" s="98"/>
      <c r="V250" s="98"/>
      <c r="W250" s="98"/>
      <c r="X250" s="98"/>
      <c r="Y250" s="98"/>
      <c r="Z250" s="103"/>
      <c r="AA250" s="103"/>
      <c r="AB250" s="103"/>
      <c r="AC250" s="103"/>
      <c r="AD250" s="103"/>
      <c r="AE250" s="103"/>
      <c r="AF250" s="103"/>
      <c r="AG250" s="101"/>
      <c r="AH250" s="101"/>
      <c r="AI250" s="101"/>
      <c r="AJ250" s="101"/>
      <c r="AK250" s="101"/>
      <c r="AL250" s="101"/>
      <c r="AM250" s="101"/>
      <c r="AN250" s="103"/>
      <c r="AO250" s="103"/>
      <c r="AP250" s="103"/>
      <c r="AQ250" s="103"/>
      <c r="AR250" s="103"/>
      <c r="AS250" s="103"/>
      <c r="AT250" s="103"/>
      <c r="AU250" s="101"/>
      <c r="AV250" s="101"/>
      <c r="AW250" s="101"/>
      <c r="AX250" s="101"/>
      <c r="AY250" s="101"/>
      <c r="AZ250" s="101"/>
      <c r="BA250" s="101"/>
      <c r="BB250" s="103"/>
      <c r="BC250" s="103"/>
      <c r="BD250" s="103"/>
      <c r="BE250" s="101"/>
      <c r="BF250" s="101"/>
      <c r="BG250" s="101"/>
      <c r="BH250" s="101"/>
      <c r="BI250" s="101"/>
      <c r="BM250" s="101"/>
      <c r="BN250" s="101"/>
      <c r="BO250" s="101"/>
      <c r="BP250" s="101"/>
      <c r="BQ250" s="101"/>
      <c r="BR250" s="101"/>
      <c r="BS250" s="101"/>
      <c r="BT250" s="104"/>
      <c r="BU250" s="104"/>
      <c r="BV250" s="104"/>
      <c r="BW250" s="104"/>
      <c r="BX250" s="104"/>
      <c r="BY250" s="104"/>
      <c r="BZ250" s="104"/>
      <c r="CA250" s="104"/>
      <c r="CB250" s="104"/>
      <c r="CC250" s="104"/>
      <c r="CD250" s="104"/>
      <c r="CE250" s="104"/>
      <c r="CF250" s="104"/>
      <c r="CG250" s="104"/>
      <c r="CH250" s="104"/>
      <c r="CI250" s="104"/>
      <c r="CJ250" s="104"/>
      <c r="CK250" s="104"/>
      <c r="CL250" s="104"/>
      <c r="CM250" s="104"/>
      <c r="CN250" s="104"/>
      <c r="CO250" s="104"/>
      <c r="CP250" s="98"/>
      <c r="CR250" s="101"/>
      <c r="CS250" s="101"/>
      <c r="CT250" s="101"/>
      <c r="CU250" s="101"/>
      <c r="CV250" s="101"/>
      <c r="FL250" s="103"/>
      <c r="FN250" s="103"/>
      <c r="FP250" s="103"/>
      <c r="FR250" s="103"/>
    </row>
    <row r="251" spans="2:174" x14ac:dyDescent="0.35">
      <c r="B251" s="97"/>
      <c r="G251" s="100"/>
      <c r="K251" s="98"/>
      <c r="L251" s="101"/>
      <c r="M251" s="101"/>
      <c r="N251" s="101"/>
      <c r="O251" s="101"/>
      <c r="P251" s="102"/>
      <c r="Q251" s="101"/>
      <c r="R251" s="98"/>
      <c r="S251" s="98"/>
      <c r="T251" s="98"/>
      <c r="U251" s="98"/>
      <c r="V251" s="98"/>
      <c r="W251" s="98"/>
      <c r="X251" s="98"/>
      <c r="Y251" s="98"/>
      <c r="Z251" s="103"/>
      <c r="AA251" s="103"/>
      <c r="AB251" s="103"/>
      <c r="AC251" s="103"/>
      <c r="AD251" s="103"/>
      <c r="AE251" s="103"/>
      <c r="AF251" s="103"/>
      <c r="AG251" s="101"/>
      <c r="AH251" s="101"/>
      <c r="AI251" s="101"/>
      <c r="AJ251" s="101"/>
      <c r="AK251" s="101"/>
      <c r="AL251" s="101"/>
      <c r="AM251" s="101"/>
      <c r="AN251" s="103"/>
      <c r="AO251" s="103"/>
      <c r="AP251" s="103"/>
      <c r="AQ251" s="103"/>
      <c r="AR251" s="103"/>
      <c r="AS251" s="103"/>
      <c r="AT251" s="103"/>
      <c r="AU251" s="101"/>
      <c r="AV251" s="101"/>
      <c r="AW251" s="101"/>
      <c r="AX251" s="101"/>
      <c r="AY251" s="101"/>
      <c r="AZ251" s="101"/>
      <c r="BA251" s="101"/>
      <c r="BB251" s="103"/>
      <c r="BC251" s="103"/>
      <c r="BD251" s="103"/>
      <c r="BE251" s="101"/>
      <c r="BF251" s="101"/>
      <c r="BG251" s="101"/>
      <c r="BH251" s="101"/>
      <c r="BI251" s="101"/>
      <c r="BM251" s="101"/>
      <c r="BN251" s="101"/>
      <c r="BO251" s="101"/>
      <c r="BP251" s="101"/>
      <c r="BQ251" s="101"/>
      <c r="BR251" s="101"/>
      <c r="BS251" s="101"/>
      <c r="BT251" s="104"/>
      <c r="BU251" s="104"/>
      <c r="BV251" s="104"/>
      <c r="BW251" s="104"/>
      <c r="BX251" s="104"/>
      <c r="BY251" s="104"/>
      <c r="BZ251" s="104"/>
      <c r="CA251" s="104"/>
      <c r="CB251" s="104"/>
      <c r="CC251" s="104"/>
      <c r="CD251" s="104"/>
      <c r="CE251" s="104"/>
      <c r="CF251" s="104"/>
      <c r="CG251" s="104"/>
      <c r="CH251" s="104"/>
      <c r="CI251" s="104"/>
      <c r="CJ251" s="104"/>
      <c r="CK251" s="104"/>
      <c r="CL251" s="104"/>
      <c r="CM251" s="104"/>
      <c r="CN251" s="104"/>
      <c r="CO251" s="104"/>
      <c r="CP251" s="98"/>
      <c r="CR251" s="101"/>
      <c r="CS251" s="101"/>
      <c r="CT251" s="101"/>
      <c r="CU251" s="101"/>
      <c r="CV251" s="101"/>
      <c r="FL251" s="103"/>
      <c r="FN251" s="103"/>
      <c r="FP251" s="103"/>
      <c r="FR251" s="103"/>
    </row>
    <row r="252" spans="2:174" x14ac:dyDescent="0.35">
      <c r="B252" s="97"/>
      <c r="G252" s="100"/>
      <c r="K252" s="98"/>
      <c r="L252" s="101"/>
      <c r="M252" s="101"/>
      <c r="N252" s="101"/>
      <c r="O252" s="101"/>
      <c r="P252" s="102"/>
      <c r="Q252" s="101"/>
      <c r="R252" s="98"/>
      <c r="S252" s="98"/>
      <c r="T252" s="98"/>
      <c r="U252" s="98"/>
      <c r="V252" s="98"/>
      <c r="W252" s="98"/>
      <c r="X252" s="98"/>
      <c r="Y252" s="98"/>
      <c r="Z252" s="103"/>
      <c r="AA252" s="103"/>
      <c r="AB252" s="103"/>
      <c r="AC252" s="103"/>
      <c r="AD252" s="103"/>
      <c r="AE252" s="103"/>
      <c r="AF252" s="103"/>
      <c r="AG252" s="101"/>
      <c r="AH252" s="101"/>
      <c r="AI252" s="101"/>
      <c r="AJ252" s="101"/>
      <c r="AK252" s="101"/>
      <c r="AL252" s="101"/>
      <c r="AM252" s="101"/>
      <c r="AN252" s="103"/>
      <c r="AO252" s="103"/>
      <c r="AP252" s="103"/>
      <c r="AQ252" s="103"/>
      <c r="AR252" s="103"/>
      <c r="AS252" s="103"/>
      <c r="AT252" s="103"/>
      <c r="AU252" s="101"/>
      <c r="AV252" s="101"/>
      <c r="AW252" s="101"/>
      <c r="AX252" s="101"/>
      <c r="AY252" s="101"/>
      <c r="AZ252" s="101"/>
      <c r="BA252" s="101"/>
      <c r="BB252" s="103"/>
      <c r="BC252" s="103"/>
      <c r="BD252" s="103"/>
      <c r="BE252" s="101"/>
      <c r="BF252" s="101"/>
      <c r="BG252" s="101"/>
      <c r="BH252" s="101"/>
      <c r="BI252" s="101"/>
      <c r="BM252" s="101"/>
      <c r="BN252" s="101"/>
      <c r="BO252" s="101"/>
      <c r="BP252" s="101"/>
      <c r="BQ252" s="101"/>
      <c r="BR252" s="101"/>
      <c r="BS252" s="101"/>
      <c r="BT252" s="104"/>
      <c r="BU252" s="104"/>
      <c r="BV252" s="104"/>
      <c r="BW252" s="104"/>
      <c r="BX252" s="104"/>
      <c r="BY252" s="104"/>
      <c r="BZ252" s="104"/>
      <c r="CA252" s="104"/>
      <c r="CB252" s="104"/>
      <c r="CC252" s="104"/>
      <c r="CD252" s="104"/>
      <c r="CE252" s="104"/>
      <c r="CF252" s="104"/>
      <c r="CG252" s="104"/>
      <c r="CH252" s="104"/>
      <c r="CI252" s="104"/>
      <c r="CJ252" s="104"/>
      <c r="CK252" s="104"/>
      <c r="CL252" s="104"/>
      <c r="CM252" s="104"/>
      <c r="CN252" s="104"/>
      <c r="CO252" s="104"/>
      <c r="CP252" s="98"/>
      <c r="CR252" s="101"/>
      <c r="CS252" s="101"/>
      <c r="CT252" s="101"/>
      <c r="CU252" s="101"/>
      <c r="CV252" s="101"/>
      <c r="FL252" s="103"/>
      <c r="FN252" s="103"/>
      <c r="FP252" s="103"/>
      <c r="FR252" s="103"/>
    </row>
    <row r="253" spans="2:174" x14ac:dyDescent="0.35">
      <c r="B253" s="97"/>
      <c r="G253" s="100"/>
      <c r="K253" s="98"/>
      <c r="L253" s="101"/>
      <c r="M253" s="101"/>
      <c r="N253" s="101"/>
      <c r="O253" s="101"/>
      <c r="P253" s="102"/>
      <c r="Q253" s="101"/>
      <c r="R253" s="98"/>
      <c r="S253" s="98"/>
      <c r="T253" s="98"/>
      <c r="U253" s="98"/>
      <c r="V253" s="98"/>
      <c r="W253" s="98"/>
      <c r="X253" s="98"/>
      <c r="Y253" s="98"/>
      <c r="Z253" s="103"/>
      <c r="AA253" s="103"/>
      <c r="AB253" s="103"/>
      <c r="AC253" s="103"/>
      <c r="AD253" s="103"/>
      <c r="AE253" s="103"/>
      <c r="AF253" s="103"/>
      <c r="AG253" s="101"/>
      <c r="AH253" s="101"/>
      <c r="AI253" s="101"/>
      <c r="AJ253" s="101"/>
      <c r="AK253" s="101"/>
      <c r="AL253" s="101"/>
      <c r="AM253" s="101"/>
      <c r="AN253" s="103"/>
      <c r="AO253" s="103"/>
      <c r="AP253" s="103"/>
      <c r="AQ253" s="103"/>
      <c r="AR253" s="103"/>
      <c r="AS253" s="103"/>
      <c r="AT253" s="103"/>
      <c r="AU253" s="101"/>
      <c r="AV253" s="101"/>
      <c r="AW253" s="101"/>
      <c r="AX253" s="101"/>
      <c r="AY253" s="101"/>
      <c r="AZ253" s="101"/>
      <c r="BA253" s="101"/>
      <c r="BB253" s="103"/>
      <c r="BC253" s="103"/>
      <c r="BD253" s="103"/>
      <c r="BE253" s="101"/>
      <c r="BF253" s="101"/>
      <c r="BG253" s="101"/>
      <c r="BH253" s="101"/>
      <c r="BI253" s="101"/>
      <c r="BM253" s="101"/>
      <c r="BN253" s="101"/>
      <c r="BO253" s="101"/>
      <c r="BP253" s="101"/>
      <c r="BQ253" s="101"/>
      <c r="BR253" s="101"/>
      <c r="BS253" s="101"/>
      <c r="BT253" s="104"/>
      <c r="BU253" s="104"/>
      <c r="BV253" s="104"/>
      <c r="BW253" s="104"/>
      <c r="BX253" s="104"/>
      <c r="BY253" s="104"/>
      <c r="BZ253" s="104"/>
      <c r="CA253" s="104"/>
      <c r="CB253" s="104"/>
      <c r="CC253" s="104"/>
      <c r="CD253" s="104"/>
      <c r="CE253" s="104"/>
      <c r="CF253" s="104"/>
      <c r="CG253" s="104"/>
      <c r="CH253" s="104"/>
      <c r="CI253" s="104"/>
      <c r="CJ253" s="104"/>
      <c r="CK253" s="104"/>
      <c r="CL253" s="104"/>
      <c r="CM253" s="104"/>
      <c r="CN253" s="104"/>
      <c r="CO253" s="104"/>
      <c r="CP253" s="98"/>
      <c r="CR253" s="101"/>
      <c r="CS253" s="101"/>
      <c r="CT253" s="101"/>
      <c r="CU253" s="101"/>
      <c r="CV253" s="101"/>
      <c r="FL253" s="103"/>
      <c r="FN253" s="103"/>
      <c r="FP253" s="103"/>
      <c r="FR253" s="103"/>
    </row>
    <row r="254" spans="2:174" x14ac:dyDescent="0.35">
      <c r="B254" s="97"/>
      <c r="G254" s="100"/>
      <c r="K254" s="98"/>
      <c r="L254" s="101"/>
      <c r="M254" s="101"/>
      <c r="N254" s="101"/>
      <c r="O254" s="101"/>
      <c r="P254" s="102"/>
      <c r="Q254" s="101"/>
      <c r="R254" s="98"/>
      <c r="S254" s="98"/>
      <c r="T254" s="98"/>
      <c r="U254" s="98"/>
      <c r="V254" s="98"/>
      <c r="W254" s="98"/>
      <c r="X254" s="98"/>
      <c r="Y254" s="98"/>
      <c r="Z254" s="103"/>
      <c r="AA254" s="103"/>
      <c r="AB254" s="103"/>
      <c r="AC254" s="103"/>
      <c r="AD254" s="103"/>
      <c r="AE254" s="103"/>
      <c r="AF254" s="103"/>
      <c r="AG254" s="101"/>
      <c r="AH254" s="101"/>
      <c r="AI254" s="101"/>
      <c r="AJ254" s="101"/>
      <c r="AK254" s="101"/>
      <c r="AL254" s="101"/>
      <c r="AM254" s="101"/>
      <c r="AN254" s="103"/>
      <c r="AO254" s="103"/>
      <c r="AP254" s="103"/>
      <c r="AQ254" s="103"/>
      <c r="AR254" s="103"/>
      <c r="AS254" s="103"/>
      <c r="AT254" s="103"/>
      <c r="AU254" s="101"/>
      <c r="AV254" s="101"/>
      <c r="AW254" s="101"/>
      <c r="AX254" s="101"/>
      <c r="AY254" s="101"/>
      <c r="AZ254" s="101"/>
      <c r="BA254" s="101"/>
      <c r="BB254" s="103"/>
      <c r="BC254" s="103"/>
      <c r="BD254" s="103"/>
      <c r="BE254" s="101"/>
      <c r="BF254" s="101"/>
      <c r="BG254" s="101"/>
      <c r="BH254" s="101"/>
      <c r="BI254" s="101"/>
      <c r="BM254" s="101"/>
      <c r="BN254" s="101"/>
      <c r="BO254" s="101"/>
      <c r="BP254" s="101"/>
      <c r="BQ254" s="101"/>
      <c r="BR254" s="101"/>
      <c r="BS254" s="101"/>
      <c r="BT254" s="104"/>
      <c r="BU254" s="104"/>
      <c r="BV254" s="104"/>
      <c r="BW254" s="104"/>
      <c r="BX254" s="104"/>
      <c r="BY254" s="104"/>
      <c r="BZ254" s="104"/>
      <c r="CA254" s="104"/>
      <c r="CB254" s="104"/>
      <c r="CC254" s="104"/>
      <c r="CD254" s="104"/>
      <c r="CE254" s="104"/>
      <c r="CF254" s="104"/>
      <c r="CG254" s="104"/>
      <c r="CH254" s="104"/>
      <c r="CI254" s="104"/>
      <c r="CJ254" s="104"/>
      <c r="CK254" s="104"/>
      <c r="CL254" s="104"/>
      <c r="CM254" s="104"/>
      <c r="CN254" s="104"/>
      <c r="CO254" s="104"/>
      <c r="CP254" s="98"/>
      <c r="CR254" s="101"/>
      <c r="CS254" s="101"/>
      <c r="CT254" s="101"/>
      <c r="CU254" s="101"/>
      <c r="CV254" s="101"/>
      <c r="FL254" s="103"/>
      <c r="FN254" s="103"/>
      <c r="FP254" s="103"/>
      <c r="FR254" s="103"/>
    </row>
    <row r="255" spans="2:174" x14ac:dyDescent="0.35">
      <c r="B255" s="97"/>
      <c r="G255" s="100"/>
      <c r="K255" s="98"/>
      <c r="L255" s="101"/>
      <c r="M255" s="101"/>
      <c r="N255" s="101"/>
      <c r="O255" s="101"/>
      <c r="P255" s="102"/>
      <c r="Q255" s="101"/>
      <c r="R255" s="98"/>
      <c r="S255" s="98"/>
      <c r="T255" s="98"/>
      <c r="U255" s="98"/>
      <c r="V255" s="98"/>
      <c r="W255" s="98"/>
      <c r="X255" s="98"/>
      <c r="Y255" s="98"/>
      <c r="Z255" s="103"/>
      <c r="AA255" s="103"/>
      <c r="AB255" s="103"/>
      <c r="AC255" s="103"/>
      <c r="AD255" s="103"/>
      <c r="AE255" s="103"/>
      <c r="AF255" s="103"/>
      <c r="AG255" s="101"/>
      <c r="AH255" s="101"/>
      <c r="AI255" s="101"/>
      <c r="AJ255" s="101"/>
      <c r="AK255" s="101"/>
      <c r="AL255" s="101"/>
      <c r="AM255" s="101"/>
      <c r="AN255" s="103"/>
      <c r="AO255" s="103"/>
      <c r="AP255" s="103"/>
      <c r="AQ255" s="103"/>
      <c r="AR255" s="103"/>
      <c r="AS255" s="103"/>
      <c r="AT255" s="103"/>
      <c r="AU255" s="101"/>
      <c r="AV255" s="101"/>
      <c r="AW255" s="101"/>
      <c r="AX255" s="101"/>
      <c r="AY255" s="101"/>
      <c r="AZ255" s="101"/>
      <c r="BA255" s="101"/>
      <c r="BB255" s="103"/>
      <c r="BC255" s="103"/>
      <c r="BD255" s="103"/>
      <c r="BE255" s="101"/>
      <c r="BF255" s="101"/>
      <c r="BG255" s="101"/>
      <c r="BH255" s="101"/>
      <c r="BI255" s="101"/>
      <c r="BM255" s="101"/>
      <c r="BN255" s="101"/>
      <c r="BO255" s="101"/>
      <c r="BP255" s="101"/>
      <c r="BQ255" s="101"/>
      <c r="BR255" s="101"/>
      <c r="BS255" s="101"/>
      <c r="BT255" s="104"/>
      <c r="BU255" s="104"/>
      <c r="BV255" s="104"/>
      <c r="BW255" s="104"/>
      <c r="BX255" s="104"/>
      <c r="BY255" s="104"/>
      <c r="BZ255" s="104"/>
      <c r="CA255" s="104"/>
      <c r="CB255" s="104"/>
      <c r="CC255" s="104"/>
      <c r="CD255" s="104"/>
      <c r="CE255" s="104"/>
      <c r="CF255" s="104"/>
      <c r="CG255" s="104"/>
      <c r="CH255" s="104"/>
      <c r="CI255" s="104"/>
      <c r="CJ255" s="104"/>
      <c r="CK255" s="104"/>
      <c r="CL255" s="104"/>
      <c r="CM255" s="104"/>
      <c r="CN255" s="104"/>
      <c r="CO255" s="104"/>
      <c r="CP255" s="98"/>
      <c r="CR255" s="101"/>
      <c r="CS255" s="101"/>
      <c r="CT255" s="101"/>
      <c r="CU255" s="101"/>
      <c r="CV255" s="101"/>
      <c r="FL255" s="103"/>
      <c r="FN255" s="103"/>
      <c r="FP255" s="103"/>
      <c r="FR255" s="103"/>
    </row>
    <row r="256" spans="2:174" x14ac:dyDescent="0.35">
      <c r="B256" s="97"/>
      <c r="G256" s="100"/>
      <c r="K256" s="98"/>
      <c r="L256" s="101"/>
      <c r="M256" s="101"/>
      <c r="N256" s="101"/>
      <c r="O256" s="101"/>
      <c r="P256" s="102"/>
      <c r="Q256" s="101"/>
      <c r="R256" s="98"/>
      <c r="S256" s="98"/>
      <c r="T256" s="98"/>
      <c r="U256" s="98"/>
      <c r="V256" s="98"/>
      <c r="W256" s="98"/>
      <c r="X256" s="98"/>
      <c r="Y256" s="98"/>
      <c r="Z256" s="103"/>
      <c r="AA256" s="103"/>
      <c r="AB256" s="103"/>
      <c r="AC256" s="103"/>
      <c r="AD256" s="103"/>
      <c r="AE256" s="103"/>
      <c r="AF256" s="103"/>
      <c r="AG256" s="101"/>
      <c r="AH256" s="101"/>
      <c r="AI256" s="101"/>
      <c r="AJ256" s="101"/>
      <c r="AK256" s="101"/>
      <c r="AL256" s="101"/>
      <c r="AM256" s="101"/>
      <c r="AN256" s="103"/>
      <c r="AO256" s="103"/>
      <c r="AP256" s="103"/>
      <c r="AQ256" s="103"/>
      <c r="AR256" s="103"/>
      <c r="AS256" s="103"/>
      <c r="AT256" s="103"/>
      <c r="AU256" s="101"/>
      <c r="AV256" s="101"/>
      <c r="AW256" s="101"/>
      <c r="AX256" s="101"/>
      <c r="AY256" s="101"/>
      <c r="AZ256" s="101"/>
      <c r="BA256" s="101"/>
      <c r="BB256" s="103"/>
      <c r="BC256" s="103"/>
      <c r="BD256" s="103"/>
      <c r="BE256" s="101"/>
      <c r="BF256" s="101"/>
      <c r="BG256" s="101"/>
      <c r="BH256" s="101"/>
      <c r="BI256" s="101"/>
      <c r="BM256" s="101"/>
      <c r="BN256" s="101"/>
      <c r="BO256" s="101"/>
      <c r="BP256" s="101"/>
      <c r="BQ256" s="101"/>
      <c r="BR256" s="101"/>
      <c r="BS256" s="101"/>
      <c r="BT256" s="104"/>
      <c r="BU256" s="104"/>
      <c r="BV256" s="104"/>
      <c r="BW256" s="104"/>
      <c r="BX256" s="104"/>
      <c r="BY256" s="104"/>
      <c r="BZ256" s="104"/>
      <c r="CA256" s="104"/>
      <c r="CB256" s="104"/>
      <c r="CC256" s="104"/>
      <c r="CD256" s="104"/>
      <c r="CE256" s="104"/>
      <c r="CF256" s="104"/>
      <c r="CG256" s="104"/>
      <c r="CH256" s="104"/>
      <c r="CI256" s="104"/>
      <c r="CJ256" s="104"/>
      <c r="CK256" s="104"/>
      <c r="CL256" s="104"/>
      <c r="CM256" s="104"/>
      <c r="CN256" s="104"/>
      <c r="CO256" s="104"/>
      <c r="CP256" s="98"/>
      <c r="CR256" s="101"/>
      <c r="CS256" s="101"/>
      <c r="CT256" s="101"/>
      <c r="CU256" s="101"/>
      <c r="CV256" s="101"/>
      <c r="FL256" s="103"/>
      <c r="FN256" s="103"/>
      <c r="FP256" s="103"/>
      <c r="FR256" s="103"/>
    </row>
    <row r="257" spans="2:174" x14ac:dyDescent="0.35">
      <c r="B257" s="97"/>
      <c r="G257" s="100"/>
      <c r="K257" s="98"/>
      <c r="L257" s="101"/>
      <c r="M257" s="101"/>
      <c r="N257" s="101"/>
      <c r="O257" s="101"/>
      <c r="P257" s="102"/>
      <c r="Q257" s="101"/>
      <c r="R257" s="98"/>
      <c r="S257" s="98"/>
      <c r="T257" s="98"/>
      <c r="U257" s="98"/>
      <c r="V257" s="98"/>
      <c r="W257" s="98"/>
      <c r="X257" s="98"/>
      <c r="Y257" s="98"/>
      <c r="Z257" s="103"/>
      <c r="AA257" s="103"/>
      <c r="AB257" s="103"/>
      <c r="AC257" s="103"/>
      <c r="AD257" s="103"/>
      <c r="AE257" s="103"/>
      <c r="AF257" s="103"/>
      <c r="AG257" s="101"/>
      <c r="AH257" s="101"/>
      <c r="AI257" s="101"/>
      <c r="AJ257" s="101"/>
      <c r="AK257" s="101"/>
      <c r="AL257" s="101"/>
      <c r="AM257" s="101"/>
      <c r="AN257" s="103"/>
      <c r="AO257" s="103"/>
      <c r="AP257" s="103"/>
      <c r="AQ257" s="103"/>
      <c r="AR257" s="103"/>
      <c r="AS257" s="103"/>
      <c r="AT257" s="103"/>
      <c r="AU257" s="101"/>
      <c r="AV257" s="101"/>
      <c r="AW257" s="101"/>
      <c r="AX257" s="101"/>
      <c r="AY257" s="101"/>
      <c r="AZ257" s="101"/>
      <c r="BA257" s="101"/>
      <c r="BB257" s="103"/>
      <c r="BC257" s="103"/>
      <c r="BD257" s="103"/>
      <c r="BE257" s="101"/>
      <c r="BF257" s="101"/>
      <c r="BG257" s="101"/>
      <c r="BH257" s="101"/>
      <c r="BI257" s="101"/>
      <c r="BM257" s="101"/>
      <c r="BN257" s="101"/>
      <c r="BO257" s="101"/>
      <c r="BP257" s="101"/>
      <c r="BQ257" s="101"/>
      <c r="BR257" s="101"/>
      <c r="BS257" s="101"/>
      <c r="BT257" s="104"/>
      <c r="BU257" s="104"/>
      <c r="BV257" s="104"/>
      <c r="BW257" s="104"/>
      <c r="BX257" s="104"/>
      <c r="BY257" s="104"/>
      <c r="BZ257" s="104"/>
      <c r="CA257" s="104"/>
      <c r="CB257" s="104"/>
      <c r="CC257" s="104"/>
      <c r="CD257" s="104"/>
      <c r="CE257" s="104"/>
      <c r="CF257" s="104"/>
      <c r="CG257" s="104"/>
      <c r="CH257" s="104"/>
      <c r="CI257" s="104"/>
      <c r="CJ257" s="104"/>
      <c r="CK257" s="104"/>
      <c r="CL257" s="104"/>
      <c r="CM257" s="104"/>
      <c r="CN257" s="104"/>
      <c r="CO257" s="104"/>
      <c r="CP257" s="98"/>
      <c r="CR257" s="101"/>
      <c r="CS257" s="101"/>
      <c r="CT257" s="101"/>
      <c r="CU257" s="101"/>
      <c r="CV257" s="101"/>
      <c r="FL257" s="103"/>
      <c r="FN257" s="103"/>
      <c r="FP257" s="103"/>
      <c r="FR257" s="103"/>
    </row>
    <row r="258" spans="2:174" x14ac:dyDescent="0.35">
      <c r="B258" s="97"/>
      <c r="G258" s="100"/>
      <c r="K258" s="98"/>
      <c r="L258" s="101"/>
      <c r="M258" s="101"/>
      <c r="N258" s="101"/>
      <c r="O258" s="101"/>
      <c r="P258" s="102"/>
      <c r="Q258" s="101"/>
      <c r="R258" s="98"/>
      <c r="S258" s="98"/>
      <c r="T258" s="98"/>
      <c r="U258" s="98"/>
      <c r="V258" s="98"/>
      <c r="W258" s="98"/>
      <c r="X258" s="98"/>
      <c r="Y258" s="98"/>
      <c r="Z258" s="103"/>
      <c r="AA258" s="103"/>
      <c r="AB258" s="103"/>
      <c r="AC258" s="103"/>
      <c r="AD258" s="103"/>
      <c r="AE258" s="103"/>
      <c r="AF258" s="103"/>
      <c r="AG258" s="101"/>
      <c r="AH258" s="101"/>
      <c r="AI258" s="101"/>
      <c r="AJ258" s="101"/>
      <c r="AK258" s="101"/>
      <c r="AL258" s="101"/>
      <c r="AM258" s="101"/>
      <c r="AN258" s="103"/>
      <c r="AO258" s="103"/>
      <c r="AP258" s="103"/>
      <c r="AQ258" s="103"/>
      <c r="AR258" s="103"/>
      <c r="AS258" s="103"/>
      <c r="AT258" s="103"/>
      <c r="AU258" s="101"/>
      <c r="AV258" s="101"/>
      <c r="AW258" s="101"/>
      <c r="AX258" s="101"/>
      <c r="AY258" s="101"/>
      <c r="AZ258" s="101"/>
      <c r="BA258" s="101"/>
      <c r="BB258" s="103"/>
      <c r="BC258" s="103"/>
      <c r="BD258" s="103"/>
      <c r="BE258" s="101"/>
      <c r="BF258" s="101"/>
      <c r="BG258" s="101"/>
      <c r="BH258" s="101"/>
      <c r="BI258" s="101"/>
      <c r="BM258" s="101"/>
      <c r="BN258" s="101"/>
      <c r="BO258" s="101"/>
      <c r="BP258" s="101"/>
      <c r="BQ258" s="101"/>
      <c r="BR258" s="101"/>
      <c r="BS258" s="101"/>
      <c r="BT258" s="104"/>
      <c r="BU258" s="104"/>
      <c r="BV258" s="104"/>
      <c r="BW258" s="104"/>
      <c r="BX258" s="104"/>
      <c r="BY258" s="104"/>
      <c r="BZ258" s="104"/>
      <c r="CA258" s="104"/>
      <c r="CB258" s="104"/>
      <c r="CC258" s="104"/>
      <c r="CD258" s="104"/>
      <c r="CE258" s="104"/>
      <c r="CF258" s="104"/>
      <c r="CG258" s="104"/>
      <c r="CH258" s="104"/>
      <c r="CI258" s="104"/>
      <c r="CJ258" s="104"/>
      <c r="CK258" s="104"/>
      <c r="CL258" s="104"/>
      <c r="CM258" s="104"/>
      <c r="CN258" s="104"/>
      <c r="CO258" s="104"/>
      <c r="CP258" s="98"/>
      <c r="CR258" s="101"/>
      <c r="CS258" s="101"/>
      <c r="CT258" s="101"/>
      <c r="CU258" s="101"/>
      <c r="CV258" s="101"/>
      <c r="FL258" s="103"/>
      <c r="FN258" s="103"/>
      <c r="FP258" s="103"/>
      <c r="FR258" s="103"/>
    </row>
    <row r="259" spans="2:174" x14ac:dyDescent="0.35">
      <c r="B259" s="97"/>
      <c r="G259" s="100"/>
      <c r="K259" s="98"/>
      <c r="L259" s="101"/>
      <c r="M259" s="101"/>
      <c r="N259" s="101"/>
      <c r="O259" s="101"/>
      <c r="P259" s="102"/>
      <c r="Q259" s="101"/>
      <c r="R259" s="98"/>
      <c r="S259" s="98"/>
      <c r="T259" s="98"/>
      <c r="U259" s="98"/>
      <c r="V259" s="98"/>
      <c r="W259" s="98"/>
      <c r="X259" s="98"/>
      <c r="Y259" s="98"/>
      <c r="Z259" s="103"/>
      <c r="AA259" s="103"/>
      <c r="AB259" s="103"/>
      <c r="AC259" s="103"/>
      <c r="AD259" s="103"/>
      <c r="AE259" s="103"/>
      <c r="AF259" s="103"/>
      <c r="AG259" s="101"/>
      <c r="AH259" s="101"/>
      <c r="AI259" s="101"/>
      <c r="AJ259" s="101"/>
      <c r="AK259" s="101"/>
      <c r="AL259" s="101"/>
      <c r="AM259" s="101"/>
      <c r="AN259" s="103"/>
      <c r="AO259" s="103"/>
      <c r="AP259" s="103"/>
      <c r="AQ259" s="103"/>
      <c r="AR259" s="103"/>
      <c r="AS259" s="103"/>
      <c r="AT259" s="103"/>
      <c r="AU259" s="101"/>
      <c r="AV259" s="101"/>
      <c r="AW259" s="101"/>
      <c r="AX259" s="101"/>
      <c r="AY259" s="101"/>
      <c r="AZ259" s="101"/>
      <c r="BA259" s="101"/>
      <c r="BB259" s="103"/>
      <c r="BC259" s="103"/>
      <c r="BD259" s="103"/>
      <c r="BE259" s="101"/>
      <c r="BF259" s="101"/>
      <c r="BG259" s="101"/>
      <c r="BH259" s="101"/>
      <c r="BI259" s="101"/>
      <c r="BM259" s="101"/>
      <c r="BN259" s="101"/>
      <c r="BO259" s="101"/>
      <c r="BP259" s="101"/>
      <c r="BQ259" s="101"/>
      <c r="BR259" s="101"/>
      <c r="BS259" s="101"/>
      <c r="BT259" s="104"/>
      <c r="BU259" s="104"/>
      <c r="BV259" s="104"/>
      <c r="BW259" s="104"/>
      <c r="BX259" s="104"/>
      <c r="BY259" s="104"/>
      <c r="BZ259" s="104"/>
      <c r="CA259" s="104"/>
      <c r="CB259" s="104"/>
      <c r="CC259" s="104"/>
      <c r="CD259" s="104"/>
      <c r="CE259" s="104"/>
      <c r="CF259" s="104"/>
      <c r="CG259" s="104"/>
      <c r="CH259" s="104"/>
      <c r="CI259" s="104"/>
      <c r="CJ259" s="104"/>
      <c r="CK259" s="104"/>
      <c r="CL259" s="104"/>
      <c r="CM259" s="104"/>
      <c r="CN259" s="104"/>
      <c r="CO259" s="104"/>
      <c r="CP259" s="98"/>
      <c r="CR259" s="101"/>
      <c r="CS259" s="101"/>
      <c r="CT259" s="101"/>
      <c r="CU259" s="101"/>
      <c r="CV259" s="101"/>
      <c r="FL259" s="103"/>
      <c r="FN259" s="103"/>
      <c r="FP259" s="103"/>
      <c r="FR259" s="103"/>
    </row>
    <row r="260" spans="2:174" x14ac:dyDescent="0.35">
      <c r="B260" s="97"/>
      <c r="G260" s="100"/>
      <c r="K260" s="98"/>
      <c r="L260" s="101"/>
      <c r="M260" s="101"/>
      <c r="N260" s="101"/>
      <c r="O260" s="101"/>
      <c r="P260" s="102"/>
      <c r="Q260" s="101"/>
      <c r="R260" s="98"/>
      <c r="S260" s="98"/>
      <c r="T260" s="98"/>
      <c r="U260" s="98"/>
      <c r="V260" s="98"/>
      <c r="W260" s="98"/>
      <c r="X260" s="98"/>
      <c r="Y260" s="98"/>
      <c r="Z260" s="103"/>
      <c r="AA260" s="103"/>
      <c r="AB260" s="103"/>
      <c r="AC260" s="103"/>
      <c r="AD260" s="103"/>
      <c r="AE260" s="103"/>
      <c r="AF260" s="103"/>
      <c r="AG260" s="101"/>
      <c r="AH260" s="101"/>
      <c r="AI260" s="101"/>
      <c r="AJ260" s="101"/>
      <c r="AK260" s="101"/>
      <c r="AL260" s="101"/>
      <c r="AM260" s="101"/>
      <c r="AN260" s="103"/>
      <c r="AO260" s="103"/>
      <c r="AP260" s="103"/>
      <c r="AQ260" s="103"/>
      <c r="AR260" s="103"/>
      <c r="AS260" s="103"/>
      <c r="AT260" s="103"/>
      <c r="AU260" s="101"/>
      <c r="AV260" s="101"/>
      <c r="AW260" s="101"/>
      <c r="AX260" s="101"/>
      <c r="AY260" s="101"/>
      <c r="AZ260" s="101"/>
      <c r="BA260" s="101"/>
      <c r="BB260" s="103"/>
      <c r="BC260" s="103"/>
      <c r="BD260" s="103"/>
      <c r="BE260" s="101"/>
      <c r="BF260" s="101"/>
      <c r="BG260" s="101"/>
      <c r="BH260" s="101"/>
      <c r="BI260" s="101"/>
      <c r="BM260" s="101"/>
      <c r="BN260" s="101"/>
      <c r="BO260" s="101"/>
      <c r="BP260" s="101"/>
      <c r="BQ260" s="101"/>
      <c r="BR260" s="101"/>
      <c r="BS260" s="101"/>
      <c r="BT260" s="104"/>
      <c r="BU260" s="104"/>
      <c r="BV260" s="104"/>
      <c r="BW260" s="104"/>
      <c r="BX260" s="104"/>
      <c r="BY260" s="104"/>
      <c r="BZ260" s="104"/>
      <c r="CA260" s="104"/>
      <c r="CB260" s="104"/>
      <c r="CC260" s="104"/>
      <c r="CD260" s="104"/>
      <c r="CE260" s="104"/>
      <c r="CF260" s="104"/>
      <c r="CG260" s="104"/>
      <c r="CH260" s="104"/>
      <c r="CI260" s="104"/>
      <c r="CJ260" s="104"/>
      <c r="CK260" s="104"/>
      <c r="CL260" s="104"/>
      <c r="CM260" s="104"/>
      <c r="CN260" s="104"/>
      <c r="CO260" s="104"/>
      <c r="CP260" s="98"/>
      <c r="CR260" s="101"/>
      <c r="CS260" s="101"/>
      <c r="CT260" s="101"/>
      <c r="CU260" s="101"/>
      <c r="CV260" s="101"/>
      <c r="FL260" s="103"/>
      <c r="FN260" s="103"/>
      <c r="FP260" s="103"/>
      <c r="FR260" s="103"/>
    </row>
    <row r="261" spans="2:174" x14ac:dyDescent="0.35">
      <c r="B261" s="97"/>
      <c r="G261" s="100"/>
      <c r="K261" s="98"/>
      <c r="L261" s="101"/>
      <c r="M261" s="101"/>
      <c r="N261" s="101"/>
      <c r="O261" s="101"/>
      <c r="P261" s="102"/>
      <c r="Q261" s="101"/>
      <c r="R261" s="98"/>
      <c r="S261" s="98"/>
      <c r="T261" s="98"/>
      <c r="U261" s="98"/>
      <c r="V261" s="98"/>
      <c r="W261" s="98"/>
      <c r="X261" s="98"/>
      <c r="Y261" s="98"/>
      <c r="Z261" s="103"/>
      <c r="AA261" s="103"/>
      <c r="AB261" s="103"/>
      <c r="AC261" s="103"/>
      <c r="AD261" s="103"/>
      <c r="AE261" s="103"/>
      <c r="AF261" s="103"/>
      <c r="AG261" s="101"/>
      <c r="AH261" s="101"/>
      <c r="AI261" s="101"/>
      <c r="AJ261" s="101"/>
      <c r="AK261" s="101"/>
      <c r="AL261" s="101"/>
      <c r="AM261" s="101"/>
      <c r="AN261" s="103"/>
      <c r="AO261" s="103"/>
      <c r="AP261" s="103"/>
      <c r="AQ261" s="103"/>
      <c r="AR261" s="103"/>
      <c r="AS261" s="103"/>
      <c r="AT261" s="103"/>
      <c r="AU261" s="101"/>
      <c r="AV261" s="101"/>
      <c r="AW261" s="101"/>
      <c r="AX261" s="101"/>
      <c r="AY261" s="101"/>
      <c r="AZ261" s="101"/>
      <c r="BA261" s="101"/>
      <c r="BB261" s="103"/>
      <c r="BC261" s="103"/>
      <c r="BD261" s="103"/>
      <c r="BE261" s="101"/>
      <c r="BF261" s="101"/>
      <c r="BG261" s="101"/>
      <c r="BH261" s="101"/>
      <c r="BI261" s="101"/>
      <c r="BM261" s="101"/>
      <c r="BN261" s="101"/>
      <c r="BO261" s="101"/>
      <c r="BP261" s="101"/>
      <c r="BQ261" s="101"/>
      <c r="BR261" s="101"/>
      <c r="BS261" s="101"/>
      <c r="BT261" s="104"/>
      <c r="BU261" s="104"/>
      <c r="BV261" s="104"/>
      <c r="BW261" s="104"/>
      <c r="BX261" s="104"/>
      <c r="BY261" s="104"/>
      <c r="BZ261" s="104"/>
      <c r="CA261" s="104"/>
      <c r="CB261" s="104"/>
      <c r="CC261" s="104"/>
      <c r="CD261" s="104"/>
      <c r="CE261" s="104"/>
      <c r="CF261" s="104"/>
      <c r="CG261" s="104"/>
      <c r="CH261" s="104"/>
      <c r="CI261" s="104"/>
      <c r="CJ261" s="104"/>
      <c r="CK261" s="104"/>
      <c r="CL261" s="104"/>
      <c r="CM261" s="104"/>
      <c r="CN261" s="104"/>
      <c r="CO261" s="104"/>
      <c r="CP261" s="98"/>
      <c r="CR261" s="101"/>
      <c r="CS261" s="101"/>
      <c r="CT261" s="101"/>
      <c r="CU261" s="101"/>
      <c r="CV261" s="101"/>
      <c r="FL261" s="103"/>
      <c r="FN261" s="103"/>
      <c r="FP261" s="103"/>
      <c r="FR261" s="103"/>
    </row>
    <row r="262" spans="2:174" x14ac:dyDescent="0.35">
      <c r="B262" s="97"/>
      <c r="G262" s="100"/>
      <c r="K262" s="98"/>
      <c r="L262" s="101"/>
      <c r="M262" s="101"/>
      <c r="N262" s="101"/>
      <c r="O262" s="101"/>
      <c r="P262" s="102"/>
      <c r="Q262" s="101"/>
      <c r="R262" s="98"/>
      <c r="S262" s="98"/>
      <c r="T262" s="98"/>
      <c r="U262" s="98"/>
      <c r="V262" s="98"/>
      <c r="W262" s="98"/>
      <c r="X262" s="98"/>
      <c r="Y262" s="98"/>
      <c r="Z262" s="103"/>
      <c r="AA262" s="103"/>
      <c r="AB262" s="103"/>
      <c r="AC262" s="103"/>
      <c r="AD262" s="103"/>
      <c r="AE262" s="103"/>
      <c r="AF262" s="103"/>
      <c r="AG262" s="101"/>
      <c r="AH262" s="101"/>
      <c r="AI262" s="101"/>
      <c r="AJ262" s="101"/>
      <c r="AK262" s="101"/>
      <c r="AL262" s="101"/>
      <c r="AM262" s="101"/>
      <c r="AN262" s="103"/>
      <c r="AO262" s="103"/>
      <c r="AP262" s="103"/>
      <c r="AQ262" s="103"/>
      <c r="AR262" s="103"/>
      <c r="AS262" s="103"/>
      <c r="AT262" s="103"/>
      <c r="AU262" s="101"/>
      <c r="AV262" s="101"/>
      <c r="AW262" s="101"/>
      <c r="AX262" s="101"/>
      <c r="AY262" s="101"/>
      <c r="AZ262" s="101"/>
      <c r="BA262" s="101"/>
      <c r="BB262" s="103"/>
      <c r="BC262" s="103"/>
      <c r="BD262" s="103"/>
      <c r="BE262" s="101"/>
      <c r="BF262" s="101"/>
      <c r="BG262" s="101"/>
      <c r="BH262" s="101"/>
      <c r="BI262" s="101"/>
      <c r="BM262" s="101"/>
      <c r="BN262" s="101"/>
      <c r="BO262" s="101"/>
      <c r="BP262" s="101"/>
      <c r="BQ262" s="101"/>
      <c r="BR262" s="101"/>
      <c r="BS262" s="101"/>
      <c r="BT262" s="104"/>
      <c r="BU262" s="104"/>
      <c r="BV262" s="104"/>
      <c r="BW262" s="104"/>
      <c r="BX262" s="104"/>
      <c r="BY262" s="104"/>
      <c r="BZ262" s="104"/>
      <c r="CA262" s="104"/>
      <c r="CB262" s="104"/>
      <c r="CC262" s="104"/>
      <c r="CD262" s="104"/>
      <c r="CE262" s="104"/>
      <c r="CF262" s="104"/>
      <c r="CG262" s="104"/>
      <c r="CH262" s="104"/>
      <c r="CI262" s="104"/>
      <c r="CJ262" s="104"/>
      <c r="CK262" s="104"/>
      <c r="CL262" s="104"/>
      <c r="CM262" s="104"/>
      <c r="CN262" s="104"/>
      <c r="CO262" s="104"/>
      <c r="CP262" s="98"/>
      <c r="CR262" s="101"/>
      <c r="CS262" s="101"/>
      <c r="CT262" s="101"/>
      <c r="CU262" s="101"/>
      <c r="CV262" s="101"/>
      <c r="FL262" s="103"/>
      <c r="FN262" s="103"/>
      <c r="FP262" s="103"/>
      <c r="FR262" s="103"/>
    </row>
    <row r="263" spans="2:174" x14ac:dyDescent="0.35">
      <c r="B263" s="97"/>
      <c r="G263" s="100"/>
      <c r="K263" s="98"/>
      <c r="L263" s="101"/>
      <c r="M263" s="101"/>
      <c r="N263" s="101"/>
      <c r="O263" s="101"/>
      <c r="P263" s="102"/>
      <c r="Q263" s="101"/>
      <c r="R263" s="98"/>
      <c r="S263" s="98"/>
      <c r="T263" s="98"/>
      <c r="U263" s="98"/>
      <c r="V263" s="98"/>
      <c r="W263" s="98"/>
      <c r="X263" s="98"/>
      <c r="Y263" s="98"/>
      <c r="Z263" s="103"/>
      <c r="AA263" s="103"/>
      <c r="AB263" s="103"/>
      <c r="AC263" s="103"/>
      <c r="AD263" s="103"/>
      <c r="AE263" s="103"/>
      <c r="AF263" s="103"/>
      <c r="AG263" s="101"/>
      <c r="AH263" s="101"/>
      <c r="AI263" s="101"/>
      <c r="AJ263" s="101"/>
      <c r="AK263" s="101"/>
      <c r="AL263" s="101"/>
      <c r="AM263" s="101"/>
      <c r="AN263" s="103"/>
      <c r="AO263" s="103"/>
      <c r="AP263" s="103"/>
      <c r="AQ263" s="103"/>
      <c r="AR263" s="103"/>
      <c r="AS263" s="103"/>
      <c r="AT263" s="103"/>
      <c r="AU263" s="101"/>
      <c r="AV263" s="101"/>
      <c r="AW263" s="101"/>
      <c r="AX263" s="101"/>
      <c r="AY263" s="101"/>
      <c r="AZ263" s="101"/>
      <c r="BA263" s="101"/>
      <c r="BB263" s="103"/>
      <c r="BC263" s="103"/>
      <c r="BD263" s="103"/>
      <c r="BE263" s="101"/>
      <c r="BF263" s="101"/>
      <c r="BG263" s="101"/>
      <c r="BH263" s="101"/>
      <c r="BI263" s="101"/>
      <c r="BM263" s="101"/>
      <c r="BN263" s="101"/>
      <c r="BO263" s="101"/>
      <c r="BP263" s="101"/>
      <c r="BQ263" s="101"/>
      <c r="BR263" s="101"/>
      <c r="BS263" s="101"/>
      <c r="BT263" s="104"/>
      <c r="BU263" s="104"/>
      <c r="BV263" s="104"/>
      <c r="BW263" s="104"/>
      <c r="BX263" s="104"/>
      <c r="BY263" s="104"/>
      <c r="BZ263" s="104"/>
      <c r="CA263" s="104"/>
      <c r="CB263" s="104"/>
      <c r="CC263" s="104"/>
      <c r="CD263" s="104"/>
      <c r="CE263" s="104"/>
      <c r="CF263" s="104"/>
      <c r="CG263" s="104"/>
      <c r="CH263" s="104"/>
      <c r="CI263" s="104"/>
      <c r="CJ263" s="104"/>
      <c r="CK263" s="104"/>
      <c r="CL263" s="104"/>
      <c r="CM263" s="104"/>
      <c r="CN263" s="104"/>
      <c r="CO263" s="104"/>
      <c r="CP263" s="98"/>
      <c r="CR263" s="101"/>
      <c r="CS263" s="101"/>
      <c r="CT263" s="101"/>
      <c r="CU263" s="101"/>
      <c r="CV263" s="101"/>
      <c r="FL263" s="103"/>
      <c r="FN263" s="103"/>
      <c r="FP263" s="103"/>
      <c r="FR263" s="103"/>
    </row>
    <row r="264" spans="2:174" x14ac:dyDescent="0.35">
      <c r="B264" s="97"/>
      <c r="G264" s="100"/>
      <c r="K264" s="98"/>
      <c r="L264" s="101"/>
      <c r="M264" s="101"/>
      <c r="N264" s="101"/>
      <c r="O264" s="101"/>
      <c r="P264" s="102"/>
      <c r="Q264" s="101"/>
      <c r="R264" s="98"/>
      <c r="S264" s="98"/>
      <c r="T264" s="98"/>
      <c r="U264" s="98"/>
      <c r="V264" s="98"/>
      <c r="W264" s="98"/>
      <c r="X264" s="98"/>
      <c r="Y264" s="98"/>
      <c r="Z264" s="103"/>
      <c r="AA264" s="103"/>
      <c r="AB264" s="103"/>
      <c r="AC264" s="103"/>
      <c r="AD264" s="103"/>
      <c r="AE264" s="103"/>
      <c r="AF264" s="103"/>
      <c r="AG264" s="101"/>
      <c r="AH264" s="101"/>
      <c r="AI264" s="101"/>
      <c r="AJ264" s="101"/>
      <c r="AK264" s="101"/>
      <c r="AL264" s="101"/>
      <c r="AM264" s="101"/>
      <c r="AN264" s="103"/>
      <c r="AO264" s="103"/>
      <c r="AP264" s="103"/>
      <c r="AQ264" s="103"/>
      <c r="AR264" s="103"/>
      <c r="AS264" s="103"/>
      <c r="AT264" s="103"/>
      <c r="AU264" s="101"/>
      <c r="AV264" s="101"/>
      <c r="AW264" s="101"/>
      <c r="AX264" s="101"/>
      <c r="AY264" s="101"/>
      <c r="AZ264" s="101"/>
      <c r="BA264" s="101"/>
      <c r="BB264" s="103"/>
      <c r="BC264" s="103"/>
      <c r="BD264" s="103"/>
      <c r="BE264" s="101"/>
      <c r="BF264" s="101"/>
      <c r="BG264" s="101"/>
      <c r="BH264" s="101"/>
      <c r="BI264" s="101"/>
      <c r="BM264" s="101"/>
      <c r="BN264" s="101"/>
      <c r="BO264" s="101"/>
      <c r="BP264" s="101"/>
      <c r="BQ264" s="101"/>
      <c r="BR264" s="101"/>
      <c r="BS264" s="101"/>
      <c r="BT264" s="104"/>
      <c r="BU264" s="104"/>
      <c r="BV264" s="104"/>
      <c r="BW264" s="104"/>
      <c r="BX264" s="104"/>
      <c r="BY264" s="104"/>
      <c r="BZ264" s="104"/>
      <c r="CA264" s="104"/>
      <c r="CB264" s="104"/>
      <c r="CC264" s="104"/>
      <c r="CD264" s="104"/>
      <c r="CE264" s="104"/>
      <c r="CF264" s="104"/>
      <c r="CG264" s="104"/>
      <c r="CH264" s="104"/>
      <c r="CI264" s="104"/>
      <c r="CJ264" s="104"/>
      <c r="CK264" s="104"/>
      <c r="CL264" s="104"/>
      <c r="CM264" s="104"/>
      <c r="CN264" s="104"/>
      <c r="CO264" s="104"/>
      <c r="CP264" s="98"/>
      <c r="CR264" s="101"/>
      <c r="CS264" s="101"/>
      <c r="CT264" s="101"/>
      <c r="CU264" s="101"/>
      <c r="CV264" s="101"/>
      <c r="FL264" s="103"/>
      <c r="FN264" s="103"/>
      <c r="FP264" s="103"/>
      <c r="FR264" s="103"/>
    </row>
    <row r="265" spans="2:174" x14ac:dyDescent="0.35">
      <c r="B265" s="97"/>
      <c r="G265" s="100"/>
      <c r="K265" s="98"/>
      <c r="L265" s="101"/>
      <c r="M265" s="101"/>
      <c r="N265" s="101"/>
      <c r="O265" s="101"/>
      <c r="P265" s="102"/>
      <c r="Q265" s="101"/>
      <c r="R265" s="98"/>
      <c r="S265" s="98"/>
      <c r="T265" s="98"/>
      <c r="U265" s="98"/>
      <c r="V265" s="98"/>
      <c r="W265" s="98"/>
      <c r="X265" s="98"/>
      <c r="Y265" s="98"/>
      <c r="Z265" s="103"/>
      <c r="AA265" s="103"/>
      <c r="AB265" s="103"/>
      <c r="AC265" s="103"/>
      <c r="AD265" s="103"/>
      <c r="AE265" s="103"/>
      <c r="AF265" s="103"/>
      <c r="AG265" s="101"/>
      <c r="AH265" s="101"/>
      <c r="AI265" s="101"/>
      <c r="AJ265" s="101"/>
      <c r="AK265" s="101"/>
      <c r="AL265" s="101"/>
      <c r="AM265" s="101"/>
      <c r="AN265" s="103"/>
      <c r="AO265" s="103"/>
      <c r="AP265" s="103"/>
      <c r="AQ265" s="103"/>
      <c r="AR265" s="103"/>
      <c r="AS265" s="103"/>
      <c r="AT265" s="103"/>
      <c r="AU265" s="101"/>
      <c r="AV265" s="101"/>
      <c r="AW265" s="101"/>
      <c r="AX265" s="101"/>
      <c r="AY265" s="101"/>
      <c r="AZ265" s="101"/>
      <c r="BA265" s="101"/>
      <c r="BB265" s="103"/>
      <c r="BC265" s="103"/>
      <c r="BD265" s="103"/>
      <c r="BE265" s="101"/>
      <c r="BF265" s="101"/>
      <c r="BG265" s="101"/>
      <c r="BH265" s="101"/>
      <c r="BI265" s="101"/>
      <c r="BM265" s="101"/>
      <c r="BN265" s="101"/>
      <c r="BO265" s="101"/>
      <c r="BP265" s="101"/>
      <c r="BQ265" s="101"/>
      <c r="BR265" s="101"/>
      <c r="BS265" s="101"/>
      <c r="BT265" s="104"/>
      <c r="BU265" s="104"/>
      <c r="BV265" s="104"/>
      <c r="BW265" s="104"/>
      <c r="BX265" s="104"/>
      <c r="BY265" s="104"/>
      <c r="BZ265" s="104"/>
      <c r="CA265" s="104"/>
      <c r="CB265" s="104"/>
      <c r="CC265" s="104"/>
      <c r="CD265" s="104"/>
      <c r="CE265" s="104"/>
      <c r="CF265" s="104"/>
      <c r="CG265" s="104"/>
      <c r="CH265" s="104"/>
      <c r="CI265" s="104"/>
      <c r="CJ265" s="104"/>
      <c r="CK265" s="104"/>
      <c r="CL265" s="104"/>
      <c r="CM265" s="104"/>
      <c r="CN265" s="104"/>
      <c r="CO265" s="104"/>
      <c r="CP265" s="98"/>
      <c r="CR265" s="101"/>
      <c r="CS265" s="101"/>
      <c r="CT265" s="101"/>
      <c r="CU265" s="101"/>
      <c r="CV265" s="101"/>
      <c r="FL265" s="103"/>
      <c r="FN265" s="103"/>
      <c r="FP265" s="103"/>
      <c r="FR265" s="103"/>
    </row>
    <row r="266" spans="2:174" x14ac:dyDescent="0.35">
      <c r="B266" s="97"/>
      <c r="G266" s="100"/>
      <c r="K266" s="98"/>
      <c r="L266" s="101"/>
      <c r="M266" s="101"/>
      <c r="N266" s="101"/>
      <c r="O266" s="101"/>
      <c r="P266" s="102"/>
      <c r="Q266" s="101"/>
      <c r="R266" s="98"/>
      <c r="S266" s="98"/>
      <c r="T266" s="98"/>
      <c r="U266" s="98"/>
      <c r="V266" s="98"/>
      <c r="W266" s="98"/>
      <c r="X266" s="98"/>
      <c r="Y266" s="98"/>
      <c r="Z266" s="103"/>
      <c r="AA266" s="103"/>
      <c r="AB266" s="103"/>
      <c r="AC266" s="103"/>
      <c r="AD266" s="103"/>
      <c r="AE266" s="103"/>
      <c r="AF266" s="103"/>
      <c r="AG266" s="101"/>
      <c r="AH266" s="101"/>
      <c r="AI266" s="101"/>
      <c r="AJ266" s="101"/>
      <c r="AK266" s="101"/>
      <c r="AL266" s="101"/>
      <c r="AM266" s="101"/>
      <c r="AN266" s="103"/>
      <c r="AO266" s="103"/>
      <c r="AP266" s="103"/>
      <c r="AQ266" s="103"/>
      <c r="AR266" s="103"/>
      <c r="AS266" s="103"/>
      <c r="AT266" s="103"/>
      <c r="AU266" s="101"/>
      <c r="AV266" s="101"/>
      <c r="AW266" s="101"/>
      <c r="AX266" s="101"/>
      <c r="AY266" s="101"/>
      <c r="AZ266" s="101"/>
      <c r="BA266" s="101"/>
      <c r="BB266" s="103"/>
      <c r="BC266" s="103"/>
      <c r="BD266" s="103"/>
      <c r="BE266" s="101"/>
      <c r="BF266" s="101"/>
      <c r="BG266" s="101"/>
      <c r="BH266" s="101"/>
      <c r="BI266" s="101"/>
      <c r="BM266" s="101"/>
      <c r="BN266" s="101"/>
      <c r="BO266" s="101"/>
      <c r="BP266" s="101"/>
      <c r="BQ266" s="101"/>
      <c r="BR266" s="101"/>
      <c r="BS266" s="101"/>
      <c r="BT266" s="104"/>
      <c r="BU266" s="104"/>
      <c r="BV266" s="104"/>
      <c r="BW266" s="104"/>
      <c r="BX266" s="104"/>
      <c r="BY266" s="104"/>
      <c r="BZ266" s="104"/>
      <c r="CA266" s="104"/>
      <c r="CB266" s="104"/>
      <c r="CC266" s="104"/>
      <c r="CD266" s="104"/>
      <c r="CE266" s="104"/>
      <c r="CF266" s="104"/>
      <c r="CG266" s="104"/>
      <c r="CH266" s="104"/>
      <c r="CI266" s="104"/>
      <c r="CJ266" s="104"/>
      <c r="CK266" s="104"/>
      <c r="CL266" s="104"/>
      <c r="CM266" s="104"/>
      <c r="CN266" s="104"/>
      <c r="CO266" s="104"/>
      <c r="CP266" s="98"/>
      <c r="CR266" s="101"/>
      <c r="CS266" s="101"/>
      <c r="CT266" s="101"/>
      <c r="CU266" s="101"/>
      <c r="CV266" s="101"/>
      <c r="FL266" s="103"/>
      <c r="FN266" s="103"/>
      <c r="FP266" s="103"/>
      <c r="FR266" s="103"/>
    </row>
    <row r="267" spans="2:174" x14ac:dyDescent="0.35">
      <c r="B267" s="97"/>
      <c r="G267" s="100"/>
      <c r="K267" s="98"/>
      <c r="L267" s="101"/>
      <c r="M267" s="101"/>
      <c r="N267" s="101"/>
      <c r="O267" s="101"/>
      <c r="P267" s="102"/>
      <c r="Q267" s="101"/>
      <c r="R267" s="98"/>
      <c r="S267" s="98"/>
      <c r="T267" s="98"/>
      <c r="U267" s="98"/>
      <c r="V267" s="98"/>
      <c r="W267" s="98"/>
      <c r="X267" s="98"/>
      <c r="Y267" s="98"/>
      <c r="Z267" s="103"/>
      <c r="AA267" s="103"/>
      <c r="AB267" s="103"/>
      <c r="AC267" s="103"/>
      <c r="AD267" s="103"/>
      <c r="AE267" s="103"/>
      <c r="AF267" s="103"/>
      <c r="AG267" s="101"/>
      <c r="AH267" s="101"/>
      <c r="AI267" s="101"/>
      <c r="AJ267" s="101"/>
      <c r="AK267" s="101"/>
      <c r="AL267" s="101"/>
      <c r="AM267" s="101"/>
      <c r="AN267" s="103"/>
      <c r="AO267" s="103"/>
      <c r="AP267" s="103"/>
      <c r="AQ267" s="103"/>
      <c r="AR267" s="103"/>
      <c r="AS267" s="103"/>
      <c r="AT267" s="103"/>
      <c r="AU267" s="101"/>
      <c r="AV267" s="101"/>
      <c r="AW267" s="101"/>
      <c r="AX267" s="101"/>
      <c r="AY267" s="101"/>
      <c r="AZ267" s="101"/>
      <c r="BA267" s="101"/>
      <c r="BB267" s="103"/>
      <c r="BC267" s="103"/>
      <c r="BD267" s="103"/>
      <c r="BE267" s="101"/>
      <c r="BF267" s="101"/>
      <c r="BG267" s="101"/>
      <c r="BH267" s="101"/>
      <c r="BI267" s="101"/>
      <c r="BM267" s="101"/>
      <c r="BN267" s="101"/>
      <c r="BO267" s="101"/>
      <c r="BP267" s="101"/>
      <c r="BQ267" s="101"/>
      <c r="BR267" s="101"/>
      <c r="BS267" s="101"/>
      <c r="BT267" s="104"/>
      <c r="BU267" s="104"/>
      <c r="BV267" s="104"/>
      <c r="BW267" s="104"/>
      <c r="BX267" s="104"/>
      <c r="BY267" s="104"/>
      <c r="BZ267" s="104"/>
      <c r="CA267" s="104"/>
      <c r="CB267" s="104"/>
      <c r="CC267" s="104"/>
      <c r="CD267" s="104"/>
      <c r="CE267" s="104"/>
      <c r="CF267" s="104"/>
      <c r="CG267" s="104"/>
      <c r="CH267" s="104"/>
      <c r="CI267" s="104"/>
      <c r="CJ267" s="104"/>
      <c r="CK267" s="104"/>
      <c r="CL267" s="104"/>
      <c r="CM267" s="104"/>
      <c r="CN267" s="104"/>
      <c r="CO267" s="104"/>
      <c r="CP267" s="98"/>
      <c r="CR267" s="101"/>
      <c r="CS267" s="101"/>
      <c r="CT267" s="101"/>
      <c r="CU267" s="101"/>
      <c r="CV267" s="101"/>
      <c r="FL267" s="103"/>
      <c r="FN267" s="103"/>
      <c r="FP267" s="103"/>
      <c r="FR267" s="103"/>
    </row>
    <row r="268" spans="2:174" x14ac:dyDescent="0.35">
      <c r="B268" s="97"/>
      <c r="G268" s="100"/>
      <c r="K268" s="98"/>
      <c r="L268" s="101"/>
      <c r="M268" s="101"/>
      <c r="N268" s="101"/>
      <c r="O268" s="101"/>
      <c r="P268" s="102"/>
      <c r="Q268" s="101"/>
      <c r="R268" s="98"/>
      <c r="S268" s="98"/>
      <c r="T268" s="98"/>
      <c r="U268" s="98"/>
      <c r="V268" s="98"/>
      <c r="W268" s="98"/>
      <c r="X268" s="98"/>
      <c r="Y268" s="98"/>
      <c r="Z268" s="103"/>
      <c r="AA268" s="103"/>
      <c r="AB268" s="103"/>
      <c r="AC268" s="103"/>
      <c r="AD268" s="103"/>
      <c r="AE268" s="103"/>
      <c r="AF268" s="103"/>
      <c r="AG268" s="101"/>
      <c r="AH268" s="101"/>
      <c r="AI268" s="101"/>
      <c r="AJ268" s="101"/>
      <c r="AK268" s="101"/>
      <c r="AL268" s="101"/>
      <c r="AM268" s="101"/>
      <c r="AN268" s="103"/>
      <c r="AO268" s="103"/>
      <c r="AP268" s="103"/>
      <c r="AQ268" s="103"/>
      <c r="AR268" s="103"/>
      <c r="AS268" s="103"/>
      <c r="AT268" s="103"/>
      <c r="AU268" s="101"/>
      <c r="AV268" s="101"/>
      <c r="AW268" s="101"/>
      <c r="AX268" s="101"/>
      <c r="AY268" s="101"/>
      <c r="AZ268" s="101"/>
      <c r="BA268" s="101"/>
      <c r="BB268" s="103"/>
      <c r="BC268" s="103"/>
      <c r="BD268" s="103"/>
      <c r="BE268" s="101"/>
      <c r="BF268" s="101"/>
      <c r="BG268" s="101"/>
      <c r="BH268" s="101"/>
      <c r="BI268" s="101"/>
      <c r="BM268" s="101"/>
      <c r="BN268" s="101"/>
      <c r="BO268" s="101"/>
      <c r="BP268" s="101"/>
      <c r="BQ268" s="101"/>
      <c r="BR268" s="101"/>
      <c r="BS268" s="101"/>
      <c r="BT268" s="104"/>
      <c r="BU268" s="104"/>
      <c r="BV268" s="104"/>
      <c r="BW268" s="104"/>
      <c r="BX268" s="104"/>
      <c r="BY268" s="104"/>
      <c r="BZ268" s="104"/>
      <c r="CA268" s="104"/>
      <c r="CB268" s="104"/>
      <c r="CC268" s="104"/>
      <c r="CD268" s="104"/>
      <c r="CE268" s="104"/>
      <c r="CF268" s="104"/>
      <c r="CG268" s="104"/>
      <c r="CH268" s="104"/>
      <c r="CI268" s="104"/>
      <c r="CJ268" s="104"/>
      <c r="CK268" s="104"/>
      <c r="CL268" s="104"/>
      <c r="CM268" s="104"/>
      <c r="CN268" s="104"/>
      <c r="CO268" s="104"/>
      <c r="CP268" s="98"/>
      <c r="CR268" s="101"/>
      <c r="CS268" s="101"/>
      <c r="CT268" s="101"/>
      <c r="CU268" s="101"/>
      <c r="CV268" s="101"/>
      <c r="FL268" s="103"/>
      <c r="FN268" s="103"/>
      <c r="FP268" s="103"/>
      <c r="FR268" s="103"/>
    </row>
    <row r="269" spans="2:174" x14ac:dyDescent="0.35">
      <c r="B269" s="97"/>
      <c r="G269" s="100"/>
      <c r="K269" s="98"/>
      <c r="L269" s="101"/>
      <c r="M269" s="101"/>
      <c r="N269" s="101"/>
      <c r="O269" s="101"/>
      <c r="P269" s="102"/>
      <c r="Q269" s="101"/>
      <c r="R269" s="98"/>
      <c r="S269" s="98"/>
      <c r="T269" s="98"/>
      <c r="U269" s="98"/>
      <c r="V269" s="98"/>
      <c r="W269" s="98"/>
      <c r="X269" s="98"/>
      <c r="Y269" s="98"/>
      <c r="Z269" s="103"/>
      <c r="AA269" s="103"/>
      <c r="AB269" s="103"/>
      <c r="AC269" s="103"/>
      <c r="AD269" s="103"/>
      <c r="AE269" s="103"/>
      <c r="AF269" s="103"/>
      <c r="AG269" s="101"/>
      <c r="AH269" s="101"/>
      <c r="AI269" s="101"/>
      <c r="AJ269" s="101"/>
      <c r="AK269" s="101"/>
      <c r="AL269" s="101"/>
      <c r="AM269" s="101"/>
      <c r="AN269" s="103"/>
      <c r="AO269" s="103"/>
      <c r="AP269" s="103"/>
      <c r="AQ269" s="103"/>
      <c r="AR269" s="103"/>
      <c r="AS269" s="103"/>
      <c r="AT269" s="103"/>
      <c r="AU269" s="101"/>
      <c r="AV269" s="101"/>
      <c r="AW269" s="101"/>
      <c r="AX269" s="101"/>
      <c r="AY269" s="101"/>
      <c r="AZ269" s="101"/>
      <c r="BA269" s="101"/>
      <c r="BB269" s="103"/>
      <c r="BC269" s="103"/>
      <c r="BD269" s="103"/>
      <c r="BE269" s="101"/>
      <c r="BF269" s="101"/>
      <c r="BG269" s="101"/>
      <c r="BH269" s="101"/>
      <c r="BI269" s="101"/>
      <c r="BM269" s="101"/>
      <c r="BN269" s="101"/>
      <c r="BO269" s="101"/>
      <c r="BP269" s="101"/>
      <c r="BQ269" s="101"/>
      <c r="BR269" s="101"/>
      <c r="BS269" s="101"/>
      <c r="BT269" s="104"/>
      <c r="BU269" s="104"/>
      <c r="BV269" s="104"/>
      <c r="BW269" s="104"/>
      <c r="BX269" s="104"/>
      <c r="BY269" s="104"/>
      <c r="BZ269" s="104"/>
      <c r="CA269" s="104"/>
      <c r="CB269" s="104"/>
      <c r="CC269" s="104"/>
      <c r="CD269" s="104"/>
      <c r="CE269" s="104"/>
      <c r="CF269" s="104"/>
      <c r="CG269" s="104"/>
      <c r="CH269" s="104"/>
      <c r="CI269" s="104"/>
      <c r="CJ269" s="104"/>
      <c r="CK269" s="104"/>
      <c r="CL269" s="104"/>
      <c r="CM269" s="104"/>
      <c r="CN269" s="104"/>
      <c r="CO269" s="104"/>
      <c r="CP269" s="98"/>
      <c r="CR269" s="101"/>
      <c r="CS269" s="101"/>
      <c r="CT269" s="101"/>
      <c r="CU269" s="101"/>
      <c r="CV269" s="101"/>
      <c r="FL269" s="103"/>
      <c r="FN269" s="103"/>
      <c r="FP269" s="103"/>
      <c r="FR269" s="103"/>
    </row>
    <row r="270" spans="2:174" x14ac:dyDescent="0.35">
      <c r="B270" s="97"/>
      <c r="G270" s="100"/>
      <c r="K270" s="98"/>
      <c r="L270" s="101"/>
      <c r="M270" s="101"/>
      <c r="N270" s="101"/>
      <c r="O270" s="101"/>
      <c r="P270" s="102"/>
      <c r="Q270" s="101"/>
      <c r="R270" s="98"/>
      <c r="S270" s="98"/>
      <c r="T270" s="98"/>
      <c r="U270" s="98"/>
      <c r="V270" s="98"/>
      <c r="W270" s="98"/>
      <c r="X270" s="98"/>
      <c r="Y270" s="98"/>
      <c r="Z270" s="103"/>
      <c r="AA270" s="103"/>
      <c r="AB270" s="103"/>
      <c r="AC270" s="103"/>
      <c r="AD270" s="103"/>
      <c r="AE270" s="103"/>
      <c r="AF270" s="103"/>
      <c r="AG270" s="101"/>
      <c r="AH270" s="101"/>
      <c r="AI270" s="101"/>
      <c r="AJ270" s="101"/>
      <c r="AK270" s="101"/>
      <c r="AL270" s="101"/>
      <c r="AM270" s="101"/>
      <c r="AN270" s="103"/>
      <c r="AO270" s="103"/>
      <c r="AP270" s="103"/>
      <c r="AQ270" s="103"/>
      <c r="AR270" s="103"/>
      <c r="AS270" s="103"/>
      <c r="AT270" s="103"/>
      <c r="AU270" s="101"/>
      <c r="AV270" s="101"/>
      <c r="AW270" s="101"/>
      <c r="AX270" s="101"/>
      <c r="AY270" s="101"/>
      <c r="AZ270" s="101"/>
      <c r="BA270" s="101"/>
      <c r="BB270" s="103"/>
      <c r="BC270" s="103"/>
      <c r="BD270" s="103"/>
      <c r="BE270" s="101"/>
      <c r="BF270" s="101"/>
      <c r="BG270" s="101"/>
      <c r="BH270" s="101"/>
      <c r="BI270" s="101"/>
      <c r="BM270" s="101"/>
      <c r="BN270" s="101"/>
      <c r="BO270" s="101"/>
      <c r="BP270" s="101"/>
      <c r="BQ270" s="101"/>
      <c r="BR270" s="101"/>
      <c r="BS270" s="101"/>
      <c r="BT270" s="104"/>
      <c r="BU270" s="104"/>
      <c r="BV270" s="104"/>
      <c r="BW270" s="104"/>
      <c r="BX270" s="104"/>
      <c r="BY270" s="104"/>
      <c r="BZ270" s="104"/>
      <c r="CA270" s="104"/>
      <c r="CB270" s="104"/>
      <c r="CC270" s="104"/>
      <c r="CD270" s="104"/>
      <c r="CE270" s="104"/>
      <c r="CF270" s="104"/>
      <c r="CG270" s="104"/>
      <c r="CH270" s="104"/>
      <c r="CI270" s="104"/>
      <c r="CJ270" s="104"/>
      <c r="CK270" s="104"/>
      <c r="CL270" s="104"/>
      <c r="CM270" s="104"/>
      <c r="CN270" s="104"/>
      <c r="CO270" s="104"/>
      <c r="CP270" s="98"/>
      <c r="CR270" s="101"/>
      <c r="CS270" s="101"/>
      <c r="CT270" s="101"/>
      <c r="CU270" s="101"/>
      <c r="CV270" s="101"/>
      <c r="FL270" s="103"/>
      <c r="FN270" s="103"/>
      <c r="FP270" s="103"/>
      <c r="FR270" s="103"/>
    </row>
    <row r="271" spans="2:174" x14ac:dyDescent="0.35">
      <c r="B271" s="97"/>
      <c r="G271" s="100"/>
      <c r="K271" s="98"/>
      <c r="L271" s="101"/>
      <c r="M271" s="101"/>
      <c r="N271" s="101"/>
      <c r="O271" s="101"/>
      <c r="P271" s="102"/>
      <c r="Q271" s="101"/>
      <c r="R271" s="98"/>
      <c r="S271" s="98"/>
      <c r="T271" s="98"/>
      <c r="U271" s="98"/>
      <c r="V271" s="98"/>
      <c r="W271" s="98"/>
      <c r="X271" s="98"/>
      <c r="Y271" s="98"/>
      <c r="Z271" s="103"/>
      <c r="AA271" s="103"/>
      <c r="AB271" s="103"/>
      <c r="AC271" s="103"/>
      <c r="AD271" s="103"/>
      <c r="AE271" s="103"/>
      <c r="AF271" s="103"/>
      <c r="AG271" s="101"/>
      <c r="AH271" s="101"/>
      <c r="AI271" s="101"/>
      <c r="AJ271" s="101"/>
      <c r="AK271" s="101"/>
      <c r="AL271" s="101"/>
      <c r="AM271" s="101"/>
      <c r="AN271" s="103"/>
      <c r="AO271" s="103"/>
      <c r="AP271" s="103"/>
      <c r="AQ271" s="103"/>
      <c r="AR271" s="103"/>
      <c r="AS271" s="103"/>
      <c r="AT271" s="103"/>
      <c r="AU271" s="101"/>
      <c r="AV271" s="101"/>
      <c r="AW271" s="101"/>
      <c r="AX271" s="101"/>
      <c r="AY271" s="101"/>
      <c r="AZ271" s="101"/>
      <c r="BA271" s="101"/>
      <c r="BB271" s="103"/>
      <c r="BC271" s="103"/>
      <c r="BD271" s="103"/>
      <c r="BE271" s="101"/>
      <c r="BF271" s="101"/>
      <c r="BG271" s="101"/>
      <c r="BH271" s="101"/>
      <c r="BI271" s="101"/>
      <c r="BM271" s="101"/>
      <c r="BN271" s="101"/>
      <c r="BO271" s="101"/>
      <c r="BP271" s="101"/>
      <c r="BQ271" s="101"/>
      <c r="BR271" s="101"/>
      <c r="BS271" s="101"/>
      <c r="BT271" s="104"/>
      <c r="BU271" s="104"/>
      <c r="BV271" s="104"/>
      <c r="BW271" s="104"/>
      <c r="BX271" s="104"/>
      <c r="BY271" s="104"/>
      <c r="BZ271" s="104"/>
      <c r="CA271" s="104"/>
      <c r="CB271" s="104"/>
      <c r="CC271" s="104"/>
      <c r="CD271" s="104"/>
      <c r="CE271" s="104"/>
      <c r="CF271" s="104"/>
      <c r="CG271" s="104"/>
      <c r="CH271" s="104"/>
      <c r="CI271" s="104"/>
      <c r="CJ271" s="104"/>
      <c r="CK271" s="104"/>
      <c r="CL271" s="104"/>
      <c r="CM271" s="104"/>
      <c r="CN271" s="104"/>
      <c r="CO271" s="104"/>
      <c r="CP271" s="98"/>
      <c r="CR271" s="101"/>
      <c r="CS271" s="101"/>
      <c r="CT271" s="101"/>
      <c r="CU271" s="101"/>
      <c r="CV271" s="101"/>
      <c r="FL271" s="103"/>
      <c r="FN271" s="103"/>
      <c r="FP271" s="103"/>
      <c r="FR271" s="103"/>
    </row>
    <row r="272" spans="2:174" x14ac:dyDescent="0.35">
      <c r="B272" s="97"/>
      <c r="G272" s="100"/>
      <c r="K272" s="98"/>
      <c r="L272" s="101"/>
      <c r="M272" s="101"/>
      <c r="N272" s="101"/>
      <c r="O272" s="101"/>
      <c r="P272" s="102"/>
      <c r="Q272" s="101"/>
      <c r="R272" s="98"/>
      <c r="S272" s="98"/>
      <c r="T272" s="98"/>
      <c r="U272" s="98"/>
      <c r="V272" s="98"/>
      <c r="W272" s="98"/>
      <c r="X272" s="98"/>
      <c r="Y272" s="98"/>
      <c r="Z272" s="103"/>
      <c r="AA272" s="103"/>
      <c r="AB272" s="103"/>
      <c r="AC272" s="103"/>
      <c r="AD272" s="103"/>
      <c r="AE272" s="103"/>
      <c r="AF272" s="103"/>
      <c r="AG272" s="101"/>
      <c r="AH272" s="101"/>
      <c r="AI272" s="101"/>
      <c r="AJ272" s="101"/>
      <c r="AK272" s="101"/>
      <c r="AL272" s="101"/>
      <c r="AM272" s="101"/>
      <c r="AN272" s="103"/>
      <c r="AO272" s="103"/>
      <c r="AP272" s="103"/>
      <c r="AQ272" s="103"/>
      <c r="AR272" s="103"/>
      <c r="AS272" s="103"/>
      <c r="AT272" s="103"/>
      <c r="AU272" s="101"/>
      <c r="AV272" s="101"/>
      <c r="AW272" s="101"/>
      <c r="AX272" s="101"/>
      <c r="AY272" s="101"/>
      <c r="AZ272" s="101"/>
      <c r="BA272" s="101"/>
      <c r="BB272" s="103"/>
      <c r="BC272" s="103"/>
      <c r="BD272" s="103"/>
      <c r="BE272" s="101"/>
      <c r="BF272" s="101"/>
      <c r="BG272" s="101"/>
      <c r="BH272" s="101"/>
      <c r="BI272" s="101"/>
      <c r="BM272" s="101"/>
      <c r="BN272" s="101"/>
      <c r="BO272" s="101"/>
      <c r="BP272" s="101"/>
      <c r="BQ272" s="101"/>
      <c r="BR272" s="101"/>
      <c r="BS272" s="101"/>
      <c r="BT272" s="104"/>
      <c r="BU272" s="104"/>
      <c r="BV272" s="104"/>
      <c r="BW272" s="104"/>
      <c r="BX272" s="104"/>
      <c r="BY272" s="104"/>
      <c r="BZ272" s="104"/>
      <c r="CA272" s="104"/>
      <c r="CB272" s="104"/>
      <c r="CC272" s="104"/>
      <c r="CD272" s="104"/>
      <c r="CE272" s="104"/>
      <c r="CF272" s="104"/>
      <c r="CG272" s="104"/>
      <c r="CH272" s="104"/>
      <c r="CI272" s="104"/>
      <c r="CJ272" s="104"/>
      <c r="CK272" s="104"/>
      <c r="CL272" s="104"/>
      <c r="CM272" s="104"/>
      <c r="CN272" s="104"/>
      <c r="CO272" s="104"/>
      <c r="CP272" s="98"/>
      <c r="CR272" s="101"/>
      <c r="CS272" s="101"/>
      <c r="CT272" s="101"/>
      <c r="CU272" s="101"/>
      <c r="CV272" s="101"/>
      <c r="FL272" s="103"/>
      <c r="FN272" s="103"/>
      <c r="FP272" s="103"/>
      <c r="FR272" s="103"/>
    </row>
    <row r="273" spans="2:174" x14ac:dyDescent="0.35">
      <c r="B273" s="97"/>
      <c r="G273" s="100"/>
      <c r="K273" s="98"/>
      <c r="L273" s="101"/>
      <c r="M273" s="101"/>
      <c r="N273" s="101"/>
      <c r="O273" s="101"/>
      <c r="P273" s="102"/>
      <c r="Q273" s="101"/>
      <c r="R273" s="98"/>
      <c r="S273" s="98"/>
      <c r="T273" s="98"/>
      <c r="U273" s="98"/>
      <c r="V273" s="98"/>
      <c r="W273" s="98"/>
      <c r="X273" s="98"/>
      <c r="Y273" s="98"/>
      <c r="Z273" s="103"/>
      <c r="AA273" s="103"/>
      <c r="AB273" s="103"/>
      <c r="AC273" s="103"/>
      <c r="AD273" s="103"/>
      <c r="AE273" s="103"/>
      <c r="AF273" s="103"/>
      <c r="AG273" s="101"/>
      <c r="AH273" s="101"/>
      <c r="AI273" s="101"/>
      <c r="AJ273" s="101"/>
      <c r="AK273" s="101"/>
      <c r="AL273" s="101"/>
      <c r="AM273" s="101"/>
      <c r="AN273" s="103"/>
      <c r="AO273" s="103"/>
      <c r="AP273" s="103"/>
      <c r="AQ273" s="103"/>
      <c r="AR273" s="103"/>
      <c r="AS273" s="103"/>
      <c r="AT273" s="103"/>
      <c r="AU273" s="101"/>
      <c r="AV273" s="101"/>
      <c r="AW273" s="101"/>
      <c r="AX273" s="101"/>
      <c r="AY273" s="101"/>
      <c r="AZ273" s="101"/>
      <c r="BA273" s="101"/>
      <c r="BB273" s="103"/>
      <c r="BC273" s="103"/>
      <c r="BD273" s="103"/>
      <c r="BE273" s="101"/>
      <c r="BF273" s="101"/>
      <c r="BG273" s="101"/>
      <c r="BH273" s="101"/>
      <c r="BI273" s="101"/>
      <c r="BM273" s="101"/>
      <c r="BN273" s="101"/>
      <c r="BO273" s="101"/>
      <c r="BP273" s="101"/>
      <c r="BQ273" s="101"/>
      <c r="BR273" s="101"/>
      <c r="BS273" s="101"/>
      <c r="BT273" s="104"/>
      <c r="BU273" s="104"/>
      <c r="BV273" s="104"/>
      <c r="BW273" s="104"/>
      <c r="BX273" s="104"/>
      <c r="BY273" s="104"/>
      <c r="BZ273" s="104"/>
      <c r="CA273" s="104"/>
      <c r="CB273" s="104"/>
      <c r="CC273" s="104"/>
      <c r="CD273" s="104"/>
      <c r="CE273" s="104"/>
      <c r="CF273" s="104"/>
      <c r="CG273" s="104"/>
      <c r="CH273" s="104"/>
      <c r="CI273" s="104"/>
      <c r="CJ273" s="104"/>
      <c r="CK273" s="104"/>
      <c r="CL273" s="104"/>
      <c r="CM273" s="104"/>
      <c r="CN273" s="104"/>
      <c r="CO273" s="104"/>
      <c r="CP273" s="98"/>
      <c r="CR273" s="101"/>
      <c r="CS273" s="101"/>
      <c r="CT273" s="101"/>
      <c r="CU273" s="101"/>
      <c r="CV273" s="101"/>
      <c r="FL273" s="103"/>
      <c r="FN273" s="103"/>
      <c r="FP273" s="103"/>
      <c r="FR273" s="103"/>
    </row>
    <row r="274" spans="2:174" x14ac:dyDescent="0.35">
      <c r="B274" s="97"/>
      <c r="G274" s="100"/>
      <c r="K274" s="98"/>
      <c r="L274" s="101"/>
      <c r="M274" s="101"/>
      <c r="N274" s="101"/>
      <c r="O274" s="101"/>
      <c r="P274" s="102"/>
      <c r="Q274" s="101"/>
      <c r="R274" s="98"/>
      <c r="S274" s="98"/>
      <c r="T274" s="98"/>
      <c r="U274" s="98"/>
      <c r="V274" s="98"/>
      <c r="W274" s="98"/>
      <c r="X274" s="98"/>
      <c r="Y274" s="98"/>
      <c r="Z274" s="103"/>
      <c r="AA274" s="103"/>
      <c r="AB274" s="103"/>
      <c r="AC274" s="103"/>
      <c r="AD274" s="103"/>
      <c r="AE274" s="103"/>
      <c r="AF274" s="103"/>
      <c r="AG274" s="101"/>
      <c r="AH274" s="101"/>
      <c r="AI274" s="101"/>
      <c r="AJ274" s="101"/>
      <c r="AK274" s="101"/>
      <c r="AL274" s="101"/>
      <c r="AM274" s="101"/>
      <c r="AN274" s="103"/>
      <c r="AO274" s="103"/>
      <c r="AP274" s="103"/>
      <c r="AQ274" s="103"/>
      <c r="AR274" s="103"/>
      <c r="AS274" s="103"/>
      <c r="AT274" s="103"/>
      <c r="AU274" s="101"/>
      <c r="AV274" s="101"/>
      <c r="AW274" s="101"/>
      <c r="AX274" s="101"/>
      <c r="AY274" s="101"/>
      <c r="AZ274" s="101"/>
      <c r="BA274" s="101"/>
      <c r="BB274" s="103"/>
      <c r="BC274" s="103"/>
      <c r="BD274" s="103"/>
      <c r="BE274" s="101"/>
      <c r="BF274" s="101"/>
      <c r="BG274" s="101"/>
      <c r="BH274" s="101"/>
      <c r="BI274" s="101"/>
      <c r="BM274" s="101"/>
      <c r="BN274" s="101"/>
      <c r="BO274" s="101"/>
      <c r="BP274" s="101"/>
      <c r="BQ274" s="101"/>
      <c r="BR274" s="101"/>
      <c r="BS274" s="101"/>
      <c r="BT274" s="104"/>
      <c r="BU274" s="104"/>
      <c r="BV274" s="104"/>
      <c r="BW274" s="104"/>
      <c r="BX274" s="104"/>
      <c r="BY274" s="104"/>
      <c r="BZ274" s="104"/>
      <c r="CA274" s="104"/>
      <c r="CB274" s="104"/>
      <c r="CC274" s="104"/>
      <c r="CD274" s="104"/>
      <c r="CE274" s="104"/>
      <c r="CF274" s="104"/>
      <c r="CG274" s="104"/>
      <c r="CH274" s="104"/>
      <c r="CI274" s="104"/>
      <c r="CJ274" s="104"/>
      <c r="CK274" s="104"/>
      <c r="CL274" s="104"/>
      <c r="CM274" s="104"/>
      <c r="CN274" s="104"/>
      <c r="CO274" s="104"/>
      <c r="CP274" s="98"/>
      <c r="CR274" s="101"/>
      <c r="CS274" s="101"/>
      <c r="CT274" s="101"/>
      <c r="CU274" s="101"/>
      <c r="CV274" s="101"/>
      <c r="FL274" s="103"/>
      <c r="FN274" s="103"/>
      <c r="FP274" s="103"/>
      <c r="FR274" s="103"/>
    </row>
    <row r="275" spans="2:174" x14ac:dyDescent="0.35">
      <c r="B275" s="97"/>
      <c r="G275" s="100"/>
      <c r="K275" s="98"/>
      <c r="L275" s="101"/>
      <c r="M275" s="101"/>
      <c r="N275" s="101"/>
      <c r="O275" s="101"/>
      <c r="P275" s="102"/>
      <c r="Q275" s="101"/>
      <c r="R275" s="98"/>
      <c r="S275" s="98"/>
      <c r="T275" s="98"/>
      <c r="U275" s="98"/>
      <c r="V275" s="98"/>
      <c r="W275" s="98"/>
      <c r="X275" s="98"/>
      <c r="Y275" s="98"/>
      <c r="Z275" s="103"/>
      <c r="AA275" s="103"/>
      <c r="AB275" s="103"/>
      <c r="AC275" s="103"/>
      <c r="AD275" s="103"/>
      <c r="AE275" s="103"/>
      <c r="AF275" s="103"/>
      <c r="AG275" s="101"/>
      <c r="AH275" s="101"/>
      <c r="AI275" s="101"/>
      <c r="AJ275" s="101"/>
      <c r="AK275" s="101"/>
      <c r="AL275" s="101"/>
      <c r="AM275" s="101"/>
      <c r="AN275" s="103"/>
      <c r="AO275" s="103"/>
      <c r="AP275" s="103"/>
      <c r="AQ275" s="103"/>
      <c r="AR275" s="103"/>
      <c r="AS275" s="103"/>
      <c r="AT275" s="103"/>
      <c r="AU275" s="101"/>
      <c r="AV275" s="101"/>
      <c r="AW275" s="101"/>
      <c r="AX275" s="101"/>
      <c r="AY275" s="101"/>
      <c r="AZ275" s="101"/>
      <c r="BA275" s="101"/>
      <c r="BB275" s="103"/>
      <c r="BC275" s="103"/>
      <c r="BD275" s="103"/>
      <c r="BE275" s="101"/>
      <c r="BF275" s="101"/>
      <c r="BG275" s="101"/>
      <c r="BH275" s="101"/>
      <c r="BI275" s="101"/>
      <c r="BM275" s="101"/>
      <c r="BN275" s="101"/>
      <c r="BO275" s="101"/>
      <c r="BP275" s="101"/>
      <c r="BQ275" s="101"/>
      <c r="BR275" s="101"/>
      <c r="BS275" s="101"/>
      <c r="BT275" s="104"/>
      <c r="BU275" s="104"/>
      <c r="BV275" s="104"/>
      <c r="BW275" s="104"/>
      <c r="BX275" s="104"/>
      <c r="BY275" s="104"/>
      <c r="BZ275" s="104"/>
      <c r="CA275" s="104"/>
      <c r="CB275" s="104"/>
      <c r="CC275" s="104"/>
      <c r="CD275" s="104"/>
      <c r="CE275" s="104"/>
      <c r="CF275" s="104"/>
      <c r="CG275" s="104"/>
      <c r="CH275" s="104"/>
      <c r="CI275" s="104"/>
      <c r="CJ275" s="104"/>
      <c r="CK275" s="104"/>
      <c r="CL275" s="104"/>
      <c r="CM275" s="104"/>
      <c r="CN275" s="104"/>
      <c r="CO275" s="104"/>
      <c r="CP275" s="98"/>
      <c r="CR275" s="101"/>
      <c r="CS275" s="101"/>
      <c r="CT275" s="101"/>
      <c r="CU275" s="101"/>
      <c r="CV275" s="101"/>
      <c r="FL275" s="103"/>
      <c r="FN275" s="103"/>
      <c r="FP275" s="103"/>
      <c r="FR275" s="103"/>
    </row>
    <row r="276" spans="2:174" x14ac:dyDescent="0.35">
      <c r="B276" s="97"/>
      <c r="G276" s="100"/>
      <c r="K276" s="98"/>
      <c r="L276" s="101"/>
      <c r="M276" s="101"/>
      <c r="N276" s="101"/>
      <c r="O276" s="101"/>
      <c r="P276" s="102"/>
      <c r="Q276" s="101"/>
      <c r="R276" s="98"/>
      <c r="S276" s="98"/>
      <c r="T276" s="98"/>
      <c r="U276" s="98"/>
      <c r="V276" s="98"/>
      <c r="W276" s="98"/>
      <c r="X276" s="98"/>
      <c r="Y276" s="98"/>
      <c r="Z276" s="103"/>
      <c r="AA276" s="103"/>
      <c r="AB276" s="103"/>
      <c r="AC276" s="103"/>
      <c r="AD276" s="103"/>
      <c r="AE276" s="103"/>
      <c r="AF276" s="103"/>
      <c r="AG276" s="101"/>
      <c r="AH276" s="101"/>
      <c r="AI276" s="101"/>
      <c r="AJ276" s="101"/>
      <c r="AK276" s="101"/>
      <c r="AL276" s="101"/>
      <c r="AM276" s="101"/>
      <c r="AN276" s="103"/>
      <c r="AO276" s="103"/>
      <c r="AP276" s="103"/>
      <c r="AQ276" s="103"/>
      <c r="AR276" s="103"/>
      <c r="AS276" s="103"/>
      <c r="AT276" s="103"/>
      <c r="AU276" s="101"/>
      <c r="AV276" s="101"/>
      <c r="AW276" s="101"/>
      <c r="AX276" s="101"/>
      <c r="AY276" s="101"/>
      <c r="AZ276" s="101"/>
      <c r="BA276" s="101"/>
      <c r="BB276" s="103"/>
      <c r="BC276" s="103"/>
      <c r="BD276" s="103"/>
      <c r="BE276" s="101"/>
      <c r="BF276" s="101"/>
      <c r="BG276" s="101"/>
      <c r="BH276" s="101"/>
      <c r="BI276" s="101"/>
      <c r="BM276" s="101"/>
      <c r="BN276" s="101"/>
      <c r="BO276" s="101"/>
      <c r="BP276" s="101"/>
      <c r="BQ276" s="101"/>
      <c r="BR276" s="101"/>
      <c r="BS276" s="101"/>
      <c r="BT276" s="104"/>
      <c r="BU276" s="104"/>
      <c r="BV276" s="104"/>
      <c r="BW276" s="104"/>
      <c r="BX276" s="104"/>
      <c r="BY276" s="104"/>
      <c r="BZ276" s="104"/>
      <c r="CA276" s="104"/>
      <c r="CB276" s="104"/>
      <c r="CC276" s="104"/>
      <c r="CD276" s="104"/>
      <c r="CE276" s="104"/>
      <c r="CF276" s="104"/>
      <c r="CG276" s="104"/>
      <c r="CH276" s="104"/>
      <c r="CI276" s="104"/>
      <c r="CJ276" s="104"/>
      <c r="CK276" s="104"/>
      <c r="CL276" s="104"/>
      <c r="CM276" s="104"/>
      <c r="CN276" s="104"/>
      <c r="CO276" s="104"/>
      <c r="CP276" s="98"/>
      <c r="CR276" s="101"/>
      <c r="CS276" s="101"/>
      <c r="CT276" s="101"/>
      <c r="CU276" s="101"/>
      <c r="CV276" s="101"/>
      <c r="FL276" s="103"/>
      <c r="FN276" s="103"/>
      <c r="FP276" s="103"/>
      <c r="FR276" s="103"/>
    </row>
    <row r="277" spans="2:174" x14ac:dyDescent="0.35">
      <c r="B277" s="97"/>
      <c r="G277" s="100"/>
      <c r="K277" s="98"/>
      <c r="L277" s="101"/>
      <c r="M277" s="101"/>
      <c r="N277" s="101"/>
      <c r="O277" s="101"/>
      <c r="P277" s="102"/>
      <c r="Q277" s="101"/>
      <c r="R277" s="98"/>
      <c r="S277" s="98"/>
      <c r="T277" s="98"/>
      <c r="U277" s="98"/>
      <c r="V277" s="98"/>
      <c r="W277" s="98"/>
      <c r="X277" s="98"/>
      <c r="Y277" s="98"/>
      <c r="Z277" s="103"/>
      <c r="AA277" s="103"/>
      <c r="AB277" s="103"/>
      <c r="AC277" s="103"/>
      <c r="AD277" s="103"/>
      <c r="AE277" s="103"/>
      <c r="AF277" s="103"/>
      <c r="AG277" s="101"/>
      <c r="AH277" s="101"/>
      <c r="AI277" s="101"/>
      <c r="AJ277" s="101"/>
      <c r="AK277" s="101"/>
      <c r="AL277" s="101"/>
      <c r="AM277" s="101"/>
      <c r="AN277" s="103"/>
      <c r="AO277" s="103"/>
      <c r="AP277" s="103"/>
      <c r="AQ277" s="103"/>
      <c r="AR277" s="103"/>
      <c r="AS277" s="103"/>
      <c r="AT277" s="103"/>
      <c r="AU277" s="101"/>
      <c r="AV277" s="101"/>
      <c r="AW277" s="101"/>
      <c r="AX277" s="101"/>
      <c r="AY277" s="101"/>
      <c r="AZ277" s="101"/>
      <c r="BA277" s="101"/>
      <c r="BB277" s="103"/>
      <c r="BC277" s="103"/>
      <c r="BD277" s="103"/>
      <c r="BE277" s="101"/>
      <c r="BF277" s="101"/>
      <c r="BG277" s="101"/>
      <c r="BH277" s="101"/>
      <c r="BI277" s="101"/>
      <c r="BM277" s="101"/>
      <c r="BN277" s="101"/>
      <c r="BO277" s="101"/>
      <c r="BP277" s="101"/>
      <c r="BQ277" s="101"/>
      <c r="BR277" s="101"/>
      <c r="BS277" s="101"/>
      <c r="BT277" s="104"/>
      <c r="BU277" s="104"/>
      <c r="BV277" s="104"/>
      <c r="BW277" s="104"/>
      <c r="BX277" s="104"/>
      <c r="BY277" s="104"/>
      <c r="BZ277" s="104"/>
      <c r="CA277" s="104"/>
      <c r="CB277" s="104"/>
      <c r="CC277" s="104"/>
      <c r="CD277" s="104"/>
      <c r="CE277" s="104"/>
      <c r="CF277" s="104"/>
      <c r="CG277" s="104"/>
      <c r="CH277" s="104"/>
      <c r="CI277" s="104"/>
      <c r="CJ277" s="104"/>
      <c r="CK277" s="104"/>
      <c r="CL277" s="104"/>
      <c r="CM277" s="104"/>
      <c r="CN277" s="104"/>
      <c r="CO277" s="104"/>
      <c r="CP277" s="98"/>
      <c r="CR277" s="101"/>
      <c r="CS277" s="101"/>
      <c r="CT277" s="101"/>
      <c r="CU277" s="101"/>
      <c r="CV277" s="101"/>
      <c r="FL277" s="103"/>
      <c r="FN277" s="103"/>
      <c r="FP277" s="103"/>
      <c r="FR277" s="103"/>
    </row>
    <row r="278" spans="2:174" x14ac:dyDescent="0.35">
      <c r="B278" s="97"/>
      <c r="G278" s="100"/>
      <c r="K278" s="98"/>
      <c r="L278" s="101"/>
      <c r="M278" s="101"/>
      <c r="N278" s="101"/>
      <c r="O278" s="101"/>
      <c r="P278" s="102"/>
      <c r="Q278" s="101"/>
      <c r="R278" s="98"/>
      <c r="S278" s="98"/>
      <c r="T278" s="98"/>
      <c r="U278" s="98"/>
      <c r="V278" s="98"/>
      <c r="W278" s="98"/>
      <c r="X278" s="98"/>
      <c r="Y278" s="98"/>
      <c r="Z278" s="103"/>
      <c r="AA278" s="103"/>
      <c r="AB278" s="103"/>
      <c r="AC278" s="103"/>
      <c r="AD278" s="103"/>
      <c r="AE278" s="103"/>
      <c r="AF278" s="103"/>
      <c r="AG278" s="101"/>
      <c r="AH278" s="101"/>
      <c r="AI278" s="101"/>
      <c r="AJ278" s="101"/>
      <c r="AK278" s="101"/>
      <c r="AL278" s="101"/>
      <c r="AM278" s="101"/>
      <c r="AN278" s="103"/>
      <c r="AO278" s="103"/>
      <c r="AP278" s="103"/>
      <c r="AQ278" s="103"/>
      <c r="AR278" s="103"/>
      <c r="AS278" s="103"/>
      <c r="AT278" s="103"/>
      <c r="AU278" s="101"/>
      <c r="AV278" s="101"/>
      <c r="AW278" s="101"/>
      <c r="AX278" s="101"/>
      <c r="AY278" s="101"/>
      <c r="AZ278" s="101"/>
      <c r="BA278" s="101"/>
      <c r="BB278" s="103"/>
      <c r="BC278" s="103"/>
      <c r="BD278" s="103"/>
      <c r="BE278" s="101"/>
      <c r="BF278" s="101"/>
      <c r="BG278" s="101"/>
      <c r="BH278" s="101"/>
      <c r="BI278" s="101"/>
      <c r="BM278" s="101"/>
      <c r="BN278" s="101"/>
      <c r="BO278" s="101"/>
      <c r="BP278" s="101"/>
      <c r="BQ278" s="101"/>
      <c r="BR278" s="101"/>
      <c r="BS278" s="101"/>
      <c r="BT278" s="104"/>
      <c r="BU278" s="104"/>
      <c r="BV278" s="104"/>
      <c r="BW278" s="104"/>
      <c r="BX278" s="104"/>
      <c r="BY278" s="104"/>
      <c r="BZ278" s="104"/>
      <c r="CA278" s="104"/>
      <c r="CB278" s="104"/>
      <c r="CC278" s="104"/>
      <c r="CD278" s="104"/>
      <c r="CE278" s="104"/>
      <c r="CF278" s="104"/>
      <c r="CG278" s="104"/>
      <c r="CH278" s="104"/>
      <c r="CI278" s="104"/>
      <c r="CJ278" s="104"/>
      <c r="CK278" s="104"/>
      <c r="CL278" s="104"/>
      <c r="CM278" s="104"/>
      <c r="CN278" s="104"/>
      <c r="CO278" s="104"/>
      <c r="CP278" s="98"/>
      <c r="CR278" s="101"/>
      <c r="CS278" s="101"/>
      <c r="CT278" s="101"/>
      <c r="CU278" s="101"/>
      <c r="CV278" s="101"/>
      <c r="FL278" s="103"/>
      <c r="FN278" s="103"/>
      <c r="FP278" s="103"/>
      <c r="FR278" s="103"/>
    </row>
    <row r="279" spans="2:174" x14ac:dyDescent="0.35">
      <c r="B279" s="97"/>
      <c r="G279" s="100"/>
      <c r="K279" s="98"/>
      <c r="L279" s="101"/>
      <c r="M279" s="101"/>
      <c r="N279" s="101"/>
      <c r="O279" s="101"/>
      <c r="P279" s="102"/>
      <c r="Q279" s="101"/>
      <c r="R279" s="98"/>
      <c r="S279" s="98"/>
      <c r="T279" s="98"/>
      <c r="U279" s="98"/>
      <c r="V279" s="98"/>
      <c r="W279" s="98"/>
      <c r="X279" s="98"/>
      <c r="Y279" s="98"/>
      <c r="Z279" s="103"/>
      <c r="AA279" s="103"/>
      <c r="AB279" s="103"/>
      <c r="AC279" s="103"/>
      <c r="AD279" s="103"/>
      <c r="AE279" s="103"/>
      <c r="AF279" s="103"/>
      <c r="AG279" s="101"/>
      <c r="AH279" s="101"/>
      <c r="AI279" s="101"/>
      <c r="AJ279" s="101"/>
      <c r="AK279" s="101"/>
      <c r="AL279" s="101"/>
      <c r="AM279" s="101"/>
      <c r="AN279" s="103"/>
      <c r="AO279" s="103"/>
      <c r="AP279" s="103"/>
      <c r="AQ279" s="103"/>
      <c r="AR279" s="103"/>
      <c r="AS279" s="103"/>
      <c r="AT279" s="103"/>
      <c r="AU279" s="101"/>
      <c r="AV279" s="101"/>
      <c r="AW279" s="101"/>
      <c r="AX279" s="101"/>
      <c r="AY279" s="101"/>
      <c r="AZ279" s="101"/>
      <c r="BA279" s="101"/>
      <c r="BB279" s="103"/>
      <c r="BC279" s="103"/>
      <c r="BD279" s="103"/>
      <c r="BE279" s="101"/>
      <c r="BF279" s="101"/>
      <c r="BG279" s="101"/>
      <c r="BH279" s="101"/>
      <c r="BI279" s="101"/>
      <c r="BM279" s="101"/>
      <c r="BN279" s="101"/>
      <c r="BO279" s="101"/>
      <c r="BP279" s="101"/>
      <c r="BQ279" s="101"/>
      <c r="BR279" s="101"/>
      <c r="BS279" s="101"/>
      <c r="BT279" s="104"/>
      <c r="BU279" s="104"/>
      <c r="BV279" s="104"/>
      <c r="BW279" s="104"/>
      <c r="BX279" s="104"/>
      <c r="BY279" s="104"/>
      <c r="BZ279" s="104"/>
      <c r="CA279" s="104"/>
      <c r="CB279" s="104"/>
      <c r="CC279" s="104"/>
      <c r="CD279" s="104"/>
      <c r="CE279" s="104"/>
      <c r="CF279" s="104"/>
      <c r="CG279" s="104"/>
      <c r="CH279" s="104"/>
      <c r="CI279" s="104"/>
      <c r="CJ279" s="104"/>
      <c r="CK279" s="104"/>
      <c r="CL279" s="104"/>
      <c r="CM279" s="104"/>
      <c r="CN279" s="104"/>
      <c r="CO279" s="104"/>
      <c r="CP279" s="98"/>
      <c r="CR279" s="101"/>
      <c r="CS279" s="101"/>
      <c r="CT279" s="101"/>
      <c r="CU279" s="101"/>
      <c r="CV279" s="101"/>
      <c r="FL279" s="103"/>
      <c r="FN279" s="103"/>
      <c r="FP279" s="103"/>
      <c r="FR279" s="103"/>
    </row>
    <row r="280" spans="2:174" x14ac:dyDescent="0.35">
      <c r="B280" s="97"/>
      <c r="G280" s="100"/>
      <c r="K280" s="98"/>
      <c r="L280" s="101"/>
      <c r="M280" s="101"/>
      <c r="N280" s="101"/>
      <c r="O280" s="101"/>
      <c r="P280" s="102"/>
      <c r="Q280" s="101"/>
      <c r="R280" s="98"/>
      <c r="S280" s="98"/>
      <c r="T280" s="98"/>
      <c r="U280" s="98"/>
      <c r="V280" s="98"/>
      <c r="W280" s="98"/>
      <c r="X280" s="98"/>
      <c r="Y280" s="98"/>
      <c r="Z280" s="103"/>
      <c r="AA280" s="103"/>
      <c r="AB280" s="103"/>
      <c r="AC280" s="103"/>
      <c r="AD280" s="103"/>
      <c r="AE280" s="103"/>
      <c r="AF280" s="103"/>
      <c r="AG280" s="101"/>
      <c r="AH280" s="101"/>
      <c r="AI280" s="101"/>
      <c r="AJ280" s="101"/>
      <c r="AK280" s="101"/>
      <c r="AL280" s="101"/>
      <c r="AM280" s="101"/>
      <c r="AN280" s="103"/>
      <c r="AO280" s="103"/>
      <c r="AP280" s="103"/>
      <c r="AQ280" s="103"/>
      <c r="AR280" s="103"/>
      <c r="AS280" s="103"/>
      <c r="AT280" s="103"/>
      <c r="AU280" s="101"/>
      <c r="AV280" s="101"/>
      <c r="AW280" s="101"/>
      <c r="AX280" s="101"/>
      <c r="AY280" s="101"/>
      <c r="AZ280" s="101"/>
      <c r="BA280" s="101"/>
      <c r="BB280" s="103"/>
      <c r="BC280" s="103"/>
      <c r="BD280" s="103"/>
      <c r="BE280" s="101"/>
      <c r="BF280" s="101"/>
      <c r="BG280" s="101"/>
      <c r="BH280" s="101"/>
      <c r="BI280" s="101"/>
      <c r="BM280" s="101"/>
      <c r="BN280" s="101"/>
      <c r="BO280" s="101"/>
      <c r="BP280" s="101"/>
      <c r="BQ280" s="101"/>
      <c r="BR280" s="101"/>
      <c r="BS280" s="101"/>
      <c r="BT280" s="104"/>
      <c r="BU280" s="104"/>
      <c r="BV280" s="104"/>
      <c r="BW280" s="104"/>
      <c r="BX280" s="104"/>
      <c r="BY280" s="104"/>
      <c r="BZ280" s="104"/>
      <c r="CA280" s="104"/>
      <c r="CB280" s="104"/>
      <c r="CC280" s="104"/>
      <c r="CD280" s="104"/>
      <c r="CE280" s="104"/>
      <c r="CF280" s="104"/>
      <c r="CG280" s="104"/>
      <c r="CH280" s="104"/>
      <c r="CI280" s="104"/>
      <c r="CJ280" s="104"/>
      <c r="CK280" s="104"/>
      <c r="CL280" s="104"/>
      <c r="CM280" s="104"/>
      <c r="CN280" s="104"/>
      <c r="CO280" s="104"/>
      <c r="CP280" s="98"/>
      <c r="CR280" s="101"/>
      <c r="CS280" s="101"/>
      <c r="CT280" s="101"/>
      <c r="CU280" s="101"/>
      <c r="CV280" s="101"/>
      <c r="FL280" s="103"/>
      <c r="FN280" s="103"/>
      <c r="FP280" s="103"/>
      <c r="FR280" s="103"/>
    </row>
    <row r="281" spans="2:174" x14ac:dyDescent="0.35">
      <c r="B281" s="97"/>
      <c r="G281" s="100"/>
      <c r="K281" s="98"/>
      <c r="L281" s="101"/>
      <c r="M281" s="101"/>
      <c r="N281" s="101"/>
      <c r="O281" s="101"/>
      <c r="P281" s="102"/>
      <c r="Q281" s="101"/>
      <c r="R281" s="98"/>
      <c r="S281" s="98"/>
      <c r="T281" s="98"/>
      <c r="U281" s="98"/>
      <c r="V281" s="98"/>
      <c r="W281" s="98"/>
      <c r="X281" s="98"/>
      <c r="Y281" s="98"/>
      <c r="Z281" s="103"/>
      <c r="AA281" s="103"/>
      <c r="AB281" s="103"/>
      <c r="AC281" s="103"/>
      <c r="AD281" s="103"/>
      <c r="AE281" s="103"/>
      <c r="AF281" s="103"/>
      <c r="AG281" s="101"/>
      <c r="AH281" s="101"/>
      <c r="AI281" s="101"/>
      <c r="AJ281" s="101"/>
      <c r="AK281" s="101"/>
      <c r="AL281" s="101"/>
      <c r="AM281" s="101"/>
      <c r="AN281" s="103"/>
      <c r="AO281" s="103"/>
      <c r="AP281" s="103"/>
      <c r="AQ281" s="103"/>
      <c r="AR281" s="103"/>
      <c r="AS281" s="103"/>
      <c r="AT281" s="103"/>
      <c r="AU281" s="101"/>
      <c r="AV281" s="101"/>
      <c r="AW281" s="101"/>
      <c r="AX281" s="101"/>
      <c r="AY281" s="101"/>
      <c r="AZ281" s="101"/>
      <c r="BA281" s="101"/>
      <c r="BB281" s="103"/>
      <c r="BC281" s="103"/>
      <c r="BD281" s="103"/>
      <c r="BE281" s="101"/>
      <c r="BF281" s="101"/>
      <c r="BG281" s="101"/>
      <c r="BH281" s="101"/>
      <c r="BI281" s="101"/>
      <c r="BM281" s="101"/>
      <c r="BN281" s="101"/>
      <c r="BO281" s="101"/>
      <c r="BP281" s="101"/>
      <c r="BQ281" s="101"/>
      <c r="BR281" s="101"/>
      <c r="BS281" s="101"/>
      <c r="BT281" s="104"/>
      <c r="BU281" s="104"/>
      <c r="BV281" s="104"/>
      <c r="BW281" s="104"/>
      <c r="BX281" s="104"/>
      <c r="BY281" s="104"/>
      <c r="BZ281" s="104"/>
      <c r="CA281" s="104"/>
      <c r="CB281" s="104"/>
      <c r="CC281" s="104"/>
      <c r="CD281" s="104"/>
      <c r="CE281" s="104"/>
      <c r="CF281" s="104"/>
      <c r="CG281" s="104"/>
      <c r="CH281" s="104"/>
      <c r="CI281" s="104"/>
      <c r="CJ281" s="104"/>
      <c r="CK281" s="104"/>
      <c r="CL281" s="104"/>
      <c r="CM281" s="104"/>
      <c r="CN281" s="104"/>
      <c r="CO281" s="104"/>
      <c r="CP281" s="98"/>
      <c r="CR281" s="101"/>
      <c r="CS281" s="101"/>
      <c r="CT281" s="101"/>
      <c r="CU281" s="101"/>
      <c r="CV281" s="101"/>
      <c r="FL281" s="103"/>
      <c r="FN281" s="103"/>
      <c r="FP281" s="103"/>
      <c r="FR281" s="103"/>
    </row>
    <row r="282" spans="2:174" x14ac:dyDescent="0.35">
      <c r="B282" s="97"/>
      <c r="G282" s="100"/>
      <c r="K282" s="98"/>
      <c r="L282" s="101"/>
      <c r="M282" s="101"/>
      <c r="N282" s="101"/>
      <c r="O282" s="101"/>
      <c r="P282" s="102"/>
      <c r="Q282" s="101"/>
      <c r="R282" s="98"/>
      <c r="S282" s="98"/>
      <c r="T282" s="98"/>
      <c r="U282" s="98"/>
      <c r="V282" s="98"/>
      <c r="W282" s="98"/>
      <c r="X282" s="98"/>
      <c r="Y282" s="98"/>
      <c r="Z282" s="103"/>
      <c r="AA282" s="103"/>
      <c r="AB282" s="103"/>
      <c r="AC282" s="103"/>
      <c r="AD282" s="103"/>
      <c r="AE282" s="103"/>
      <c r="AF282" s="103"/>
      <c r="AG282" s="101"/>
      <c r="AH282" s="101"/>
      <c r="AI282" s="101"/>
      <c r="AJ282" s="101"/>
      <c r="AK282" s="101"/>
      <c r="AL282" s="101"/>
      <c r="AM282" s="101"/>
      <c r="AN282" s="103"/>
      <c r="AO282" s="103"/>
      <c r="AP282" s="103"/>
      <c r="AQ282" s="103"/>
      <c r="AR282" s="103"/>
      <c r="AS282" s="103"/>
      <c r="AT282" s="103"/>
      <c r="AU282" s="101"/>
      <c r="AV282" s="101"/>
      <c r="AW282" s="101"/>
      <c r="AX282" s="101"/>
      <c r="AY282" s="101"/>
      <c r="AZ282" s="101"/>
      <c r="BA282" s="101"/>
      <c r="BB282" s="103"/>
      <c r="BC282" s="103"/>
      <c r="BD282" s="103"/>
      <c r="BE282" s="101"/>
      <c r="BF282" s="101"/>
      <c r="BG282" s="101"/>
      <c r="BH282" s="101"/>
      <c r="BI282" s="101"/>
      <c r="BM282" s="101"/>
      <c r="BN282" s="101"/>
      <c r="BO282" s="101"/>
      <c r="BP282" s="101"/>
      <c r="BQ282" s="101"/>
      <c r="BR282" s="101"/>
      <c r="BS282" s="101"/>
      <c r="BT282" s="104"/>
      <c r="BU282" s="104"/>
      <c r="BV282" s="104"/>
      <c r="BW282" s="104"/>
      <c r="BX282" s="104"/>
      <c r="BY282" s="104"/>
      <c r="BZ282" s="104"/>
      <c r="CA282" s="104"/>
      <c r="CB282" s="104"/>
      <c r="CC282" s="104"/>
      <c r="CD282" s="104"/>
      <c r="CE282" s="104"/>
      <c r="CF282" s="104"/>
      <c r="CG282" s="104"/>
      <c r="CH282" s="104"/>
      <c r="CI282" s="104"/>
      <c r="CJ282" s="104"/>
      <c r="CK282" s="104"/>
      <c r="CL282" s="104"/>
      <c r="CM282" s="104"/>
      <c r="CN282" s="104"/>
      <c r="CO282" s="104"/>
      <c r="CP282" s="98"/>
      <c r="CR282" s="101"/>
      <c r="CS282" s="101"/>
      <c r="CT282" s="101"/>
      <c r="CU282" s="101"/>
      <c r="CV282" s="101"/>
      <c r="FL282" s="103"/>
      <c r="FN282" s="103"/>
      <c r="FP282" s="103"/>
      <c r="FR282" s="103"/>
    </row>
    <row r="283" spans="2:174" x14ac:dyDescent="0.35">
      <c r="B283" s="97"/>
      <c r="G283" s="100"/>
      <c r="K283" s="98"/>
      <c r="L283" s="101"/>
      <c r="M283" s="101"/>
      <c r="N283" s="101"/>
      <c r="O283" s="101"/>
      <c r="P283" s="102"/>
      <c r="Q283" s="101"/>
      <c r="R283" s="98"/>
      <c r="S283" s="98"/>
      <c r="T283" s="98"/>
      <c r="U283" s="98"/>
      <c r="V283" s="98"/>
      <c r="W283" s="98"/>
      <c r="X283" s="98"/>
      <c r="Y283" s="98"/>
      <c r="Z283" s="103"/>
      <c r="AA283" s="103"/>
      <c r="AB283" s="103"/>
      <c r="AC283" s="103"/>
      <c r="AD283" s="103"/>
      <c r="AE283" s="103"/>
      <c r="AF283" s="103"/>
      <c r="AG283" s="101"/>
      <c r="AH283" s="101"/>
      <c r="AI283" s="101"/>
      <c r="AJ283" s="101"/>
      <c r="AK283" s="101"/>
      <c r="AL283" s="101"/>
      <c r="AM283" s="101"/>
      <c r="AN283" s="103"/>
      <c r="AO283" s="103"/>
      <c r="AP283" s="103"/>
      <c r="AQ283" s="103"/>
      <c r="AR283" s="103"/>
      <c r="AS283" s="103"/>
      <c r="AT283" s="103"/>
      <c r="AU283" s="101"/>
      <c r="AV283" s="101"/>
      <c r="AW283" s="101"/>
      <c r="AX283" s="101"/>
      <c r="AY283" s="101"/>
      <c r="AZ283" s="101"/>
      <c r="BA283" s="101"/>
      <c r="BB283" s="103"/>
      <c r="BC283" s="103"/>
      <c r="BD283" s="103"/>
      <c r="BE283" s="101"/>
      <c r="BF283" s="101"/>
      <c r="BG283" s="101"/>
      <c r="BH283" s="101"/>
      <c r="BI283" s="101"/>
      <c r="BM283" s="101"/>
      <c r="BN283" s="101"/>
      <c r="BO283" s="101"/>
      <c r="BP283" s="101"/>
      <c r="BQ283" s="101"/>
      <c r="BR283" s="101"/>
      <c r="BS283" s="101"/>
      <c r="BT283" s="104"/>
      <c r="BU283" s="104"/>
      <c r="BV283" s="104"/>
      <c r="BW283" s="104"/>
      <c r="BX283" s="104"/>
      <c r="BY283" s="104"/>
      <c r="BZ283" s="104"/>
      <c r="CA283" s="104"/>
      <c r="CB283" s="104"/>
      <c r="CC283" s="104"/>
      <c r="CD283" s="104"/>
      <c r="CE283" s="104"/>
      <c r="CF283" s="104"/>
      <c r="CG283" s="104"/>
      <c r="CH283" s="104"/>
      <c r="CI283" s="104"/>
      <c r="CJ283" s="104"/>
      <c r="CK283" s="104"/>
      <c r="CL283" s="104"/>
      <c r="CM283" s="104"/>
      <c r="CN283" s="104"/>
      <c r="CO283" s="104"/>
      <c r="CP283" s="98"/>
      <c r="CR283" s="101"/>
      <c r="CS283" s="101"/>
      <c r="CT283" s="101"/>
      <c r="CU283" s="101"/>
      <c r="CV283" s="101"/>
      <c r="FL283" s="103"/>
      <c r="FN283" s="103"/>
      <c r="FP283" s="103"/>
      <c r="FR283" s="103"/>
    </row>
    <row r="284" spans="2:174" x14ac:dyDescent="0.35">
      <c r="B284" s="97"/>
      <c r="G284" s="100"/>
      <c r="K284" s="98"/>
      <c r="L284" s="101"/>
      <c r="M284" s="101"/>
      <c r="N284" s="101"/>
      <c r="O284" s="101"/>
      <c r="P284" s="102"/>
      <c r="Q284" s="101"/>
      <c r="R284" s="98"/>
      <c r="S284" s="98"/>
      <c r="T284" s="98"/>
      <c r="U284" s="98"/>
      <c r="V284" s="98"/>
      <c r="W284" s="98"/>
      <c r="X284" s="98"/>
      <c r="Y284" s="98"/>
      <c r="Z284" s="103"/>
      <c r="AA284" s="103"/>
      <c r="AB284" s="103"/>
      <c r="AC284" s="103"/>
      <c r="AD284" s="103"/>
      <c r="AE284" s="103"/>
      <c r="AF284" s="103"/>
      <c r="AG284" s="101"/>
      <c r="AH284" s="101"/>
      <c r="AI284" s="101"/>
      <c r="AJ284" s="101"/>
      <c r="AK284" s="101"/>
      <c r="AL284" s="101"/>
      <c r="AM284" s="101"/>
      <c r="AN284" s="103"/>
      <c r="AO284" s="103"/>
      <c r="AP284" s="103"/>
      <c r="AQ284" s="103"/>
      <c r="AR284" s="103"/>
      <c r="AS284" s="103"/>
      <c r="AT284" s="103"/>
      <c r="AU284" s="101"/>
      <c r="AV284" s="101"/>
      <c r="AW284" s="101"/>
      <c r="AX284" s="101"/>
      <c r="AY284" s="101"/>
      <c r="AZ284" s="101"/>
      <c r="BA284" s="101"/>
      <c r="BB284" s="103"/>
      <c r="BC284" s="103"/>
      <c r="BD284" s="103"/>
      <c r="BE284" s="101"/>
      <c r="BF284" s="101"/>
      <c r="BG284" s="101"/>
      <c r="BH284" s="101"/>
      <c r="BI284" s="101"/>
      <c r="BM284" s="101"/>
      <c r="BN284" s="101"/>
      <c r="BO284" s="101"/>
      <c r="BP284" s="101"/>
      <c r="BQ284" s="101"/>
      <c r="BR284" s="101"/>
      <c r="BS284" s="101"/>
      <c r="BT284" s="104"/>
      <c r="BU284" s="104"/>
      <c r="BV284" s="104"/>
      <c r="BW284" s="104"/>
      <c r="BX284" s="104"/>
      <c r="BY284" s="104"/>
      <c r="BZ284" s="104"/>
      <c r="CA284" s="104"/>
      <c r="CB284" s="104"/>
      <c r="CC284" s="104"/>
      <c r="CD284" s="104"/>
      <c r="CE284" s="104"/>
      <c r="CF284" s="104"/>
      <c r="CG284" s="104"/>
      <c r="CH284" s="104"/>
      <c r="CI284" s="104"/>
      <c r="CJ284" s="104"/>
      <c r="CK284" s="104"/>
      <c r="CL284" s="104"/>
      <c r="CM284" s="104"/>
      <c r="CN284" s="104"/>
      <c r="CO284" s="104"/>
      <c r="CP284" s="98"/>
      <c r="CR284" s="101"/>
      <c r="CS284" s="101"/>
      <c r="CT284" s="101"/>
      <c r="CU284" s="101"/>
      <c r="CV284" s="101"/>
      <c r="FL284" s="103"/>
      <c r="FN284" s="103"/>
      <c r="FP284" s="103"/>
      <c r="FR284" s="103"/>
    </row>
    <row r="285" spans="2:174" x14ac:dyDescent="0.35">
      <c r="B285" s="97"/>
      <c r="G285" s="100"/>
      <c r="K285" s="98"/>
      <c r="L285" s="101"/>
      <c r="M285" s="101"/>
      <c r="N285" s="101"/>
      <c r="O285" s="101"/>
      <c r="P285" s="102"/>
      <c r="Q285" s="101"/>
      <c r="R285" s="98"/>
      <c r="S285" s="98"/>
      <c r="T285" s="98"/>
      <c r="U285" s="98"/>
      <c r="V285" s="98"/>
      <c r="W285" s="98"/>
      <c r="X285" s="98"/>
      <c r="Y285" s="98"/>
      <c r="Z285" s="103"/>
      <c r="AA285" s="103"/>
      <c r="AB285" s="103"/>
      <c r="AC285" s="103"/>
      <c r="AD285" s="103"/>
      <c r="AE285" s="103"/>
      <c r="AF285" s="103"/>
      <c r="AG285" s="101"/>
      <c r="AH285" s="101"/>
      <c r="AI285" s="101"/>
      <c r="AJ285" s="101"/>
      <c r="AK285" s="101"/>
      <c r="AL285" s="101"/>
      <c r="AM285" s="101"/>
      <c r="AN285" s="103"/>
      <c r="AO285" s="103"/>
      <c r="AP285" s="103"/>
      <c r="AQ285" s="103"/>
      <c r="AR285" s="103"/>
      <c r="AS285" s="103"/>
      <c r="AT285" s="103"/>
      <c r="AU285" s="101"/>
      <c r="AV285" s="101"/>
      <c r="AW285" s="101"/>
      <c r="AX285" s="101"/>
      <c r="AY285" s="101"/>
      <c r="AZ285" s="101"/>
      <c r="BA285" s="101"/>
      <c r="BB285" s="103"/>
      <c r="BC285" s="103"/>
      <c r="BD285" s="103"/>
      <c r="BE285" s="101"/>
      <c r="BF285" s="101"/>
      <c r="BG285" s="101"/>
      <c r="BH285" s="101"/>
      <c r="BI285" s="101"/>
      <c r="BM285" s="101"/>
      <c r="BN285" s="101"/>
      <c r="BO285" s="101"/>
      <c r="BP285" s="101"/>
      <c r="BQ285" s="101"/>
      <c r="BR285" s="101"/>
      <c r="BS285" s="101"/>
      <c r="BT285" s="104"/>
      <c r="BU285" s="104"/>
      <c r="BV285" s="104"/>
      <c r="BW285" s="104"/>
      <c r="BX285" s="104"/>
      <c r="BY285" s="104"/>
      <c r="BZ285" s="104"/>
      <c r="CA285" s="104"/>
      <c r="CB285" s="104"/>
      <c r="CC285" s="104"/>
      <c r="CD285" s="104"/>
      <c r="CE285" s="104"/>
      <c r="CF285" s="104"/>
      <c r="CG285" s="104"/>
      <c r="CH285" s="104"/>
      <c r="CI285" s="104"/>
      <c r="CJ285" s="104"/>
      <c r="CK285" s="104"/>
      <c r="CL285" s="104"/>
      <c r="CM285" s="104"/>
      <c r="CN285" s="104"/>
      <c r="CO285" s="104"/>
      <c r="CP285" s="98"/>
      <c r="CR285" s="101"/>
      <c r="CS285" s="101"/>
      <c r="CT285" s="101"/>
      <c r="CU285" s="101"/>
      <c r="CV285" s="101"/>
      <c r="FL285" s="103"/>
      <c r="FN285" s="103"/>
      <c r="FP285" s="103"/>
      <c r="FR285" s="103"/>
    </row>
    <row r="286" spans="2:174" x14ac:dyDescent="0.35">
      <c r="B286" s="97"/>
      <c r="G286" s="100"/>
      <c r="K286" s="98"/>
      <c r="L286" s="101"/>
      <c r="M286" s="101"/>
      <c r="N286" s="101"/>
      <c r="O286" s="101"/>
      <c r="P286" s="102"/>
      <c r="Q286" s="101"/>
      <c r="R286" s="98"/>
      <c r="S286" s="98"/>
      <c r="T286" s="98"/>
      <c r="U286" s="98"/>
      <c r="V286" s="98"/>
      <c r="W286" s="98"/>
      <c r="X286" s="98"/>
      <c r="Y286" s="98"/>
      <c r="Z286" s="103"/>
      <c r="AA286" s="103"/>
      <c r="AB286" s="103"/>
      <c r="AC286" s="103"/>
      <c r="AD286" s="103"/>
      <c r="AE286" s="103"/>
      <c r="AF286" s="103"/>
      <c r="AG286" s="101"/>
      <c r="AH286" s="101"/>
      <c r="AI286" s="101"/>
      <c r="AJ286" s="101"/>
      <c r="AK286" s="101"/>
      <c r="AL286" s="101"/>
      <c r="AM286" s="101"/>
      <c r="AN286" s="103"/>
      <c r="AO286" s="103"/>
      <c r="AP286" s="103"/>
      <c r="AQ286" s="103"/>
      <c r="AR286" s="103"/>
      <c r="AS286" s="103"/>
      <c r="AT286" s="103"/>
      <c r="AU286" s="101"/>
      <c r="AV286" s="101"/>
      <c r="AW286" s="101"/>
      <c r="AX286" s="101"/>
      <c r="AY286" s="101"/>
      <c r="AZ286" s="101"/>
      <c r="BA286" s="101"/>
      <c r="BB286" s="103"/>
      <c r="BC286" s="103"/>
      <c r="BD286" s="103"/>
      <c r="BE286" s="101"/>
      <c r="BF286" s="101"/>
      <c r="BG286" s="101"/>
      <c r="BH286" s="101"/>
      <c r="BI286" s="101"/>
      <c r="BM286" s="101"/>
      <c r="BN286" s="101"/>
      <c r="BO286" s="101"/>
      <c r="BP286" s="101"/>
      <c r="BQ286" s="101"/>
      <c r="BR286" s="101"/>
      <c r="BS286" s="101"/>
      <c r="BT286" s="104"/>
      <c r="BU286" s="104"/>
      <c r="BV286" s="104"/>
      <c r="BW286" s="104"/>
      <c r="BX286" s="104"/>
      <c r="BY286" s="104"/>
      <c r="BZ286" s="104"/>
      <c r="CA286" s="104"/>
      <c r="CB286" s="104"/>
      <c r="CC286" s="104"/>
      <c r="CD286" s="104"/>
      <c r="CE286" s="104"/>
      <c r="CF286" s="104"/>
      <c r="CG286" s="104"/>
      <c r="CH286" s="104"/>
      <c r="CI286" s="104"/>
      <c r="CJ286" s="104"/>
      <c r="CK286" s="104"/>
      <c r="CL286" s="104"/>
      <c r="CM286" s="104"/>
      <c r="CN286" s="104"/>
      <c r="CO286" s="104"/>
      <c r="CP286" s="98"/>
      <c r="CR286" s="101"/>
      <c r="CS286" s="101"/>
      <c r="CT286" s="101"/>
      <c r="CU286" s="101"/>
      <c r="CV286" s="101"/>
      <c r="FL286" s="103"/>
      <c r="FN286" s="103"/>
      <c r="FP286" s="103"/>
      <c r="FR286" s="103"/>
    </row>
    <row r="287" spans="2:174" x14ac:dyDescent="0.35">
      <c r="B287" s="97"/>
      <c r="G287" s="100"/>
      <c r="K287" s="98"/>
      <c r="L287" s="101"/>
      <c r="M287" s="101"/>
      <c r="N287" s="101"/>
      <c r="O287" s="101"/>
      <c r="P287" s="102"/>
      <c r="Q287" s="101"/>
      <c r="R287" s="98"/>
      <c r="S287" s="98"/>
      <c r="T287" s="98"/>
      <c r="U287" s="98"/>
      <c r="V287" s="98"/>
      <c r="W287" s="98"/>
      <c r="X287" s="98"/>
      <c r="Y287" s="98"/>
      <c r="Z287" s="103"/>
      <c r="AA287" s="103"/>
      <c r="AB287" s="103"/>
      <c r="AC287" s="103"/>
      <c r="AD287" s="103"/>
      <c r="AE287" s="103"/>
      <c r="AF287" s="103"/>
      <c r="AG287" s="101"/>
      <c r="AH287" s="101"/>
      <c r="AI287" s="101"/>
      <c r="AJ287" s="101"/>
      <c r="AK287" s="101"/>
      <c r="AL287" s="101"/>
      <c r="AM287" s="101"/>
      <c r="AN287" s="103"/>
      <c r="AO287" s="103"/>
      <c r="AP287" s="103"/>
      <c r="AQ287" s="103"/>
      <c r="AR287" s="103"/>
      <c r="AS287" s="103"/>
      <c r="AT287" s="103"/>
      <c r="AU287" s="101"/>
      <c r="AV287" s="101"/>
      <c r="AW287" s="101"/>
      <c r="AX287" s="101"/>
      <c r="AY287" s="101"/>
      <c r="AZ287" s="101"/>
      <c r="BA287" s="101"/>
      <c r="BB287" s="103"/>
      <c r="BC287" s="103"/>
      <c r="BD287" s="103"/>
      <c r="BE287" s="101"/>
      <c r="BF287" s="101"/>
      <c r="BG287" s="101"/>
      <c r="BH287" s="101"/>
      <c r="BI287" s="101"/>
      <c r="BM287" s="101"/>
      <c r="BN287" s="101"/>
      <c r="BO287" s="101"/>
      <c r="BP287" s="101"/>
      <c r="BQ287" s="101"/>
      <c r="BR287" s="101"/>
      <c r="BS287" s="101"/>
      <c r="BT287" s="104"/>
      <c r="BU287" s="104"/>
      <c r="BV287" s="104"/>
      <c r="BW287" s="104"/>
      <c r="BX287" s="104"/>
      <c r="BY287" s="104"/>
      <c r="BZ287" s="104"/>
      <c r="CA287" s="104"/>
      <c r="CB287" s="104"/>
      <c r="CC287" s="104"/>
      <c r="CD287" s="104"/>
      <c r="CE287" s="104"/>
      <c r="CF287" s="104"/>
      <c r="CG287" s="104"/>
      <c r="CH287" s="104"/>
      <c r="CI287" s="104"/>
      <c r="CJ287" s="104"/>
      <c r="CK287" s="104"/>
      <c r="CL287" s="104"/>
      <c r="CM287" s="104"/>
      <c r="CN287" s="104"/>
      <c r="CO287" s="104"/>
      <c r="CP287" s="98"/>
      <c r="CR287" s="101"/>
      <c r="CS287" s="101"/>
      <c r="CT287" s="101"/>
      <c r="CU287" s="101"/>
      <c r="CV287" s="101"/>
      <c r="FL287" s="103"/>
      <c r="FN287" s="103"/>
      <c r="FP287" s="103"/>
      <c r="FR287" s="103"/>
    </row>
    <row r="288" spans="2:174" x14ac:dyDescent="0.35">
      <c r="B288" s="97"/>
      <c r="G288" s="100"/>
      <c r="K288" s="98"/>
      <c r="L288" s="101"/>
      <c r="M288" s="101"/>
      <c r="N288" s="101"/>
      <c r="O288" s="101"/>
      <c r="P288" s="102"/>
      <c r="Q288" s="101"/>
      <c r="R288" s="98"/>
      <c r="S288" s="98"/>
      <c r="T288" s="98"/>
      <c r="U288" s="98"/>
      <c r="V288" s="98"/>
      <c r="W288" s="98"/>
      <c r="X288" s="98"/>
      <c r="Y288" s="98"/>
      <c r="Z288" s="103"/>
      <c r="AA288" s="103"/>
      <c r="AB288" s="103"/>
      <c r="AC288" s="103"/>
      <c r="AD288" s="103"/>
      <c r="AE288" s="103"/>
      <c r="AF288" s="103"/>
      <c r="AG288" s="101"/>
      <c r="AH288" s="101"/>
      <c r="AI288" s="101"/>
      <c r="AJ288" s="101"/>
      <c r="AK288" s="101"/>
      <c r="AL288" s="101"/>
      <c r="AM288" s="101"/>
      <c r="AN288" s="103"/>
      <c r="AO288" s="103"/>
      <c r="AP288" s="103"/>
      <c r="AQ288" s="103"/>
      <c r="AR288" s="103"/>
      <c r="AS288" s="103"/>
      <c r="AT288" s="103"/>
      <c r="AU288" s="101"/>
      <c r="AV288" s="101"/>
      <c r="AW288" s="101"/>
      <c r="AX288" s="101"/>
      <c r="AY288" s="101"/>
      <c r="AZ288" s="101"/>
      <c r="BA288" s="101"/>
      <c r="BB288" s="103"/>
      <c r="BC288" s="103"/>
      <c r="BD288" s="103"/>
      <c r="BE288" s="101"/>
      <c r="BF288" s="101"/>
      <c r="BG288" s="101"/>
      <c r="BH288" s="101"/>
      <c r="BI288" s="101"/>
      <c r="BM288" s="101"/>
      <c r="BN288" s="101"/>
      <c r="BO288" s="101"/>
      <c r="BP288" s="101"/>
      <c r="BQ288" s="101"/>
      <c r="BR288" s="101"/>
      <c r="BS288" s="101"/>
      <c r="BT288" s="104"/>
      <c r="BU288" s="104"/>
      <c r="BV288" s="104"/>
      <c r="BW288" s="104"/>
      <c r="BX288" s="104"/>
      <c r="BY288" s="104"/>
      <c r="BZ288" s="104"/>
      <c r="CA288" s="104"/>
      <c r="CB288" s="104"/>
      <c r="CC288" s="104"/>
      <c r="CD288" s="104"/>
      <c r="CE288" s="104"/>
      <c r="CF288" s="104"/>
      <c r="CG288" s="104"/>
      <c r="CH288" s="104"/>
      <c r="CI288" s="104"/>
      <c r="CJ288" s="104"/>
      <c r="CK288" s="104"/>
      <c r="CL288" s="104"/>
      <c r="CM288" s="104"/>
      <c r="CN288" s="104"/>
      <c r="CO288" s="104"/>
      <c r="CP288" s="98"/>
      <c r="CR288" s="101"/>
      <c r="CS288" s="101"/>
      <c r="CT288" s="101"/>
      <c r="CU288" s="101"/>
      <c r="CV288" s="101"/>
      <c r="FL288" s="103"/>
      <c r="FN288" s="103"/>
      <c r="FP288" s="103"/>
      <c r="FR288" s="103"/>
    </row>
    <row r="289" spans="2:174" x14ac:dyDescent="0.35">
      <c r="B289" s="97"/>
      <c r="G289" s="100"/>
      <c r="K289" s="98"/>
      <c r="L289" s="101"/>
      <c r="M289" s="101"/>
      <c r="N289" s="101"/>
      <c r="O289" s="101"/>
      <c r="P289" s="102"/>
      <c r="Q289" s="101"/>
      <c r="R289" s="98"/>
      <c r="S289" s="98"/>
      <c r="T289" s="98"/>
      <c r="U289" s="98"/>
      <c r="V289" s="98"/>
      <c r="W289" s="98"/>
      <c r="X289" s="98"/>
      <c r="Y289" s="98"/>
      <c r="Z289" s="103"/>
      <c r="AA289" s="103"/>
      <c r="AB289" s="103"/>
      <c r="AC289" s="103"/>
      <c r="AD289" s="103"/>
      <c r="AE289" s="103"/>
      <c r="AF289" s="103"/>
      <c r="AG289" s="101"/>
      <c r="AH289" s="101"/>
      <c r="AI289" s="101"/>
      <c r="AJ289" s="101"/>
      <c r="AK289" s="101"/>
      <c r="AL289" s="101"/>
      <c r="AM289" s="101"/>
      <c r="AN289" s="103"/>
      <c r="AO289" s="103"/>
      <c r="AP289" s="103"/>
      <c r="AQ289" s="103"/>
      <c r="AR289" s="103"/>
      <c r="AS289" s="103"/>
      <c r="AT289" s="103"/>
      <c r="AU289" s="101"/>
      <c r="AV289" s="101"/>
      <c r="AW289" s="101"/>
      <c r="AX289" s="101"/>
      <c r="AY289" s="101"/>
      <c r="AZ289" s="101"/>
      <c r="BA289" s="101"/>
      <c r="BB289" s="103"/>
      <c r="BC289" s="103"/>
      <c r="BD289" s="103"/>
      <c r="BE289" s="101"/>
      <c r="BF289" s="101"/>
      <c r="BG289" s="101"/>
      <c r="BH289" s="101"/>
      <c r="BI289" s="101"/>
      <c r="BM289" s="101"/>
      <c r="BN289" s="101"/>
      <c r="BO289" s="101"/>
      <c r="BP289" s="101"/>
      <c r="BQ289" s="101"/>
      <c r="BR289" s="101"/>
      <c r="BS289" s="101"/>
      <c r="BT289" s="104"/>
      <c r="BU289" s="104"/>
      <c r="BV289" s="104"/>
      <c r="BW289" s="104"/>
      <c r="BX289" s="104"/>
      <c r="BY289" s="104"/>
      <c r="BZ289" s="104"/>
      <c r="CA289" s="104"/>
      <c r="CB289" s="104"/>
      <c r="CC289" s="104"/>
      <c r="CD289" s="104"/>
      <c r="CE289" s="104"/>
      <c r="CF289" s="104"/>
      <c r="CG289" s="104"/>
      <c r="CH289" s="104"/>
      <c r="CI289" s="104"/>
      <c r="CJ289" s="104"/>
      <c r="CK289" s="104"/>
      <c r="CL289" s="104"/>
      <c r="CM289" s="104"/>
      <c r="CN289" s="104"/>
      <c r="CO289" s="104"/>
      <c r="CP289" s="98"/>
      <c r="CR289" s="101"/>
      <c r="CS289" s="101"/>
      <c r="CT289" s="101"/>
      <c r="CU289" s="101"/>
      <c r="CV289" s="101"/>
      <c r="FL289" s="103"/>
      <c r="FN289" s="103"/>
      <c r="FP289" s="103"/>
      <c r="FR289" s="103"/>
    </row>
    <row r="290" spans="2:174" x14ac:dyDescent="0.35">
      <c r="B290" s="97"/>
      <c r="G290" s="100"/>
      <c r="K290" s="98"/>
      <c r="L290" s="101"/>
      <c r="M290" s="101"/>
      <c r="N290" s="101"/>
      <c r="O290" s="101"/>
      <c r="P290" s="102"/>
      <c r="Q290" s="101"/>
      <c r="R290" s="98"/>
      <c r="S290" s="98"/>
      <c r="T290" s="98"/>
      <c r="U290" s="98"/>
      <c r="V290" s="98"/>
      <c r="W290" s="98"/>
      <c r="X290" s="98"/>
      <c r="Y290" s="98"/>
      <c r="Z290" s="103"/>
      <c r="AA290" s="103"/>
      <c r="AB290" s="103"/>
      <c r="AC290" s="103"/>
      <c r="AD290" s="103"/>
      <c r="AE290" s="103"/>
      <c r="AF290" s="103"/>
      <c r="AG290" s="101"/>
      <c r="AH290" s="101"/>
      <c r="AI290" s="101"/>
      <c r="AJ290" s="101"/>
      <c r="AK290" s="101"/>
      <c r="AL290" s="101"/>
      <c r="AM290" s="101"/>
      <c r="AN290" s="103"/>
      <c r="AO290" s="103"/>
      <c r="AP290" s="103"/>
      <c r="AQ290" s="103"/>
      <c r="AR290" s="103"/>
      <c r="AS290" s="103"/>
      <c r="AT290" s="103"/>
      <c r="AU290" s="101"/>
      <c r="AV290" s="101"/>
      <c r="AW290" s="101"/>
      <c r="AX290" s="101"/>
      <c r="AY290" s="101"/>
      <c r="AZ290" s="101"/>
      <c r="BA290" s="101"/>
      <c r="BB290" s="103"/>
      <c r="BC290" s="103"/>
      <c r="BD290" s="103"/>
      <c r="BE290" s="101"/>
      <c r="BF290" s="101"/>
      <c r="BG290" s="101"/>
      <c r="BH290" s="101"/>
      <c r="BI290" s="101"/>
      <c r="BM290" s="101"/>
      <c r="BN290" s="101"/>
      <c r="BO290" s="101"/>
      <c r="BP290" s="101"/>
      <c r="BQ290" s="101"/>
      <c r="BR290" s="101"/>
      <c r="BS290" s="101"/>
      <c r="BT290" s="104"/>
      <c r="BU290" s="104"/>
      <c r="BV290" s="104"/>
      <c r="BW290" s="104"/>
      <c r="BX290" s="104"/>
      <c r="BY290" s="104"/>
      <c r="BZ290" s="104"/>
      <c r="CA290" s="104"/>
      <c r="CB290" s="104"/>
      <c r="CC290" s="104"/>
      <c r="CD290" s="104"/>
      <c r="CE290" s="104"/>
      <c r="CF290" s="104"/>
      <c r="CG290" s="104"/>
      <c r="CH290" s="104"/>
      <c r="CI290" s="104"/>
      <c r="CJ290" s="104"/>
      <c r="CK290" s="104"/>
      <c r="CL290" s="104"/>
      <c r="CM290" s="104"/>
      <c r="CN290" s="104"/>
      <c r="CO290" s="104"/>
      <c r="CP290" s="98"/>
      <c r="CR290" s="101"/>
      <c r="CS290" s="101"/>
      <c r="CT290" s="101"/>
      <c r="CU290" s="101"/>
      <c r="CV290" s="101"/>
      <c r="FL290" s="103"/>
      <c r="FN290" s="103"/>
      <c r="FP290" s="103"/>
      <c r="FR290" s="103"/>
    </row>
    <row r="291" spans="2:174" x14ac:dyDescent="0.35">
      <c r="B291" s="97"/>
      <c r="G291" s="100"/>
      <c r="K291" s="98"/>
      <c r="L291" s="101"/>
      <c r="M291" s="101"/>
      <c r="N291" s="101"/>
      <c r="O291" s="101"/>
      <c r="P291" s="102"/>
      <c r="Q291" s="101"/>
      <c r="R291" s="98"/>
      <c r="S291" s="98"/>
      <c r="T291" s="98"/>
      <c r="U291" s="98"/>
      <c r="V291" s="98"/>
      <c r="W291" s="98"/>
      <c r="X291" s="98"/>
      <c r="Y291" s="98"/>
      <c r="Z291" s="103"/>
      <c r="AA291" s="103"/>
      <c r="AB291" s="103"/>
      <c r="AC291" s="103"/>
      <c r="AD291" s="103"/>
      <c r="AE291" s="103"/>
      <c r="AF291" s="103"/>
      <c r="AG291" s="101"/>
      <c r="AH291" s="101"/>
      <c r="AI291" s="101"/>
      <c r="AJ291" s="101"/>
      <c r="AK291" s="101"/>
      <c r="AL291" s="101"/>
      <c r="AM291" s="101"/>
      <c r="AN291" s="103"/>
      <c r="AO291" s="103"/>
      <c r="AP291" s="103"/>
      <c r="AQ291" s="103"/>
      <c r="AR291" s="103"/>
      <c r="AS291" s="103"/>
      <c r="AT291" s="103"/>
      <c r="AU291" s="101"/>
      <c r="AV291" s="101"/>
      <c r="AW291" s="101"/>
      <c r="AX291" s="101"/>
      <c r="AY291" s="101"/>
      <c r="AZ291" s="101"/>
      <c r="BA291" s="101"/>
      <c r="BB291" s="103"/>
      <c r="BC291" s="103"/>
      <c r="BD291" s="103"/>
      <c r="BE291" s="101"/>
      <c r="BF291" s="101"/>
      <c r="BG291" s="101"/>
      <c r="BH291" s="101"/>
      <c r="BI291" s="101"/>
      <c r="BM291" s="101"/>
      <c r="BN291" s="101"/>
      <c r="BO291" s="101"/>
      <c r="BP291" s="101"/>
      <c r="BQ291" s="101"/>
      <c r="BR291" s="101"/>
      <c r="BS291" s="101"/>
      <c r="BT291" s="104"/>
      <c r="BU291" s="104"/>
      <c r="BV291" s="104"/>
      <c r="BW291" s="104"/>
      <c r="BX291" s="104"/>
      <c r="BY291" s="104"/>
      <c r="BZ291" s="104"/>
      <c r="CA291" s="104"/>
      <c r="CB291" s="104"/>
      <c r="CC291" s="104"/>
      <c r="CD291" s="104"/>
      <c r="CE291" s="104"/>
      <c r="CF291" s="104"/>
      <c r="CG291" s="104"/>
      <c r="CH291" s="104"/>
      <c r="CI291" s="104"/>
      <c r="CJ291" s="104"/>
      <c r="CK291" s="104"/>
      <c r="CL291" s="104"/>
      <c r="CM291" s="104"/>
      <c r="CN291" s="104"/>
      <c r="CO291" s="104"/>
      <c r="CP291" s="98"/>
      <c r="CR291" s="101"/>
      <c r="CS291" s="101"/>
      <c r="CT291" s="101"/>
      <c r="CU291" s="101"/>
      <c r="CV291" s="101"/>
      <c r="FL291" s="103"/>
      <c r="FN291" s="103"/>
      <c r="FP291" s="103"/>
      <c r="FR291" s="103"/>
    </row>
    <row r="292" spans="2:174" x14ac:dyDescent="0.35">
      <c r="B292" s="97"/>
      <c r="G292" s="100"/>
      <c r="K292" s="98"/>
      <c r="L292" s="101"/>
      <c r="M292" s="101"/>
      <c r="N292" s="101"/>
      <c r="O292" s="101"/>
      <c r="P292" s="102"/>
      <c r="Q292" s="101"/>
      <c r="R292" s="98"/>
      <c r="S292" s="98"/>
      <c r="T292" s="98"/>
      <c r="U292" s="98"/>
      <c r="V292" s="98"/>
      <c r="W292" s="98"/>
      <c r="X292" s="98"/>
      <c r="Y292" s="98"/>
      <c r="Z292" s="103"/>
      <c r="AA292" s="103"/>
      <c r="AB292" s="103"/>
      <c r="AC292" s="103"/>
      <c r="AD292" s="103"/>
      <c r="AE292" s="103"/>
      <c r="AF292" s="103"/>
      <c r="AG292" s="101"/>
      <c r="AH292" s="101"/>
      <c r="AI292" s="101"/>
      <c r="AJ292" s="101"/>
      <c r="AK292" s="101"/>
      <c r="AL292" s="101"/>
      <c r="AM292" s="101"/>
      <c r="AN292" s="103"/>
      <c r="AO292" s="103"/>
      <c r="AP292" s="103"/>
      <c r="AQ292" s="103"/>
      <c r="AR292" s="103"/>
      <c r="AS292" s="103"/>
      <c r="AT292" s="103"/>
      <c r="AU292" s="101"/>
      <c r="AV292" s="101"/>
      <c r="AW292" s="101"/>
      <c r="AX292" s="101"/>
      <c r="AY292" s="101"/>
      <c r="AZ292" s="101"/>
      <c r="BA292" s="101"/>
      <c r="BB292" s="103"/>
      <c r="BC292" s="103"/>
      <c r="BD292" s="103"/>
      <c r="BE292" s="101"/>
      <c r="BF292" s="101"/>
      <c r="BG292" s="101"/>
      <c r="BH292" s="101"/>
      <c r="BI292" s="101"/>
      <c r="BM292" s="101"/>
      <c r="BN292" s="101"/>
      <c r="BO292" s="101"/>
      <c r="BP292" s="101"/>
      <c r="BQ292" s="101"/>
      <c r="BR292" s="101"/>
      <c r="BS292" s="101"/>
      <c r="BT292" s="104"/>
      <c r="BU292" s="104"/>
      <c r="BV292" s="104"/>
      <c r="BW292" s="104"/>
      <c r="BX292" s="104"/>
      <c r="BY292" s="104"/>
      <c r="BZ292" s="104"/>
      <c r="CA292" s="104"/>
      <c r="CB292" s="104"/>
      <c r="CC292" s="104"/>
      <c r="CD292" s="104"/>
      <c r="CE292" s="104"/>
      <c r="CF292" s="104"/>
      <c r="CG292" s="104"/>
      <c r="CH292" s="104"/>
      <c r="CI292" s="104"/>
      <c r="CJ292" s="104"/>
      <c r="CK292" s="104"/>
      <c r="CL292" s="104"/>
      <c r="CM292" s="104"/>
      <c r="CN292" s="104"/>
      <c r="CO292" s="104"/>
      <c r="CP292" s="98"/>
      <c r="CR292" s="101"/>
      <c r="CS292" s="101"/>
      <c r="CT292" s="101"/>
      <c r="CU292" s="101"/>
      <c r="CV292" s="101"/>
      <c r="FL292" s="103"/>
      <c r="FN292" s="103"/>
      <c r="FP292" s="103"/>
      <c r="FR292" s="103"/>
    </row>
    <row r="293" spans="2:174" x14ac:dyDescent="0.35">
      <c r="B293" s="97"/>
      <c r="G293" s="100"/>
      <c r="K293" s="98"/>
      <c r="L293" s="101"/>
      <c r="M293" s="101"/>
      <c r="N293" s="101"/>
      <c r="O293" s="101"/>
      <c r="P293" s="102"/>
      <c r="Q293" s="101"/>
      <c r="R293" s="98"/>
      <c r="S293" s="98"/>
      <c r="T293" s="98"/>
      <c r="U293" s="98"/>
      <c r="V293" s="98"/>
      <c r="W293" s="98"/>
      <c r="X293" s="98"/>
      <c r="Y293" s="98"/>
      <c r="Z293" s="103"/>
      <c r="AA293" s="103"/>
      <c r="AB293" s="103"/>
      <c r="AC293" s="103"/>
      <c r="AD293" s="103"/>
      <c r="AE293" s="103"/>
      <c r="AF293" s="103"/>
      <c r="AG293" s="101"/>
      <c r="AH293" s="101"/>
      <c r="AI293" s="101"/>
      <c r="AJ293" s="101"/>
      <c r="AK293" s="101"/>
      <c r="AL293" s="101"/>
      <c r="AM293" s="101"/>
      <c r="AN293" s="103"/>
      <c r="AO293" s="103"/>
      <c r="AP293" s="103"/>
      <c r="AQ293" s="103"/>
      <c r="AR293" s="103"/>
      <c r="AS293" s="103"/>
      <c r="AT293" s="103"/>
      <c r="AU293" s="101"/>
      <c r="AV293" s="101"/>
      <c r="AW293" s="101"/>
      <c r="AX293" s="101"/>
      <c r="AY293" s="101"/>
      <c r="AZ293" s="101"/>
      <c r="BA293" s="101"/>
      <c r="BB293" s="103"/>
      <c r="BC293" s="103"/>
      <c r="BD293" s="103"/>
      <c r="BE293" s="101"/>
      <c r="BF293" s="101"/>
      <c r="BG293" s="101"/>
      <c r="BH293" s="101"/>
      <c r="BI293" s="101"/>
      <c r="BM293" s="101"/>
      <c r="BN293" s="101"/>
      <c r="BO293" s="101"/>
      <c r="BP293" s="101"/>
      <c r="BQ293" s="101"/>
      <c r="BR293" s="101"/>
      <c r="BS293" s="101"/>
      <c r="BT293" s="104"/>
      <c r="BU293" s="104"/>
      <c r="BV293" s="104"/>
      <c r="BW293" s="104"/>
      <c r="BX293" s="104"/>
      <c r="BY293" s="104"/>
      <c r="BZ293" s="104"/>
      <c r="CA293" s="104"/>
      <c r="CB293" s="104"/>
      <c r="CC293" s="104"/>
      <c r="CD293" s="104"/>
      <c r="CE293" s="104"/>
      <c r="CF293" s="104"/>
      <c r="CG293" s="104"/>
      <c r="CH293" s="104"/>
      <c r="CI293" s="104"/>
      <c r="CJ293" s="104"/>
      <c r="CK293" s="104"/>
      <c r="CL293" s="104"/>
      <c r="CM293" s="104"/>
      <c r="CN293" s="104"/>
      <c r="CO293" s="104"/>
      <c r="CP293" s="98"/>
      <c r="CR293" s="101"/>
      <c r="CS293" s="101"/>
      <c r="CT293" s="101"/>
      <c r="CU293" s="101"/>
      <c r="CV293" s="101"/>
      <c r="FL293" s="103"/>
      <c r="FN293" s="103"/>
      <c r="FP293" s="103"/>
      <c r="FR293" s="103"/>
    </row>
    <row r="294" spans="2:174" x14ac:dyDescent="0.35">
      <c r="B294" s="97"/>
      <c r="G294" s="100"/>
      <c r="K294" s="98"/>
      <c r="L294" s="101"/>
      <c r="M294" s="101"/>
      <c r="N294" s="101"/>
      <c r="O294" s="101"/>
      <c r="P294" s="102"/>
      <c r="Q294" s="101"/>
      <c r="R294" s="98"/>
      <c r="S294" s="98"/>
      <c r="T294" s="98"/>
      <c r="U294" s="98"/>
      <c r="V294" s="98"/>
      <c r="W294" s="98"/>
      <c r="X294" s="98"/>
      <c r="Y294" s="98"/>
      <c r="Z294" s="103"/>
      <c r="AA294" s="103"/>
      <c r="AB294" s="103"/>
      <c r="AC294" s="103"/>
      <c r="AD294" s="103"/>
      <c r="AE294" s="103"/>
      <c r="AF294" s="103"/>
      <c r="AG294" s="101"/>
      <c r="AH294" s="101"/>
      <c r="AI294" s="101"/>
      <c r="AJ294" s="101"/>
      <c r="AK294" s="101"/>
      <c r="AL294" s="101"/>
      <c r="AM294" s="101"/>
      <c r="AN294" s="103"/>
      <c r="AO294" s="103"/>
      <c r="AP294" s="103"/>
      <c r="AQ294" s="103"/>
      <c r="AR294" s="103"/>
      <c r="AS294" s="103"/>
      <c r="AT294" s="103"/>
      <c r="AU294" s="101"/>
      <c r="AV294" s="101"/>
      <c r="AW294" s="101"/>
      <c r="AX294" s="101"/>
      <c r="AY294" s="101"/>
      <c r="AZ294" s="101"/>
      <c r="BA294" s="101"/>
      <c r="BB294" s="103"/>
      <c r="BC294" s="103"/>
      <c r="BD294" s="103"/>
      <c r="BE294" s="101"/>
      <c r="BF294" s="101"/>
      <c r="BG294" s="101"/>
      <c r="BH294" s="101"/>
      <c r="BI294" s="101"/>
      <c r="BM294" s="101"/>
      <c r="BN294" s="101"/>
      <c r="BO294" s="101"/>
      <c r="BP294" s="101"/>
      <c r="BQ294" s="101"/>
      <c r="BR294" s="101"/>
      <c r="BS294" s="101"/>
      <c r="BT294" s="104"/>
      <c r="BU294" s="104"/>
      <c r="BV294" s="104"/>
      <c r="BW294" s="104"/>
      <c r="BX294" s="104"/>
      <c r="BY294" s="104"/>
      <c r="BZ294" s="104"/>
      <c r="CA294" s="104"/>
      <c r="CB294" s="104"/>
      <c r="CC294" s="104"/>
      <c r="CD294" s="104"/>
      <c r="CE294" s="104"/>
      <c r="CF294" s="104"/>
      <c r="CG294" s="104"/>
      <c r="CH294" s="104"/>
      <c r="CI294" s="104"/>
      <c r="CJ294" s="104"/>
      <c r="CK294" s="104"/>
      <c r="CL294" s="104"/>
      <c r="CM294" s="104"/>
      <c r="CN294" s="104"/>
      <c r="CO294" s="104"/>
      <c r="CP294" s="98"/>
      <c r="CR294" s="101"/>
      <c r="CS294" s="101"/>
      <c r="CT294" s="101"/>
      <c r="CU294" s="101"/>
      <c r="CV294" s="101"/>
      <c r="FL294" s="103"/>
      <c r="FN294" s="103"/>
      <c r="FP294" s="103"/>
      <c r="FR294" s="103"/>
    </row>
    <row r="295" spans="2:174" x14ac:dyDescent="0.35">
      <c r="B295" s="97"/>
      <c r="G295" s="100"/>
      <c r="K295" s="98"/>
      <c r="L295" s="101"/>
      <c r="M295" s="101"/>
      <c r="N295" s="101"/>
      <c r="O295" s="101"/>
      <c r="P295" s="102"/>
      <c r="Q295" s="101"/>
      <c r="R295" s="98"/>
      <c r="S295" s="98"/>
      <c r="T295" s="98"/>
      <c r="U295" s="98"/>
      <c r="V295" s="98"/>
      <c r="W295" s="98"/>
      <c r="X295" s="98"/>
      <c r="Y295" s="98"/>
      <c r="Z295" s="103"/>
      <c r="AA295" s="103"/>
      <c r="AB295" s="103"/>
      <c r="AC295" s="103"/>
      <c r="AD295" s="103"/>
      <c r="AE295" s="103"/>
      <c r="AF295" s="103"/>
      <c r="AG295" s="101"/>
      <c r="AH295" s="101"/>
      <c r="AI295" s="101"/>
      <c r="AJ295" s="101"/>
      <c r="AK295" s="101"/>
      <c r="AL295" s="101"/>
      <c r="AM295" s="101"/>
      <c r="AN295" s="103"/>
      <c r="AO295" s="103"/>
      <c r="AP295" s="103"/>
      <c r="AQ295" s="103"/>
      <c r="AR295" s="103"/>
      <c r="AS295" s="103"/>
      <c r="AT295" s="103"/>
      <c r="AU295" s="101"/>
      <c r="AV295" s="101"/>
      <c r="AW295" s="101"/>
      <c r="AX295" s="101"/>
      <c r="AY295" s="101"/>
      <c r="AZ295" s="101"/>
      <c r="BA295" s="101"/>
      <c r="BB295" s="103"/>
      <c r="BC295" s="103"/>
      <c r="BD295" s="103"/>
      <c r="BE295" s="101"/>
      <c r="BF295" s="101"/>
      <c r="BG295" s="101"/>
      <c r="BH295" s="101"/>
      <c r="BI295" s="101"/>
      <c r="BM295" s="101"/>
      <c r="BN295" s="101"/>
      <c r="BO295" s="101"/>
      <c r="BP295" s="101"/>
      <c r="BQ295" s="101"/>
      <c r="BR295" s="101"/>
      <c r="BS295" s="101"/>
      <c r="BT295" s="104"/>
      <c r="BU295" s="104"/>
      <c r="BV295" s="104"/>
      <c r="BW295" s="104"/>
      <c r="BX295" s="104"/>
      <c r="BY295" s="104"/>
      <c r="BZ295" s="104"/>
      <c r="CA295" s="104"/>
      <c r="CB295" s="104"/>
      <c r="CC295" s="104"/>
      <c r="CD295" s="104"/>
      <c r="CE295" s="104"/>
      <c r="CF295" s="104"/>
      <c r="CG295" s="104"/>
      <c r="CH295" s="104"/>
      <c r="CI295" s="104"/>
      <c r="CJ295" s="104"/>
      <c r="CK295" s="104"/>
      <c r="CL295" s="104"/>
      <c r="CM295" s="104"/>
      <c r="CN295" s="104"/>
      <c r="CO295" s="104"/>
      <c r="CP295" s="98"/>
      <c r="CR295" s="101"/>
      <c r="CS295" s="101"/>
      <c r="CT295" s="101"/>
      <c r="CU295" s="101"/>
      <c r="CV295" s="101"/>
      <c r="FL295" s="103"/>
      <c r="FN295" s="103"/>
      <c r="FP295" s="103"/>
      <c r="FR295" s="103"/>
    </row>
    <row r="296" spans="2:174" x14ac:dyDescent="0.35">
      <c r="B296" s="97"/>
      <c r="G296" s="100"/>
      <c r="K296" s="98"/>
      <c r="L296" s="101"/>
      <c r="M296" s="101"/>
      <c r="N296" s="101"/>
      <c r="O296" s="101"/>
      <c r="P296" s="102"/>
      <c r="Q296" s="101"/>
      <c r="R296" s="98"/>
      <c r="S296" s="98"/>
      <c r="T296" s="98"/>
      <c r="U296" s="98"/>
      <c r="V296" s="98"/>
      <c r="W296" s="98"/>
      <c r="X296" s="98"/>
      <c r="Y296" s="98"/>
      <c r="Z296" s="103"/>
      <c r="AA296" s="103"/>
      <c r="AB296" s="103"/>
      <c r="AC296" s="103"/>
      <c r="AD296" s="103"/>
      <c r="AE296" s="103"/>
      <c r="AF296" s="103"/>
      <c r="AG296" s="101"/>
      <c r="AH296" s="101"/>
      <c r="AI296" s="101"/>
      <c r="AJ296" s="101"/>
      <c r="AK296" s="101"/>
      <c r="AL296" s="101"/>
      <c r="AM296" s="101"/>
      <c r="AN296" s="103"/>
      <c r="AO296" s="103"/>
      <c r="AP296" s="103"/>
      <c r="AQ296" s="103"/>
      <c r="AR296" s="103"/>
      <c r="AS296" s="103"/>
      <c r="AT296" s="103"/>
      <c r="AU296" s="101"/>
      <c r="AV296" s="101"/>
      <c r="AW296" s="101"/>
      <c r="AX296" s="101"/>
      <c r="AY296" s="101"/>
      <c r="AZ296" s="101"/>
      <c r="BA296" s="101"/>
      <c r="BB296" s="103"/>
      <c r="BC296" s="103"/>
      <c r="BD296" s="103"/>
      <c r="BE296" s="101"/>
      <c r="BF296" s="101"/>
      <c r="BG296" s="101"/>
      <c r="BH296" s="101"/>
      <c r="BI296" s="101"/>
      <c r="BM296" s="101"/>
      <c r="BN296" s="101"/>
      <c r="BO296" s="101"/>
      <c r="BP296" s="101"/>
      <c r="BQ296" s="101"/>
      <c r="BR296" s="101"/>
      <c r="BS296" s="101"/>
      <c r="BT296" s="104"/>
      <c r="BU296" s="104"/>
      <c r="BV296" s="104"/>
      <c r="BW296" s="104"/>
      <c r="BX296" s="104"/>
      <c r="BY296" s="104"/>
      <c r="BZ296" s="104"/>
      <c r="CA296" s="104"/>
      <c r="CB296" s="104"/>
      <c r="CC296" s="104"/>
      <c r="CD296" s="104"/>
      <c r="CE296" s="104"/>
      <c r="CF296" s="104"/>
      <c r="CG296" s="104"/>
      <c r="CH296" s="104"/>
      <c r="CI296" s="104"/>
      <c r="CJ296" s="104"/>
      <c r="CK296" s="104"/>
      <c r="CL296" s="104"/>
      <c r="CM296" s="104"/>
      <c r="CN296" s="104"/>
      <c r="CO296" s="104"/>
      <c r="CP296" s="98"/>
      <c r="CR296" s="101"/>
      <c r="CS296" s="101"/>
      <c r="CT296" s="101"/>
      <c r="CU296" s="101"/>
      <c r="CV296" s="101"/>
      <c r="FL296" s="103"/>
      <c r="FN296" s="103"/>
      <c r="FP296" s="103"/>
      <c r="FR296" s="103"/>
    </row>
    <row r="297" spans="2:174" x14ac:dyDescent="0.35">
      <c r="B297" s="97"/>
      <c r="G297" s="100"/>
      <c r="K297" s="98"/>
      <c r="L297" s="101"/>
      <c r="M297" s="101"/>
      <c r="N297" s="101"/>
      <c r="O297" s="101"/>
      <c r="P297" s="102"/>
      <c r="Q297" s="101"/>
      <c r="R297" s="98"/>
      <c r="S297" s="98"/>
      <c r="T297" s="98"/>
      <c r="U297" s="98"/>
      <c r="V297" s="98"/>
      <c r="W297" s="98"/>
      <c r="X297" s="98"/>
      <c r="Y297" s="98"/>
      <c r="Z297" s="103"/>
      <c r="AA297" s="103"/>
      <c r="AB297" s="103"/>
      <c r="AC297" s="103"/>
      <c r="AD297" s="103"/>
      <c r="AE297" s="103"/>
      <c r="AF297" s="103"/>
      <c r="AG297" s="101"/>
      <c r="AH297" s="101"/>
      <c r="AI297" s="101"/>
      <c r="AJ297" s="101"/>
      <c r="AK297" s="101"/>
      <c r="AL297" s="101"/>
      <c r="AM297" s="101"/>
      <c r="AN297" s="103"/>
      <c r="AO297" s="103"/>
      <c r="AP297" s="103"/>
      <c r="AQ297" s="103"/>
      <c r="AR297" s="103"/>
      <c r="AS297" s="103"/>
      <c r="AT297" s="103"/>
      <c r="AU297" s="101"/>
      <c r="AV297" s="101"/>
      <c r="AW297" s="101"/>
      <c r="AX297" s="101"/>
      <c r="AY297" s="101"/>
      <c r="AZ297" s="101"/>
      <c r="BA297" s="101"/>
      <c r="BB297" s="103"/>
      <c r="BC297" s="103"/>
      <c r="BD297" s="103"/>
      <c r="BE297" s="101"/>
      <c r="BF297" s="101"/>
      <c r="BG297" s="101"/>
      <c r="BH297" s="101"/>
      <c r="BI297" s="101"/>
      <c r="BM297" s="101"/>
      <c r="BN297" s="101"/>
      <c r="BO297" s="101"/>
      <c r="BP297" s="101"/>
      <c r="BQ297" s="101"/>
      <c r="BR297" s="101"/>
      <c r="BS297" s="101"/>
      <c r="BT297" s="104"/>
      <c r="BU297" s="104"/>
      <c r="BV297" s="104"/>
      <c r="BW297" s="104"/>
      <c r="BX297" s="104"/>
      <c r="BY297" s="104"/>
      <c r="BZ297" s="104"/>
      <c r="CA297" s="104"/>
      <c r="CB297" s="104"/>
      <c r="CC297" s="104"/>
      <c r="CD297" s="104"/>
      <c r="CE297" s="104"/>
      <c r="CF297" s="104"/>
      <c r="CG297" s="104"/>
      <c r="CH297" s="104"/>
      <c r="CI297" s="104"/>
      <c r="CJ297" s="104"/>
      <c r="CK297" s="104"/>
      <c r="CL297" s="104"/>
      <c r="CM297" s="104"/>
      <c r="CN297" s="104"/>
      <c r="CO297" s="104"/>
      <c r="CP297" s="98"/>
      <c r="CR297" s="101"/>
      <c r="CS297" s="101"/>
      <c r="CT297" s="101"/>
      <c r="CU297" s="101"/>
      <c r="CV297" s="101"/>
      <c r="FL297" s="103"/>
      <c r="FN297" s="103"/>
      <c r="FP297" s="103"/>
      <c r="FR297" s="103"/>
    </row>
    <row r="298" spans="2:174" x14ac:dyDescent="0.35">
      <c r="B298" s="97"/>
      <c r="G298" s="100"/>
      <c r="K298" s="98"/>
      <c r="L298" s="101"/>
      <c r="M298" s="101"/>
      <c r="N298" s="101"/>
      <c r="O298" s="101"/>
      <c r="P298" s="102"/>
      <c r="Q298" s="101"/>
      <c r="R298" s="98"/>
      <c r="S298" s="98"/>
      <c r="T298" s="98"/>
      <c r="U298" s="98"/>
      <c r="V298" s="98"/>
      <c r="W298" s="98"/>
      <c r="X298" s="98"/>
      <c r="Y298" s="98"/>
      <c r="Z298" s="103"/>
      <c r="AA298" s="103"/>
      <c r="AB298" s="103"/>
      <c r="AC298" s="103"/>
      <c r="AD298" s="103"/>
      <c r="AE298" s="103"/>
      <c r="AF298" s="103"/>
      <c r="AG298" s="101"/>
      <c r="AH298" s="101"/>
      <c r="AI298" s="101"/>
      <c r="AJ298" s="101"/>
      <c r="AK298" s="101"/>
      <c r="AL298" s="101"/>
      <c r="AM298" s="101"/>
      <c r="AN298" s="103"/>
      <c r="AO298" s="103"/>
      <c r="AP298" s="103"/>
      <c r="AQ298" s="103"/>
      <c r="AR298" s="103"/>
      <c r="AS298" s="103"/>
      <c r="AT298" s="103"/>
      <c r="AU298" s="101"/>
      <c r="AV298" s="101"/>
      <c r="AW298" s="101"/>
      <c r="AX298" s="101"/>
      <c r="AY298" s="101"/>
      <c r="AZ298" s="101"/>
      <c r="BA298" s="101"/>
      <c r="BB298" s="103"/>
      <c r="BC298" s="103"/>
      <c r="BD298" s="103"/>
      <c r="BE298" s="101"/>
      <c r="BF298" s="101"/>
      <c r="BG298" s="101"/>
      <c r="BH298" s="101"/>
      <c r="BI298" s="101"/>
      <c r="BM298" s="101"/>
      <c r="BN298" s="101"/>
      <c r="BO298" s="101"/>
      <c r="BP298" s="101"/>
      <c r="BQ298" s="101"/>
      <c r="BR298" s="101"/>
      <c r="BS298" s="101"/>
      <c r="BT298" s="104"/>
      <c r="BU298" s="104"/>
      <c r="BV298" s="104"/>
      <c r="BW298" s="104"/>
      <c r="BX298" s="104"/>
      <c r="BY298" s="104"/>
      <c r="BZ298" s="104"/>
      <c r="CA298" s="104"/>
      <c r="CB298" s="104"/>
      <c r="CC298" s="104"/>
      <c r="CD298" s="104"/>
      <c r="CE298" s="104"/>
      <c r="CF298" s="104"/>
      <c r="CG298" s="104"/>
      <c r="CH298" s="104"/>
      <c r="CI298" s="104"/>
      <c r="CJ298" s="104"/>
      <c r="CK298" s="104"/>
      <c r="CL298" s="104"/>
      <c r="CM298" s="104"/>
      <c r="CN298" s="104"/>
      <c r="CO298" s="104"/>
      <c r="CP298" s="98"/>
      <c r="CR298" s="101"/>
      <c r="CS298" s="101"/>
      <c r="CT298" s="101"/>
      <c r="CU298" s="101"/>
      <c r="CV298" s="101"/>
      <c r="FL298" s="103"/>
      <c r="FN298" s="103"/>
      <c r="FP298" s="103"/>
      <c r="FR298" s="103"/>
    </row>
    <row r="299" spans="2:174" x14ac:dyDescent="0.35">
      <c r="B299" s="97"/>
      <c r="G299" s="100"/>
      <c r="K299" s="98"/>
      <c r="L299" s="101"/>
      <c r="M299" s="101"/>
      <c r="N299" s="101"/>
      <c r="O299" s="101"/>
      <c r="P299" s="102"/>
      <c r="Q299" s="101"/>
      <c r="R299" s="98"/>
      <c r="S299" s="98"/>
      <c r="T299" s="98"/>
      <c r="U299" s="98"/>
      <c r="V299" s="98"/>
      <c r="W299" s="98"/>
      <c r="X299" s="98"/>
      <c r="Y299" s="98"/>
      <c r="Z299" s="103"/>
      <c r="AA299" s="103"/>
      <c r="AB299" s="103"/>
      <c r="AC299" s="103"/>
      <c r="AD299" s="103"/>
      <c r="AE299" s="103"/>
      <c r="AF299" s="103"/>
      <c r="AG299" s="101"/>
      <c r="AH299" s="101"/>
      <c r="AI299" s="101"/>
      <c r="AJ299" s="101"/>
      <c r="AK299" s="101"/>
      <c r="AL299" s="101"/>
      <c r="AM299" s="101"/>
      <c r="AN299" s="103"/>
      <c r="AO299" s="103"/>
      <c r="AP299" s="103"/>
      <c r="AQ299" s="103"/>
      <c r="AR299" s="103"/>
      <c r="AS299" s="103"/>
      <c r="AT299" s="103"/>
      <c r="AU299" s="101"/>
      <c r="AV299" s="101"/>
      <c r="AW299" s="101"/>
      <c r="AX299" s="101"/>
      <c r="AY299" s="101"/>
      <c r="AZ299" s="101"/>
      <c r="BA299" s="101"/>
      <c r="BB299" s="103"/>
      <c r="BC299" s="103"/>
      <c r="BD299" s="103"/>
      <c r="BE299" s="101"/>
      <c r="BF299" s="101"/>
      <c r="BG299" s="101"/>
      <c r="BH299" s="101"/>
      <c r="BI299" s="101"/>
      <c r="BM299" s="101"/>
      <c r="BN299" s="101"/>
      <c r="BO299" s="101"/>
      <c r="BP299" s="101"/>
      <c r="BQ299" s="101"/>
      <c r="BR299" s="101"/>
      <c r="BS299" s="101"/>
      <c r="BT299" s="104"/>
      <c r="BU299" s="104"/>
      <c r="BV299" s="104"/>
      <c r="BW299" s="104"/>
      <c r="BX299" s="104"/>
      <c r="BY299" s="104"/>
      <c r="BZ299" s="104"/>
      <c r="CA299" s="104"/>
      <c r="CB299" s="104"/>
      <c r="CC299" s="104"/>
      <c r="CD299" s="104"/>
      <c r="CE299" s="104"/>
      <c r="CF299" s="104"/>
      <c r="CG299" s="104"/>
      <c r="CH299" s="104"/>
      <c r="CI299" s="104"/>
      <c r="CJ299" s="104"/>
      <c r="CK299" s="104"/>
      <c r="CL299" s="104"/>
      <c r="CM299" s="104"/>
      <c r="CN299" s="104"/>
      <c r="CO299" s="104"/>
      <c r="CP299" s="98"/>
      <c r="CR299" s="101"/>
      <c r="CS299" s="101"/>
      <c r="CT299" s="101"/>
      <c r="CU299" s="101"/>
      <c r="CV299" s="101"/>
      <c r="FL299" s="103"/>
      <c r="FN299" s="103"/>
      <c r="FP299" s="103"/>
      <c r="FR299" s="103"/>
    </row>
    <row r="300" spans="2:174" x14ac:dyDescent="0.35">
      <c r="B300" s="97"/>
      <c r="G300" s="100"/>
      <c r="K300" s="98"/>
      <c r="L300" s="101"/>
      <c r="M300" s="101"/>
      <c r="N300" s="101"/>
      <c r="O300" s="101"/>
      <c r="P300" s="102"/>
      <c r="Q300" s="101"/>
      <c r="R300" s="98"/>
      <c r="S300" s="98"/>
      <c r="T300" s="98"/>
      <c r="U300" s="98"/>
      <c r="V300" s="98"/>
      <c r="W300" s="98"/>
      <c r="X300" s="98"/>
      <c r="Y300" s="98"/>
      <c r="Z300" s="103"/>
      <c r="AA300" s="103"/>
      <c r="AB300" s="103"/>
      <c r="AC300" s="103"/>
      <c r="AD300" s="103"/>
      <c r="AE300" s="103"/>
      <c r="AF300" s="103"/>
      <c r="AG300" s="101"/>
      <c r="AH300" s="101"/>
      <c r="AI300" s="101"/>
      <c r="AJ300" s="101"/>
      <c r="AK300" s="101"/>
      <c r="AL300" s="101"/>
      <c r="AM300" s="101"/>
      <c r="AN300" s="103"/>
      <c r="AO300" s="103"/>
      <c r="AP300" s="103"/>
      <c r="AQ300" s="103"/>
      <c r="AR300" s="103"/>
      <c r="AS300" s="103"/>
      <c r="AT300" s="103"/>
      <c r="AU300" s="101"/>
      <c r="AV300" s="101"/>
      <c r="AW300" s="101"/>
      <c r="AX300" s="101"/>
      <c r="AY300" s="101"/>
      <c r="AZ300" s="101"/>
      <c r="BA300" s="101"/>
      <c r="BB300" s="103"/>
      <c r="BC300" s="103"/>
      <c r="BD300" s="103"/>
      <c r="BE300" s="101"/>
      <c r="BF300" s="101"/>
      <c r="BG300" s="101"/>
      <c r="BH300" s="101"/>
      <c r="BI300" s="101"/>
      <c r="BM300" s="101"/>
      <c r="BN300" s="101"/>
      <c r="BO300" s="101"/>
      <c r="BP300" s="101"/>
      <c r="BQ300" s="101"/>
      <c r="BR300" s="101"/>
      <c r="BS300" s="101"/>
      <c r="BT300" s="104"/>
      <c r="BU300" s="104"/>
      <c r="BV300" s="104"/>
      <c r="BW300" s="104"/>
      <c r="BX300" s="104"/>
      <c r="BY300" s="104"/>
      <c r="BZ300" s="104"/>
      <c r="CA300" s="104"/>
      <c r="CB300" s="104"/>
      <c r="CC300" s="104"/>
      <c r="CD300" s="104"/>
      <c r="CE300" s="104"/>
      <c r="CF300" s="104"/>
      <c r="CG300" s="104"/>
      <c r="CH300" s="104"/>
      <c r="CI300" s="104"/>
      <c r="CJ300" s="104"/>
      <c r="CK300" s="104"/>
      <c r="CL300" s="104"/>
      <c r="CM300" s="104"/>
      <c r="CN300" s="104"/>
      <c r="CO300" s="104"/>
      <c r="CP300" s="98"/>
      <c r="CR300" s="101"/>
      <c r="CS300" s="101"/>
      <c r="CT300" s="101"/>
      <c r="CU300" s="101"/>
      <c r="CV300" s="101"/>
      <c r="FL300" s="103"/>
      <c r="FN300" s="103"/>
      <c r="FP300" s="103"/>
      <c r="FR300" s="103"/>
    </row>
    <row r="301" spans="2:174" x14ac:dyDescent="0.35">
      <c r="B301" s="97"/>
      <c r="G301" s="100"/>
      <c r="K301" s="98"/>
      <c r="L301" s="101"/>
      <c r="M301" s="101"/>
      <c r="N301" s="101"/>
      <c r="O301" s="101"/>
      <c r="P301" s="102"/>
      <c r="Q301" s="101"/>
      <c r="R301" s="98"/>
      <c r="S301" s="98"/>
      <c r="T301" s="98"/>
      <c r="U301" s="98"/>
      <c r="V301" s="98"/>
      <c r="W301" s="98"/>
      <c r="X301" s="98"/>
      <c r="Y301" s="98"/>
      <c r="Z301" s="103"/>
      <c r="AA301" s="103"/>
      <c r="AB301" s="103"/>
      <c r="AC301" s="103"/>
      <c r="AD301" s="103"/>
      <c r="AE301" s="103"/>
      <c r="AF301" s="103"/>
      <c r="AG301" s="101"/>
      <c r="AH301" s="101"/>
      <c r="AI301" s="101"/>
      <c r="AJ301" s="101"/>
      <c r="AK301" s="101"/>
      <c r="AL301" s="101"/>
      <c r="AM301" s="101"/>
      <c r="AN301" s="103"/>
      <c r="AO301" s="103"/>
      <c r="AP301" s="103"/>
      <c r="AQ301" s="103"/>
      <c r="AR301" s="103"/>
      <c r="AS301" s="103"/>
      <c r="AT301" s="103"/>
      <c r="AU301" s="101"/>
      <c r="AV301" s="101"/>
      <c r="AW301" s="101"/>
      <c r="AX301" s="101"/>
      <c r="AY301" s="101"/>
      <c r="AZ301" s="101"/>
      <c r="BA301" s="101"/>
      <c r="BB301" s="103"/>
      <c r="BC301" s="103"/>
      <c r="BD301" s="103"/>
      <c r="BE301" s="101"/>
      <c r="BF301" s="101"/>
      <c r="BG301" s="101"/>
      <c r="BH301" s="101"/>
      <c r="BI301" s="101"/>
      <c r="BM301" s="101"/>
      <c r="BN301" s="101"/>
      <c r="BO301" s="101"/>
      <c r="BP301" s="101"/>
      <c r="BQ301" s="101"/>
      <c r="BR301" s="101"/>
      <c r="BS301" s="101"/>
      <c r="BT301" s="104"/>
      <c r="BU301" s="104"/>
      <c r="BV301" s="104"/>
      <c r="BW301" s="104"/>
      <c r="BX301" s="104"/>
      <c r="BY301" s="104"/>
      <c r="BZ301" s="104"/>
      <c r="CA301" s="104"/>
      <c r="CB301" s="104"/>
      <c r="CC301" s="104"/>
      <c r="CD301" s="104"/>
      <c r="CE301" s="104"/>
      <c r="CF301" s="104"/>
      <c r="CG301" s="104"/>
      <c r="CH301" s="104"/>
      <c r="CI301" s="104"/>
      <c r="CJ301" s="104"/>
      <c r="CK301" s="104"/>
      <c r="CL301" s="104"/>
      <c r="CM301" s="104"/>
      <c r="CN301" s="104"/>
      <c r="CO301" s="104"/>
      <c r="CP301" s="98"/>
      <c r="CR301" s="101"/>
      <c r="CS301" s="101"/>
      <c r="CT301" s="101"/>
      <c r="CU301" s="101"/>
      <c r="CV301" s="101"/>
      <c r="FL301" s="103"/>
      <c r="FN301" s="103"/>
      <c r="FP301" s="103"/>
      <c r="FR301" s="103"/>
    </row>
    <row r="302" spans="2:174" x14ac:dyDescent="0.35">
      <c r="B302" s="97"/>
      <c r="G302" s="100"/>
      <c r="K302" s="98"/>
      <c r="L302" s="101"/>
      <c r="M302" s="101"/>
      <c r="N302" s="101"/>
      <c r="O302" s="101"/>
      <c r="P302" s="102"/>
      <c r="Q302" s="101"/>
      <c r="R302" s="98"/>
      <c r="S302" s="98"/>
      <c r="T302" s="98"/>
      <c r="U302" s="98"/>
      <c r="V302" s="98"/>
      <c r="W302" s="98"/>
      <c r="X302" s="98"/>
      <c r="Y302" s="98"/>
      <c r="Z302" s="103"/>
      <c r="AA302" s="103"/>
      <c r="AB302" s="103"/>
      <c r="AC302" s="103"/>
      <c r="AD302" s="103"/>
      <c r="AE302" s="103"/>
      <c r="AF302" s="103"/>
      <c r="AG302" s="101"/>
      <c r="AH302" s="101"/>
      <c r="AI302" s="101"/>
      <c r="AJ302" s="101"/>
      <c r="AK302" s="101"/>
      <c r="AL302" s="101"/>
      <c r="AM302" s="101"/>
      <c r="AN302" s="103"/>
      <c r="AO302" s="103"/>
      <c r="AP302" s="103"/>
      <c r="AQ302" s="103"/>
      <c r="AR302" s="103"/>
      <c r="AS302" s="103"/>
      <c r="AT302" s="103"/>
      <c r="AU302" s="101"/>
      <c r="AV302" s="101"/>
      <c r="AW302" s="101"/>
      <c r="AX302" s="101"/>
      <c r="AY302" s="101"/>
      <c r="AZ302" s="101"/>
      <c r="BA302" s="101"/>
      <c r="BB302" s="103"/>
      <c r="BC302" s="103"/>
      <c r="BD302" s="103"/>
      <c r="BE302" s="101"/>
      <c r="BF302" s="101"/>
      <c r="BG302" s="101"/>
      <c r="BH302" s="101"/>
      <c r="BI302" s="101"/>
      <c r="BM302" s="101"/>
      <c r="BN302" s="101"/>
      <c r="BO302" s="101"/>
      <c r="BP302" s="101"/>
      <c r="BQ302" s="101"/>
      <c r="BR302" s="101"/>
      <c r="BS302" s="101"/>
      <c r="BT302" s="104"/>
      <c r="BU302" s="104"/>
      <c r="BV302" s="104"/>
      <c r="BW302" s="104"/>
      <c r="BX302" s="104"/>
      <c r="BY302" s="104"/>
      <c r="BZ302" s="104"/>
      <c r="CA302" s="104"/>
      <c r="CB302" s="104"/>
      <c r="CC302" s="104"/>
      <c r="CD302" s="104"/>
      <c r="CE302" s="104"/>
      <c r="CF302" s="104"/>
      <c r="CG302" s="104"/>
      <c r="CH302" s="104"/>
      <c r="CI302" s="104"/>
      <c r="CJ302" s="104"/>
      <c r="CK302" s="104"/>
      <c r="CL302" s="104"/>
      <c r="CM302" s="104"/>
      <c r="CN302" s="104"/>
      <c r="CO302" s="104"/>
      <c r="CP302" s="98"/>
      <c r="CR302" s="101"/>
      <c r="CS302" s="101"/>
      <c r="CT302" s="101"/>
      <c r="CU302" s="101"/>
      <c r="CV302" s="101"/>
      <c r="FL302" s="103"/>
      <c r="FN302" s="103"/>
      <c r="FP302" s="103"/>
      <c r="FR302" s="103"/>
    </row>
    <row r="303" spans="2:174" x14ac:dyDescent="0.35">
      <c r="B303" s="97"/>
      <c r="G303" s="100"/>
      <c r="K303" s="98"/>
      <c r="L303" s="101"/>
      <c r="M303" s="101"/>
      <c r="N303" s="101"/>
      <c r="O303" s="101"/>
      <c r="P303" s="102"/>
      <c r="Q303" s="101"/>
      <c r="R303" s="98"/>
      <c r="S303" s="98"/>
      <c r="T303" s="98"/>
      <c r="U303" s="98"/>
      <c r="V303" s="98"/>
      <c r="W303" s="98"/>
      <c r="X303" s="98"/>
      <c r="Y303" s="98"/>
      <c r="Z303" s="103"/>
      <c r="AA303" s="103"/>
      <c r="AB303" s="103"/>
      <c r="AC303" s="103"/>
      <c r="AD303" s="103"/>
      <c r="AE303" s="103"/>
      <c r="AF303" s="103"/>
      <c r="AG303" s="101"/>
      <c r="AH303" s="101"/>
      <c r="AI303" s="101"/>
      <c r="AJ303" s="101"/>
      <c r="AK303" s="101"/>
      <c r="AL303" s="101"/>
      <c r="AM303" s="101"/>
      <c r="AN303" s="103"/>
      <c r="AO303" s="103"/>
      <c r="AP303" s="103"/>
      <c r="AQ303" s="103"/>
      <c r="AR303" s="103"/>
      <c r="AS303" s="103"/>
      <c r="AT303" s="103"/>
      <c r="AU303" s="101"/>
      <c r="AV303" s="101"/>
      <c r="AW303" s="101"/>
      <c r="AX303" s="101"/>
      <c r="AY303" s="101"/>
      <c r="AZ303" s="101"/>
      <c r="BA303" s="101"/>
      <c r="BB303" s="103"/>
      <c r="BC303" s="103"/>
      <c r="BD303" s="103"/>
      <c r="BE303" s="101"/>
      <c r="BF303" s="101"/>
      <c r="BG303" s="101"/>
      <c r="BH303" s="101"/>
      <c r="BI303" s="101"/>
      <c r="BM303" s="101"/>
      <c r="BN303" s="101"/>
      <c r="BO303" s="101"/>
      <c r="BP303" s="101"/>
      <c r="BQ303" s="101"/>
      <c r="BR303" s="101"/>
      <c r="BS303" s="101"/>
      <c r="BT303" s="104"/>
      <c r="BU303" s="104"/>
      <c r="BV303" s="104"/>
      <c r="BW303" s="104"/>
      <c r="BX303" s="104"/>
      <c r="BY303" s="104"/>
      <c r="BZ303" s="104"/>
      <c r="CA303" s="104"/>
      <c r="CB303" s="104"/>
      <c r="CC303" s="104"/>
      <c r="CD303" s="104"/>
      <c r="CE303" s="104"/>
      <c r="CF303" s="104"/>
      <c r="CG303" s="104"/>
      <c r="CH303" s="104"/>
      <c r="CI303" s="104"/>
      <c r="CJ303" s="104"/>
      <c r="CK303" s="104"/>
      <c r="CL303" s="104"/>
      <c r="CM303" s="104"/>
      <c r="CN303" s="104"/>
      <c r="CO303" s="104"/>
      <c r="CP303" s="98"/>
      <c r="CR303" s="101"/>
      <c r="CS303" s="101"/>
      <c r="CT303" s="101"/>
      <c r="CU303" s="101"/>
      <c r="CV303" s="101"/>
      <c r="FL303" s="103"/>
      <c r="FN303" s="103"/>
      <c r="FP303" s="103"/>
      <c r="FR303" s="103"/>
    </row>
    <row r="304" spans="2:174" x14ac:dyDescent="0.35">
      <c r="B304" s="97"/>
      <c r="G304" s="100"/>
      <c r="K304" s="98"/>
      <c r="L304" s="101"/>
      <c r="M304" s="101"/>
      <c r="N304" s="101"/>
      <c r="O304" s="101"/>
      <c r="P304" s="102"/>
      <c r="Q304" s="101"/>
      <c r="R304" s="98"/>
      <c r="S304" s="98"/>
      <c r="T304" s="98"/>
      <c r="U304" s="98"/>
      <c r="V304" s="98"/>
      <c r="W304" s="98"/>
      <c r="X304" s="98"/>
      <c r="Y304" s="98"/>
      <c r="Z304" s="103"/>
      <c r="AA304" s="103"/>
      <c r="AB304" s="103"/>
      <c r="AC304" s="103"/>
      <c r="AD304" s="103"/>
      <c r="AE304" s="103"/>
      <c r="AF304" s="103"/>
      <c r="AG304" s="101"/>
      <c r="AH304" s="101"/>
      <c r="AI304" s="101"/>
      <c r="AJ304" s="101"/>
      <c r="AK304" s="101"/>
      <c r="AL304" s="101"/>
      <c r="AM304" s="101"/>
      <c r="AN304" s="103"/>
      <c r="AO304" s="103"/>
      <c r="AP304" s="103"/>
      <c r="AQ304" s="103"/>
      <c r="AR304" s="103"/>
      <c r="AS304" s="103"/>
      <c r="AT304" s="103"/>
      <c r="AU304" s="101"/>
      <c r="AV304" s="101"/>
      <c r="AW304" s="101"/>
      <c r="AX304" s="101"/>
      <c r="AY304" s="101"/>
      <c r="AZ304" s="101"/>
      <c r="BA304" s="101"/>
      <c r="BB304" s="103"/>
      <c r="BC304" s="103"/>
      <c r="BD304" s="103"/>
      <c r="BE304" s="101"/>
      <c r="BF304" s="101"/>
      <c r="BG304" s="101"/>
      <c r="BH304" s="101"/>
      <c r="BI304" s="101"/>
      <c r="BM304" s="101"/>
      <c r="BN304" s="101"/>
      <c r="BO304" s="101"/>
      <c r="BP304" s="101"/>
      <c r="BQ304" s="101"/>
      <c r="BR304" s="101"/>
      <c r="BS304" s="101"/>
      <c r="BT304" s="104"/>
      <c r="BU304" s="104"/>
      <c r="BV304" s="104"/>
      <c r="BW304" s="104"/>
      <c r="BX304" s="104"/>
      <c r="BY304" s="104"/>
      <c r="BZ304" s="104"/>
      <c r="CA304" s="104"/>
      <c r="CB304" s="104"/>
      <c r="CC304" s="104"/>
      <c r="CD304" s="104"/>
      <c r="CE304" s="104"/>
      <c r="CF304" s="104"/>
      <c r="CG304" s="104"/>
      <c r="CH304" s="104"/>
      <c r="CI304" s="104"/>
      <c r="CJ304" s="104"/>
      <c r="CK304" s="104"/>
      <c r="CL304" s="104"/>
      <c r="CM304" s="104"/>
      <c r="CN304" s="104"/>
      <c r="CO304" s="104"/>
      <c r="CP304" s="98"/>
      <c r="CR304" s="101"/>
      <c r="CS304" s="101"/>
      <c r="CT304" s="101"/>
      <c r="CU304" s="101"/>
      <c r="CV304" s="101"/>
      <c r="FL304" s="103"/>
      <c r="FN304" s="103"/>
      <c r="FP304" s="103"/>
      <c r="FR304" s="103"/>
    </row>
    <row r="305" spans="2:174" x14ac:dyDescent="0.35">
      <c r="B305" s="97"/>
      <c r="G305" s="100"/>
      <c r="K305" s="98"/>
      <c r="L305" s="101"/>
      <c r="M305" s="101"/>
      <c r="N305" s="101"/>
      <c r="O305" s="101"/>
      <c r="P305" s="102"/>
      <c r="Q305" s="101"/>
      <c r="R305" s="98"/>
      <c r="S305" s="98"/>
      <c r="T305" s="98"/>
      <c r="U305" s="98"/>
      <c r="V305" s="98"/>
      <c r="W305" s="98"/>
      <c r="X305" s="98"/>
      <c r="Y305" s="98"/>
      <c r="Z305" s="103"/>
      <c r="AA305" s="103"/>
      <c r="AB305" s="103"/>
      <c r="AC305" s="103"/>
      <c r="AD305" s="103"/>
      <c r="AE305" s="103"/>
      <c r="AF305" s="103"/>
      <c r="AG305" s="101"/>
      <c r="AH305" s="101"/>
      <c r="AI305" s="101"/>
      <c r="AJ305" s="101"/>
      <c r="AK305" s="101"/>
      <c r="AL305" s="101"/>
      <c r="AM305" s="101"/>
      <c r="AN305" s="103"/>
      <c r="AO305" s="103"/>
      <c r="AP305" s="103"/>
      <c r="AQ305" s="103"/>
      <c r="AR305" s="103"/>
      <c r="AS305" s="103"/>
      <c r="AT305" s="103"/>
      <c r="AU305" s="101"/>
      <c r="AV305" s="101"/>
      <c r="AW305" s="101"/>
      <c r="AX305" s="101"/>
      <c r="AY305" s="101"/>
      <c r="AZ305" s="101"/>
      <c r="BA305" s="101"/>
      <c r="BB305" s="103"/>
      <c r="BC305" s="103"/>
      <c r="BD305" s="103"/>
      <c r="BE305" s="101"/>
      <c r="BF305" s="101"/>
      <c r="BG305" s="101"/>
      <c r="BH305" s="101"/>
      <c r="BI305" s="101"/>
      <c r="BM305" s="101"/>
      <c r="BN305" s="101"/>
      <c r="BO305" s="101"/>
      <c r="BP305" s="101"/>
      <c r="BQ305" s="101"/>
      <c r="BR305" s="101"/>
      <c r="BS305" s="101"/>
      <c r="BT305" s="104"/>
      <c r="BU305" s="104"/>
      <c r="BV305" s="104"/>
      <c r="BW305" s="104"/>
      <c r="BX305" s="104"/>
      <c r="BY305" s="104"/>
      <c r="BZ305" s="104"/>
      <c r="CA305" s="104"/>
      <c r="CB305" s="104"/>
      <c r="CC305" s="104"/>
      <c r="CD305" s="104"/>
      <c r="CE305" s="104"/>
      <c r="CF305" s="104"/>
      <c r="CG305" s="104"/>
      <c r="CH305" s="104"/>
      <c r="CI305" s="104"/>
      <c r="CJ305" s="104"/>
      <c r="CK305" s="104"/>
      <c r="CL305" s="104"/>
      <c r="CM305" s="104"/>
      <c r="CN305" s="104"/>
      <c r="CO305" s="104"/>
      <c r="CP305" s="98"/>
      <c r="CR305" s="101"/>
      <c r="CS305" s="101"/>
      <c r="CT305" s="101"/>
      <c r="CU305" s="101"/>
      <c r="CV305" s="101"/>
      <c r="FL305" s="103"/>
      <c r="FN305" s="103"/>
      <c r="FP305" s="103"/>
      <c r="FR305" s="103"/>
    </row>
    <row r="306" spans="2:174" x14ac:dyDescent="0.35">
      <c r="B306" s="97"/>
      <c r="G306" s="100"/>
      <c r="K306" s="98"/>
      <c r="L306" s="101"/>
      <c r="M306" s="101"/>
      <c r="N306" s="101"/>
      <c r="O306" s="101"/>
      <c r="P306" s="102"/>
      <c r="Q306" s="101"/>
      <c r="R306" s="98"/>
      <c r="S306" s="98"/>
      <c r="T306" s="98"/>
      <c r="U306" s="98"/>
      <c r="V306" s="98"/>
      <c r="W306" s="98"/>
      <c r="X306" s="98"/>
      <c r="Y306" s="98"/>
      <c r="Z306" s="103"/>
      <c r="AA306" s="103"/>
      <c r="AB306" s="103"/>
      <c r="AC306" s="103"/>
      <c r="AD306" s="103"/>
      <c r="AE306" s="103"/>
      <c r="AF306" s="103"/>
      <c r="AG306" s="101"/>
      <c r="AH306" s="101"/>
      <c r="AI306" s="101"/>
      <c r="AJ306" s="101"/>
      <c r="AK306" s="101"/>
      <c r="AL306" s="101"/>
      <c r="AM306" s="101"/>
      <c r="AN306" s="103"/>
      <c r="AO306" s="103"/>
      <c r="AP306" s="103"/>
      <c r="AQ306" s="103"/>
      <c r="AR306" s="103"/>
      <c r="AS306" s="103"/>
      <c r="AT306" s="103"/>
      <c r="AU306" s="101"/>
      <c r="AV306" s="101"/>
      <c r="AW306" s="101"/>
      <c r="AX306" s="101"/>
      <c r="AY306" s="101"/>
      <c r="AZ306" s="101"/>
      <c r="BA306" s="101"/>
      <c r="BB306" s="103"/>
      <c r="BC306" s="103"/>
      <c r="BD306" s="103"/>
      <c r="BE306" s="101"/>
      <c r="BF306" s="101"/>
      <c r="BG306" s="101"/>
      <c r="BH306" s="101"/>
      <c r="BI306" s="101"/>
      <c r="BM306" s="101"/>
      <c r="BN306" s="101"/>
      <c r="BO306" s="101"/>
      <c r="BP306" s="101"/>
      <c r="BQ306" s="101"/>
      <c r="BR306" s="101"/>
      <c r="BS306" s="101"/>
      <c r="BT306" s="104"/>
      <c r="BU306" s="104"/>
      <c r="BV306" s="104"/>
      <c r="BW306" s="104"/>
      <c r="BX306" s="104"/>
      <c r="BY306" s="104"/>
      <c r="BZ306" s="104"/>
      <c r="CA306" s="104"/>
      <c r="CB306" s="104"/>
      <c r="CC306" s="104"/>
      <c r="CD306" s="104"/>
      <c r="CE306" s="104"/>
      <c r="CF306" s="104"/>
      <c r="CG306" s="104"/>
      <c r="CH306" s="104"/>
      <c r="CI306" s="104"/>
      <c r="CJ306" s="104"/>
      <c r="CK306" s="104"/>
      <c r="CL306" s="104"/>
      <c r="CM306" s="104"/>
      <c r="CN306" s="104"/>
      <c r="CO306" s="104"/>
      <c r="CP306" s="98"/>
      <c r="CR306" s="101"/>
      <c r="CS306" s="101"/>
      <c r="CT306" s="101"/>
      <c r="CU306" s="101"/>
      <c r="CV306" s="101"/>
      <c r="FL306" s="103"/>
      <c r="FN306" s="103"/>
      <c r="FP306" s="103"/>
      <c r="FR306" s="103"/>
    </row>
    <row r="307" spans="2:174" x14ac:dyDescent="0.35">
      <c r="B307" s="97"/>
      <c r="G307" s="100"/>
      <c r="K307" s="98"/>
      <c r="L307" s="101"/>
      <c r="M307" s="101"/>
      <c r="N307" s="101"/>
      <c r="O307" s="101"/>
      <c r="P307" s="102"/>
      <c r="Q307" s="101"/>
      <c r="R307" s="98"/>
      <c r="S307" s="98"/>
      <c r="T307" s="98"/>
      <c r="U307" s="98"/>
      <c r="V307" s="98"/>
      <c r="W307" s="98"/>
      <c r="X307" s="98"/>
      <c r="Y307" s="98"/>
      <c r="Z307" s="103"/>
      <c r="AA307" s="103"/>
      <c r="AB307" s="103"/>
      <c r="AC307" s="103"/>
      <c r="AD307" s="103"/>
      <c r="AE307" s="103"/>
      <c r="AF307" s="103"/>
      <c r="AG307" s="101"/>
      <c r="AH307" s="101"/>
      <c r="AI307" s="101"/>
      <c r="AJ307" s="101"/>
      <c r="AK307" s="101"/>
      <c r="AL307" s="101"/>
      <c r="AM307" s="101"/>
      <c r="AN307" s="103"/>
      <c r="AO307" s="103"/>
      <c r="AP307" s="103"/>
      <c r="AQ307" s="103"/>
      <c r="AR307" s="103"/>
      <c r="AS307" s="103"/>
      <c r="AT307" s="103"/>
      <c r="AU307" s="101"/>
      <c r="AV307" s="101"/>
      <c r="AW307" s="101"/>
      <c r="AX307" s="101"/>
      <c r="AY307" s="101"/>
      <c r="AZ307" s="101"/>
      <c r="BA307" s="101"/>
      <c r="BB307" s="103"/>
      <c r="BC307" s="103"/>
      <c r="BD307" s="103"/>
      <c r="BE307" s="101"/>
      <c r="BF307" s="101"/>
      <c r="BG307" s="101"/>
      <c r="BH307" s="101"/>
      <c r="BI307" s="101"/>
      <c r="BM307" s="101"/>
      <c r="BN307" s="101"/>
      <c r="BO307" s="101"/>
      <c r="BP307" s="101"/>
      <c r="BQ307" s="101"/>
      <c r="BR307" s="101"/>
      <c r="BS307" s="101"/>
      <c r="BT307" s="104"/>
      <c r="BU307" s="104"/>
      <c r="BV307" s="104"/>
      <c r="BW307" s="104"/>
      <c r="BX307" s="104"/>
      <c r="BY307" s="104"/>
      <c r="BZ307" s="104"/>
      <c r="CA307" s="104"/>
      <c r="CB307" s="104"/>
      <c r="CC307" s="104"/>
      <c r="CD307" s="104"/>
      <c r="CE307" s="104"/>
      <c r="CF307" s="104"/>
      <c r="CG307" s="104"/>
      <c r="CH307" s="104"/>
      <c r="CI307" s="104"/>
      <c r="CJ307" s="104"/>
      <c r="CK307" s="104"/>
      <c r="CL307" s="104"/>
      <c r="CM307" s="104"/>
      <c r="CN307" s="104"/>
      <c r="CO307" s="104"/>
      <c r="CP307" s="98"/>
      <c r="CR307" s="101"/>
      <c r="CS307" s="101"/>
      <c r="CT307" s="101"/>
      <c r="CU307" s="101"/>
      <c r="CV307" s="101"/>
      <c r="FL307" s="103"/>
      <c r="FN307" s="103"/>
      <c r="FP307" s="103"/>
      <c r="FR307" s="103"/>
    </row>
    <row r="308" spans="2:174" x14ac:dyDescent="0.35">
      <c r="B308" s="97"/>
      <c r="G308" s="100"/>
      <c r="K308" s="98"/>
      <c r="L308" s="101"/>
      <c r="M308" s="101"/>
      <c r="N308" s="101"/>
      <c r="O308" s="101"/>
      <c r="P308" s="102"/>
      <c r="Q308" s="101"/>
      <c r="R308" s="98"/>
      <c r="S308" s="98"/>
      <c r="T308" s="98"/>
      <c r="U308" s="98"/>
      <c r="V308" s="98"/>
      <c r="W308" s="98"/>
      <c r="X308" s="98"/>
      <c r="Y308" s="98"/>
      <c r="Z308" s="103"/>
      <c r="AA308" s="103"/>
      <c r="AB308" s="103"/>
      <c r="AC308" s="103"/>
      <c r="AD308" s="103"/>
      <c r="AE308" s="103"/>
      <c r="AF308" s="103"/>
      <c r="AG308" s="101"/>
      <c r="AH308" s="101"/>
      <c r="AI308" s="101"/>
      <c r="AJ308" s="101"/>
      <c r="AK308" s="101"/>
      <c r="AL308" s="101"/>
      <c r="AM308" s="101"/>
      <c r="AN308" s="103"/>
      <c r="AO308" s="103"/>
      <c r="AP308" s="103"/>
      <c r="AQ308" s="103"/>
      <c r="AR308" s="103"/>
      <c r="AS308" s="103"/>
      <c r="AT308" s="103"/>
      <c r="AU308" s="101"/>
      <c r="AV308" s="101"/>
      <c r="AW308" s="101"/>
      <c r="AX308" s="101"/>
      <c r="AY308" s="101"/>
      <c r="AZ308" s="101"/>
      <c r="BA308" s="101"/>
      <c r="BB308" s="103"/>
      <c r="BC308" s="103"/>
      <c r="BD308" s="103"/>
      <c r="BE308" s="101"/>
      <c r="BF308" s="101"/>
      <c r="BG308" s="101"/>
      <c r="BH308" s="101"/>
      <c r="BI308" s="101"/>
      <c r="BM308" s="101"/>
      <c r="BN308" s="101"/>
      <c r="BO308" s="101"/>
      <c r="BP308" s="101"/>
      <c r="BQ308" s="101"/>
      <c r="BR308" s="101"/>
      <c r="BS308" s="101"/>
      <c r="BT308" s="104"/>
      <c r="BU308" s="104"/>
      <c r="BV308" s="104"/>
      <c r="BW308" s="104"/>
      <c r="BX308" s="104"/>
      <c r="BY308" s="104"/>
      <c r="BZ308" s="104"/>
      <c r="CA308" s="104"/>
      <c r="CB308" s="104"/>
      <c r="CC308" s="104"/>
      <c r="CD308" s="104"/>
      <c r="CE308" s="104"/>
      <c r="CF308" s="104"/>
      <c r="CG308" s="104"/>
      <c r="CH308" s="104"/>
      <c r="CI308" s="104"/>
      <c r="CJ308" s="104"/>
      <c r="CK308" s="104"/>
      <c r="CL308" s="104"/>
      <c r="CM308" s="104"/>
      <c r="CN308" s="104"/>
      <c r="CO308" s="104"/>
      <c r="CP308" s="98"/>
      <c r="CR308" s="101"/>
      <c r="CS308" s="101"/>
      <c r="CT308" s="101"/>
      <c r="CU308" s="101"/>
      <c r="CV308" s="101"/>
      <c r="FL308" s="103"/>
      <c r="FN308" s="103"/>
      <c r="FP308" s="103"/>
      <c r="FR308" s="103"/>
    </row>
    <row r="309" spans="2:174" x14ac:dyDescent="0.35">
      <c r="B309" s="97"/>
      <c r="G309" s="100"/>
      <c r="K309" s="98"/>
      <c r="L309" s="101"/>
      <c r="M309" s="101"/>
      <c r="N309" s="101"/>
      <c r="O309" s="101"/>
      <c r="P309" s="102"/>
      <c r="Q309" s="101"/>
      <c r="R309" s="98"/>
      <c r="S309" s="98"/>
      <c r="T309" s="98"/>
      <c r="U309" s="98"/>
      <c r="V309" s="98"/>
      <c r="W309" s="98"/>
      <c r="X309" s="98"/>
      <c r="Y309" s="98"/>
      <c r="Z309" s="103"/>
      <c r="AA309" s="103"/>
      <c r="AB309" s="103"/>
      <c r="AC309" s="103"/>
      <c r="AD309" s="103"/>
      <c r="AE309" s="103"/>
      <c r="AF309" s="103"/>
      <c r="AG309" s="101"/>
      <c r="AH309" s="101"/>
      <c r="AI309" s="101"/>
      <c r="AJ309" s="101"/>
      <c r="AK309" s="101"/>
      <c r="AL309" s="101"/>
      <c r="AM309" s="101"/>
      <c r="AN309" s="103"/>
      <c r="AO309" s="103"/>
      <c r="AP309" s="103"/>
      <c r="AQ309" s="103"/>
      <c r="AR309" s="103"/>
      <c r="AS309" s="103"/>
      <c r="AT309" s="103"/>
      <c r="AU309" s="101"/>
      <c r="AV309" s="101"/>
      <c r="AW309" s="101"/>
      <c r="AX309" s="101"/>
      <c r="AY309" s="101"/>
      <c r="AZ309" s="101"/>
      <c r="BA309" s="101"/>
      <c r="BB309" s="103"/>
      <c r="BC309" s="103"/>
      <c r="BD309" s="103"/>
      <c r="BE309" s="101"/>
      <c r="BF309" s="101"/>
      <c r="BG309" s="101"/>
      <c r="BH309" s="101"/>
      <c r="BI309" s="101"/>
      <c r="BM309" s="101"/>
      <c r="BN309" s="101"/>
      <c r="BO309" s="101"/>
      <c r="BP309" s="101"/>
      <c r="BQ309" s="101"/>
      <c r="BR309" s="101"/>
      <c r="BS309" s="101"/>
      <c r="BT309" s="104"/>
      <c r="BU309" s="104"/>
      <c r="BV309" s="104"/>
      <c r="BW309" s="104"/>
      <c r="BX309" s="104"/>
      <c r="BY309" s="104"/>
      <c r="BZ309" s="104"/>
      <c r="CA309" s="104"/>
      <c r="CB309" s="104"/>
      <c r="CC309" s="104"/>
      <c r="CD309" s="104"/>
      <c r="CE309" s="104"/>
      <c r="CF309" s="104"/>
      <c r="CG309" s="104"/>
      <c r="CH309" s="104"/>
      <c r="CI309" s="104"/>
      <c r="CJ309" s="104"/>
      <c r="CK309" s="104"/>
      <c r="CL309" s="104"/>
      <c r="CM309" s="104"/>
      <c r="CN309" s="104"/>
      <c r="CO309" s="104"/>
      <c r="CP309" s="98"/>
      <c r="CR309" s="101"/>
      <c r="CS309" s="101"/>
      <c r="CT309" s="101"/>
      <c r="CU309" s="101"/>
      <c r="CV309" s="101"/>
      <c r="FL309" s="103"/>
      <c r="FN309" s="103"/>
      <c r="FP309" s="103"/>
      <c r="FR309" s="103"/>
    </row>
    <row r="310" spans="2:174" x14ac:dyDescent="0.35">
      <c r="B310" s="97"/>
      <c r="G310" s="100"/>
      <c r="K310" s="98"/>
      <c r="L310" s="101"/>
      <c r="M310" s="101"/>
      <c r="N310" s="101"/>
      <c r="O310" s="101"/>
      <c r="P310" s="102"/>
      <c r="Q310" s="101"/>
      <c r="R310" s="98"/>
      <c r="S310" s="98"/>
      <c r="T310" s="98"/>
      <c r="U310" s="98"/>
      <c r="V310" s="98"/>
      <c r="W310" s="98"/>
      <c r="X310" s="98"/>
      <c r="Y310" s="98"/>
      <c r="Z310" s="103"/>
      <c r="AA310" s="103"/>
      <c r="AB310" s="103"/>
      <c r="AC310" s="103"/>
      <c r="AD310" s="103"/>
      <c r="AE310" s="103"/>
      <c r="AF310" s="103"/>
      <c r="AG310" s="101"/>
      <c r="AH310" s="101"/>
      <c r="AI310" s="101"/>
      <c r="AJ310" s="101"/>
      <c r="AK310" s="101"/>
      <c r="AL310" s="101"/>
      <c r="AM310" s="101"/>
      <c r="AN310" s="103"/>
      <c r="AO310" s="103"/>
      <c r="AP310" s="103"/>
      <c r="AQ310" s="103"/>
      <c r="AR310" s="103"/>
      <c r="AS310" s="103"/>
      <c r="AT310" s="103"/>
      <c r="AU310" s="101"/>
      <c r="AV310" s="101"/>
      <c r="AW310" s="101"/>
      <c r="AX310" s="101"/>
      <c r="AY310" s="101"/>
      <c r="AZ310" s="101"/>
      <c r="BA310" s="101"/>
      <c r="BB310" s="103"/>
      <c r="BC310" s="103"/>
      <c r="BD310" s="103"/>
      <c r="BE310" s="101"/>
      <c r="BF310" s="101"/>
      <c r="BG310" s="101"/>
      <c r="BH310" s="101"/>
      <c r="BI310" s="101"/>
      <c r="BM310" s="101"/>
      <c r="BN310" s="101"/>
      <c r="BO310" s="101"/>
      <c r="BP310" s="101"/>
      <c r="BQ310" s="101"/>
      <c r="BR310" s="101"/>
      <c r="BS310" s="101"/>
      <c r="BT310" s="104"/>
      <c r="BU310" s="104"/>
      <c r="BV310" s="104"/>
      <c r="BW310" s="104"/>
      <c r="BX310" s="104"/>
      <c r="BY310" s="104"/>
      <c r="BZ310" s="104"/>
      <c r="CA310" s="104"/>
      <c r="CB310" s="104"/>
      <c r="CC310" s="104"/>
      <c r="CD310" s="104"/>
      <c r="CE310" s="104"/>
      <c r="CF310" s="104"/>
      <c r="CG310" s="104"/>
      <c r="CH310" s="104"/>
      <c r="CI310" s="104"/>
      <c r="CJ310" s="104"/>
      <c r="CK310" s="104"/>
      <c r="CL310" s="104"/>
      <c r="CM310" s="104"/>
      <c r="CN310" s="104"/>
      <c r="CO310" s="104"/>
      <c r="CP310" s="98"/>
      <c r="CR310" s="101"/>
      <c r="CS310" s="101"/>
      <c r="CT310" s="101"/>
      <c r="CU310" s="101"/>
      <c r="CV310" s="101"/>
      <c r="FL310" s="103"/>
      <c r="FN310" s="103"/>
      <c r="FP310" s="103"/>
      <c r="FR310" s="103"/>
    </row>
    <row r="311" spans="2:174" x14ac:dyDescent="0.35">
      <c r="B311" s="97"/>
      <c r="G311" s="100"/>
      <c r="K311" s="98"/>
      <c r="L311" s="101"/>
      <c r="M311" s="101"/>
      <c r="N311" s="101"/>
      <c r="O311" s="101"/>
      <c r="P311" s="102"/>
      <c r="Q311" s="101"/>
      <c r="R311" s="98"/>
      <c r="S311" s="98"/>
      <c r="T311" s="98"/>
      <c r="U311" s="98"/>
      <c r="V311" s="98"/>
      <c r="W311" s="98"/>
      <c r="X311" s="98"/>
      <c r="Y311" s="98"/>
      <c r="Z311" s="103"/>
      <c r="AA311" s="103"/>
      <c r="AB311" s="103"/>
      <c r="AC311" s="103"/>
      <c r="AD311" s="103"/>
      <c r="AE311" s="103"/>
      <c r="AF311" s="103"/>
      <c r="AG311" s="101"/>
      <c r="AH311" s="101"/>
      <c r="AI311" s="101"/>
      <c r="AJ311" s="101"/>
      <c r="AK311" s="101"/>
      <c r="AL311" s="101"/>
      <c r="AM311" s="101"/>
      <c r="AN311" s="103"/>
      <c r="AO311" s="103"/>
      <c r="AP311" s="103"/>
      <c r="AQ311" s="103"/>
      <c r="AR311" s="103"/>
      <c r="AS311" s="103"/>
      <c r="AT311" s="103"/>
      <c r="AU311" s="101"/>
      <c r="AV311" s="101"/>
      <c r="AW311" s="101"/>
      <c r="AX311" s="101"/>
      <c r="AY311" s="101"/>
      <c r="AZ311" s="101"/>
      <c r="BA311" s="101"/>
      <c r="BB311" s="103"/>
      <c r="BC311" s="103"/>
      <c r="BD311" s="103"/>
      <c r="BE311" s="101"/>
      <c r="BF311" s="101"/>
      <c r="BG311" s="101"/>
      <c r="BH311" s="101"/>
      <c r="BI311" s="101"/>
      <c r="BM311" s="101"/>
      <c r="BN311" s="101"/>
      <c r="BO311" s="101"/>
      <c r="BP311" s="101"/>
      <c r="BQ311" s="101"/>
      <c r="BR311" s="101"/>
      <c r="BS311" s="101"/>
      <c r="BT311" s="104"/>
      <c r="BU311" s="104"/>
      <c r="BV311" s="104"/>
      <c r="BW311" s="104"/>
      <c r="BX311" s="104"/>
      <c r="BY311" s="104"/>
      <c r="BZ311" s="104"/>
      <c r="CA311" s="104"/>
      <c r="CB311" s="104"/>
      <c r="CC311" s="104"/>
      <c r="CD311" s="104"/>
      <c r="CE311" s="104"/>
      <c r="CF311" s="104"/>
      <c r="CG311" s="104"/>
      <c r="CH311" s="104"/>
      <c r="CI311" s="104"/>
      <c r="CJ311" s="104"/>
      <c r="CK311" s="104"/>
      <c r="CL311" s="104"/>
      <c r="CM311" s="104"/>
      <c r="CN311" s="104"/>
      <c r="CO311" s="104"/>
      <c r="CP311" s="98"/>
      <c r="CR311" s="101"/>
      <c r="CS311" s="101"/>
      <c r="CT311" s="101"/>
      <c r="CU311" s="101"/>
      <c r="CV311" s="101"/>
      <c r="FL311" s="103"/>
      <c r="FN311" s="103"/>
      <c r="FP311" s="103"/>
      <c r="FR311" s="103"/>
    </row>
    <row r="312" spans="2:174" x14ac:dyDescent="0.35">
      <c r="B312" s="97"/>
      <c r="G312" s="100"/>
      <c r="K312" s="98"/>
      <c r="L312" s="101"/>
      <c r="M312" s="101"/>
      <c r="N312" s="101"/>
      <c r="O312" s="101"/>
      <c r="P312" s="102"/>
      <c r="Q312" s="101"/>
      <c r="R312" s="98"/>
      <c r="S312" s="98"/>
      <c r="T312" s="98"/>
      <c r="U312" s="98"/>
      <c r="V312" s="98"/>
      <c r="W312" s="98"/>
      <c r="X312" s="98"/>
      <c r="Y312" s="98"/>
      <c r="Z312" s="103"/>
      <c r="AA312" s="103"/>
      <c r="AB312" s="103"/>
      <c r="AC312" s="103"/>
      <c r="AD312" s="103"/>
      <c r="AE312" s="103"/>
      <c r="AF312" s="103"/>
      <c r="AG312" s="101"/>
      <c r="AH312" s="101"/>
      <c r="AI312" s="101"/>
      <c r="AJ312" s="101"/>
      <c r="AK312" s="101"/>
      <c r="AL312" s="101"/>
      <c r="AM312" s="101"/>
      <c r="AN312" s="103"/>
      <c r="AO312" s="103"/>
      <c r="AP312" s="103"/>
      <c r="AQ312" s="103"/>
      <c r="AR312" s="103"/>
      <c r="AS312" s="103"/>
      <c r="AT312" s="103"/>
      <c r="AU312" s="101"/>
      <c r="AV312" s="101"/>
      <c r="AW312" s="101"/>
      <c r="AX312" s="101"/>
      <c r="AY312" s="101"/>
      <c r="AZ312" s="101"/>
      <c r="BA312" s="101"/>
      <c r="BB312" s="103"/>
      <c r="BC312" s="103"/>
      <c r="BD312" s="103"/>
      <c r="BE312" s="101"/>
      <c r="BF312" s="101"/>
      <c r="BG312" s="101"/>
      <c r="BH312" s="101"/>
      <c r="BI312" s="101"/>
      <c r="BM312" s="101"/>
      <c r="BN312" s="101"/>
      <c r="BO312" s="101"/>
      <c r="BP312" s="101"/>
      <c r="BQ312" s="101"/>
      <c r="BR312" s="101"/>
      <c r="BS312" s="101"/>
      <c r="BT312" s="104"/>
      <c r="BU312" s="104"/>
      <c r="BV312" s="104"/>
      <c r="BW312" s="104"/>
      <c r="BX312" s="104"/>
      <c r="BY312" s="104"/>
      <c r="BZ312" s="104"/>
      <c r="CA312" s="104"/>
      <c r="CB312" s="104"/>
      <c r="CC312" s="104"/>
      <c r="CD312" s="104"/>
      <c r="CE312" s="104"/>
      <c r="CF312" s="104"/>
      <c r="CG312" s="104"/>
      <c r="CH312" s="104"/>
      <c r="CI312" s="104"/>
      <c r="CJ312" s="104"/>
      <c r="CK312" s="104"/>
      <c r="CL312" s="104"/>
      <c r="CM312" s="104"/>
      <c r="CN312" s="104"/>
      <c r="CO312" s="104"/>
      <c r="CP312" s="98"/>
      <c r="CR312" s="101"/>
      <c r="CS312" s="101"/>
      <c r="CT312" s="101"/>
      <c r="CU312" s="101"/>
      <c r="CV312" s="101"/>
      <c r="FL312" s="103"/>
      <c r="FN312" s="103"/>
      <c r="FP312" s="103"/>
      <c r="FR312" s="103"/>
    </row>
    <row r="313" spans="2:174" x14ac:dyDescent="0.35">
      <c r="B313" s="97"/>
      <c r="G313" s="100"/>
      <c r="K313" s="98"/>
      <c r="L313" s="101"/>
      <c r="M313" s="101"/>
      <c r="N313" s="101"/>
      <c r="O313" s="101"/>
      <c r="P313" s="102"/>
      <c r="Q313" s="101"/>
      <c r="R313" s="98"/>
      <c r="S313" s="98"/>
      <c r="T313" s="98"/>
      <c r="U313" s="98"/>
      <c r="V313" s="98"/>
      <c r="W313" s="98"/>
      <c r="X313" s="98"/>
      <c r="Y313" s="98"/>
      <c r="Z313" s="103"/>
      <c r="AA313" s="103"/>
      <c r="AB313" s="103"/>
      <c r="AC313" s="103"/>
      <c r="AD313" s="103"/>
      <c r="AE313" s="103"/>
      <c r="AF313" s="103"/>
      <c r="AG313" s="101"/>
      <c r="AH313" s="101"/>
      <c r="AI313" s="101"/>
      <c r="AJ313" s="101"/>
      <c r="AK313" s="101"/>
      <c r="AL313" s="101"/>
      <c r="AM313" s="101"/>
      <c r="AN313" s="103"/>
      <c r="AO313" s="103"/>
      <c r="AP313" s="103"/>
      <c r="AQ313" s="103"/>
      <c r="AR313" s="103"/>
      <c r="AS313" s="103"/>
      <c r="AT313" s="103"/>
      <c r="AU313" s="101"/>
      <c r="AV313" s="101"/>
      <c r="AW313" s="101"/>
      <c r="AX313" s="101"/>
      <c r="AY313" s="101"/>
      <c r="AZ313" s="101"/>
      <c r="BA313" s="101"/>
      <c r="BB313" s="103"/>
      <c r="BC313" s="103"/>
      <c r="BD313" s="103"/>
      <c r="BE313" s="101"/>
      <c r="BF313" s="101"/>
      <c r="BG313" s="101"/>
      <c r="BH313" s="101"/>
      <c r="BI313" s="101"/>
      <c r="BM313" s="101"/>
      <c r="BN313" s="101"/>
      <c r="BO313" s="101"/>
      <c r="BP313" s="101"/>
      <c r="BQ313" s="101"/>
      <c r="BR313" s="101"/>
      <c r="BS313" s="101"/>
      <c r="BT313" s="104"/>
      <c r="BU313" s="104"/>
      <c r="BV313" s="104"/>
      <c r="BW313" s="104"/>
      <c r="BX313" s="104"/>
      <c r="BY313" s="104"/>
      <c r="BZ313" s="104"/>
      <c r="CA313" s="104"/>
      <c r="CB313" s="104"/>
      <c r="CC313" s="104"/>
      <c r="CD313" s="104"/>
      <c r="CE313" s="104"/>
      <c r="CF313" s="104"/>
      <c r="CG313" s="104"/>
      <c r="CH313" s="104"/>
      <c r="CI313" s="104"/>
      <c r="CJ313" s="104"/>
      <c r="CK313" s="104"/>
      <c r="CL313" s="104"/>
      <c r="CM313" s="104"/>
      <c r="CN313" s="104"/>
      <c r="CO313" s="104"/>
      <c r="CP313" s="98"/>
      <c r="CR313" s="101"/>
      <c r="CS313" s="101"/>
      <c r="CT313" s="101"/>
      <c r="CU313" s="101"/>
      <c r="CV313" s="101"/>
      <c r="FL313" s="103"/>
      <c r="FN313" s="103"/>
      <c r="FP313" s="103"/>
      <c r="FR313" s="103"/>
    </row>
    <row r="314" spans="2:174" x14ac:dyDescent="0.35">
      <c r="B314" s="97"/>
      <c r="G314" s="100"/>
      <c r="K314" s="98"/>
      <c r="L314" s="101"/>
      <c r="M314" s="101"/>
      <c r="N314" s="101"/>
      <c r="O314" s="101"/>
      <c r="P314" s="102"/>
      <c r="Q314" s="101"/>
      <c r="R314" s="98"/>
      <c r="S314" s="98"/>
      <c r="T314" s="98"/>
      <c r="U314" s="98"/>
      <c r="V314" s="98"/>
      <c r="W314" s="98"/>
      <c r="X314" s="98"/>
      <c r="Y314" s="98"/>
      <c r="Z314" s="103"/>
      <c r="AA314" s="103"/>
      <c r="AB314" s="103"/>
      <c r="AC314" s="103"/>
      <c r="AD314" s="103"/>
      <c r="AE314" s="103"/>
      <c r="AF314" s="103"/>
      <c r="AG314" s="101"/>
      <c r="AH314" s="101"/>
      <c r="AI314" s="101"/>
      <c r="AJ314" s="101"/>
      <c r="AK314" s="101"/>
      <c r="AL314" s="101"/>
      <c r="AM314" s="101"/>
      <c r="AN314" s="103"/>
      <c r="AO314" s="103"/>
      <c r="AP314" s="103"/>
      <c r="AQ314" s="103"/>
      <c r="AR314" s="103"/>
      <c r="AS314" s="103"/>
      <c r="AT314" s="103"/>
      <c r="AU314" s="101"/>
      <c r="AV314" s="101"/>
      <c r="AW314" s="101"/>
      <c r="AX314" s="101"/>
      <c r="AY314" s="101"/>
      <c r="AZ314" s="101"/>
      <c r="BA314" s="101"/>
      <c r="BB314" s="103"/>
      <c r="BC314" s="103"/>
      <c r="BD314" s="103"/>
      <c r="BE314" s="101"/>
      <c r="BF314" s="101"/>
      <c r="BG314" s="101"/>
      <c r="BH314" s="101"/>
      <c r="BI314" s="101"/>
      <c r="BM314" s="101"/>
      <c r="BN314" s="101"/>
      <c r="BO314" s="101"/>
      <c r="BP314" s="101"/>
      <c r="BQ314" s="101"/>
      <c r="BR314" s="101"/>
      <c r="BS314" s="101"/>
      <c r="BT314" s="104"/>
      <c r="BU314" s="104"/>
      <c r="BV314" s="104"/>
      <c r="BW314" s="104"/>
      <c r="BX314" s="104"/>
      <c r="BY314" s="104"/>
      <c r="BZ314" s="104"/>
      <c r="CA314" s="104"/>
      <c r="CB314" s="104"/>
      <c r="CC314" s="104"/>
      <c r="CD314" s="104"/>
      <c r="CE314" s="104"/>
      <c r="CF314" s="104"/>
      <c r="CG314" s="104"/>
      <c r="CH314" s="104"/>
      <c r="CI314" s="104"/>
      <c r="CJ314" s="104"/>
      <c r="CK314" s="104"/>
      <c r="CL314" s="104"/>
      <c r="CM314" s="104"/>
      <c r="CN314" s="104"/>
      <c r="CO314" s="104"/>
      <c r="CP314" s="98"/>
      <c r="CR314" s="101"/>
      <c r="CS314" s="101"/>
      <c r="CT314" s="101"/>
      <c r="CU314" s="101"/>
      <c r="CV314" s="101"/>
      <c r="FL314" s="103"/>
      <c r="FN314" s="103"/>
      <c r="FP314" s="103"/>
      <c r="FR314" s="103"/>
    </row>
    <row r="315" spans="2:174" x14ac:dyDescent="0.35">
      <c r="B315" s="97"/>
      <c r="G315" s="100"/>
      <c r="K315" s="98"/>
      <c r="L315" s="101"/>
      <c r="M315" s="101"/>
      <c r="N315" s="101"/>
      <c r="O315" s="101"/>
      <c r="P315" s="102"/>
      <c r="Q315" s="101"/>
      <c r="R315" s="98"/>
      <c r="S315" s="98"/>
      <c r="T315" s="98"/>
      <c r="U315" s="98"/>
      <c r="V315" s="98"/>
      <c r="W315" s="98"/>
      <c r="X315" s="98"/>
      <c r="Y315" s="98"/>
      <c r="Z315" s="103"/>
      <c r="AA315" s="103"/>
      <c r="AB315" s="103"/>
      <c r="AC315" s="103"/>
      <c r="AD315" s="103"/>
      <c r="AE315" s="103"/>
      <c r="AF315" s="103"/>
      <c r="AG315" s="101"/>
      <c r="AH315" s="101"/>
      <c r="AI315" s="101"/>
      <c r="AJ315" s="101"/>
      <c r="AK315" s="101"/>
      <c r="AL315" s="101"/>
      <c r="AM315" s="101"/>
      <c r="AN315" s="103"/>
      <c r="AO315" s="103"/>
      <c r="AP315" s="103"/>
      <c r="AQ315" s="103"/>
      <c r="AR315" s="103"/>
      <c r="AS315" s="103"/>
      <c r="AT315" s="103"/>
      <c r="AU315" s="101"/>
      <c r="AV315" s="101"/>
      <c r="AW315" s="101"/>
      <c r="AX315" s="101"/>
      <c r="AY315" s="101"/>
      <c r="AZ315" s="101"/>
      <c r="BA315" s="101"/>
      <c r="BB315" s="103"/>
      <c r="BC315" s="103"/>
      <c r="BD315" s="103"/>
      <c r="BE315" s="101"/>
      <c r="BF315" s="101"/>
      <c r="BG315" s="101"/>
      <c r="BH315" s="101"/>
      <c r="BI315" s="101"/>
      <c r="BM315" s="101"/>
      <c r="BN315" s="101"/>
      <c r="BO315" s="101"/>
      <c r="BP315" s="101"/>
      <c r="BQ315" s="101"/>
      <c r="BR315" s="101"/>
      <c r="BS315" s="101"/>
      <c r="BT315" s="104"/>
      <c r="BU315" s="104"/>
      <c r="BV315" s="104"/>
      <c r="BW315" s="104"/>
      <c r="BX315" s="104"/>
      <c r="BY315" s="104"/>
      <c r="BZ315" s="104"/>
      <c r="CA315" s="104"/>
      <c r="CB315" s="104"/>
      <c r="CC315" s="104"/>
      <c r="CD315" s="104"/>
      <c r="CE315" s="104"/>
      <c r="CF315" s="104"/>
      <c r="CG315" s="104"/>
      <c r="CH315" s="104"/>
      <c r="CI315" s="104"/>
      <c r="CJ315" s="104"/>
      <c r="CK315" s="104"/>
      <c r="CL315" s="104"/>
      <c r="CM315" s="104"/>
      <c r="CN315" s="104"/>
      <c r="CO315" s="104"/>
      <c r="CP315" s="98"/>
      <c r="CR315" s="101"/>
      <c r="CS315" s="101"/>
      <c r="CT315" s="101"/>
      <c r="CU315" s="101"/>
      <c r="CV315" s="101"/>
      <c r="FL315" s="103"/>
      <c r="FN315" s="103"/>
      <c r="FP315" s="103"/>
      <c r="FR315" s="103"/>
    </row>
    <row r="316" spans="2:174" x14ac:dyDescent="0.35">
      <c r="B316" s="97"/>
      <c r="G316" s="100"/>
      <c r="K316" s="98"/>
      <c r="L316" s="101"/>
      <c r="M316" s="101"/>
      <c r="N316" s="101"/>
      <c r="O316" s="101"/>
      <c r="P316" s="102"/>
      <c r="Q316" s="101"/>
      <c r="R316" s="98"/>
      <c r="S316" s="98"/>
      <c r="T316" s="98"/>
      <c r="U316" s="98"/>
      <c r="V316" s="98"/>
      <c r="W316" s="98"/>
      <c r="X316" s="98"/>
      <c r="Y316" s="98"/>
      <c r="Z316" s="103"/>
      <c r="AA316" s="103"/>
      <c r="AB316" s="103"/>
      <c r="AC316" s="103"/>
      <c r="AD316" s="103"/>
      <c r="AE316" s="103"/>
      <c r="AF316" s="103"/>
      <c r="AG316" s="101"/>
      <c r="AH316" s="101"/>
      <c r="AI316" s="101"/>
      <c r="AJ316" s="101"/>
      <c r="AK316" s="101"/>
      <c r="AL316" s="101"/>
      <c r="AM316" s="101"/>
      <c r="AN316" s="103"/>
      <c r="AO316" s="103"/>
      <c r="AP316" s="103"/>
      <c r="AQ316" s="103"/>
      <c r="AR316" s="103"/>
      <c r="AS316" s="103"/>
      <c r="AT316" s="103"/>
      <c r="AU316" s="101"/>
      <c r="AV316" s="101"/>
      <c r="AW316" s="101"/>
      <c r="AX316" s="101"/>
      <c r="AY316" s="101"/>
      <c r="AZ316" s="101"/>
      <c r="BA316" s="101"/>
      <c r="BB316" s="103"/>
      <c r="BC316" s="103"/>
      <c r="BD316" s="103"/>
      <c r="BE316" s="101"/>
      <c r="BF316" s="101"/>
      <c r="BG316" s="101"/>
      <c r="BH316" s="101"/>
      <c r="BI316" s="101"/>
      <c r="BM316" s="101"/>
      <c r="BN316" s="101"/>
      <c r="BO316" s="101"/>
      <c r="BP316" s="101"/>
      <c r="BQ316" s="101"/>
      <c r="BR316" s="101"/>
      <c r="BS316" s="101"/>
      <c r="BT316" s="104"/>
      <c r="BU316" s="104"/>
      <c r="BV316" s="104"/>
      <c r="BW316" s="104"/>
      <c r="BX316" s="104"/>
      <c r="BY316" s="104"/>
      <c r="BZ316" s="104"/>
      <c r="CA316" s="104"/>
      <c r="CB316" s="104"/>
      <c r="CC316" s="104"/>
      <c r="CD316" s="104"/>
      <c r="CE316" s="104"/>
      <c r="CF316" s="104"/>
      <c r="CG316" s="104"/>
      <c r="CH316" s="104"/>
      <c r="CI316" s="104"/>
      <c r="CJ316" s="104"/>
      <c r="CK316" s="104"/>
      <c r="CL316" s="104"/>
      <c r="CM316" s="104"/>
      <c r="CN316" s="104"/>
      <c r="CO316" s="104"/>
      <c r="CP316" s="98"/>
      <c r="CR316" s="101"/>
      <c r="CS316" s="101"/>
      <c r="CT316" s="101"/>
      <c r="CU316" s="101"/>
      <c r="CV316" s="101"/>
      <c r="FL316" s="103"/>
      <c r="FN316" s="103"/>
      <c r="FP316" s="103"/>
      <c r="FR316" s="103"/>
    </row>
    <row r="317" spans="2:174" x14ac:dyDescent="0.35">
      <c r="B317" s="97"/>
      <c r="G317" s="100"/>
      <c r="K317" s="98"/>
      <c r="L317" s="101"/>
      <c r="M317" s="101"/>
      <c r="N317" s="101"/>
      <c r="O317" s="101"/>
      <c r="P317" s="102"/>
      <c r="Q317" s="101"/>
      <c r="R317" s="98"/>
      <c r="S317" s="98"/>
      <c r="T317" s="98"/>
      <c r="U317" s="98"/>
      <c r="V317" s="98"/>
      <c r="W317" s="98"/>
      <c r="X317" s="98"/>
      <c r="Y317" s="98"/>
      <c r="Z317" s="103"/>
      <c r="AA317" s="103"/>
      <c r="AB317" s="103"/>
      <c r="AC317" s="103"/>
      <c r="AD317" s="103"/>
      <c r="AE317" s="103"/>
      <c r="AF317" s="103"/>
      <c r="AG317" s="101"/>
      <c r="AH317" s="101"/>
      <c r="AI317" s="101"/>
      <c r="AJ317" s="101"/>
      <c r="AK317" s="101"/>
      <c r="AL317" s="101"/>
      <c r="AM317" s="101"/>
      <c r="AN317" s="103"/>
      <c r="AO317" s="103"/>
      <c r="AP317" s="103"/>
      <c r="AQ317" s="103"/>
      <c r="AR317" s="103"/>
      <c r="AS317" s="103"/>
      <c r="AT317" s="103"/>
      <c r="AU317" s="101"/>
      <c r="AV317" s="101"/>
      <c r="AW317" s="101"/>
      <c r="AX317" s="101"/>
      <c r="AY317" s="101"/>
      <c r="AZ317" s="101"/>
      <c r="BA317" s="101"/>
      <c r="BB317" s="103"/>
      <c r="BC317" s="103"/>
      <c r="BD317" s="103"/>
      <c r="BE317" s="101"/>
      <c r="BF317" s="101"/>
      <c r="BG317" s="101"/>
      <c r="BH317" s="101"/>
      <c r="BI317" s="101"/>
      <c r="BM317" s="101"/>
      <c r="BN317" s="101"/>
      <c r="BO317" s="101"/>
      <c r="BP317" s="101"/>
      <c r="BQ317" s="101"/>
      <c r="BR317" s="101"/>
      <c r="BS317" s="101"/>
      <c r="BT317" s="104"/>
      <c r="BU317" s="104"/>
      <c r="BV317" s="104"/>
      <c r="BW317" s="104"/>
      <c r="BX317" s="104"/>
      <c r="BY317" s="104"/>
      <c r="BZ317" s="104"/>
      <c r="CA317" s="104"/>
      <c r="CB317" s="104"/>
      <c r="CC317" s="104"/>
      <c r="CD317" s="104"/>
      <c r="CE317" s="104"/>
      <c r="CF317" s="104"/>
      <c r="CG317" s="104"/>
      <c r="CH317" s="104"/>
      <c r="CI317" s="104"/>
      <c r="CJ317" s="104"/>
      <c r="CK317" s="104"/>
      <c r="CL317" s="104"/>
      <c r="CM317" s="104"/>
      <c r="CN317" s="104"/>
      <c r="CO317" s="104"/>
      <c r="CP317" s="98"/>
      <c r="CR317" s="101"/>
      <c r="CS317" s="101"/>
      <c r="CT317" s="101"/>
      <c r="CU317" s="101"/>
      <c r="CV317" s="101"/>
      <c r="FL317" s="103"/>
      <c r="FN317" s="103"/>
      <c r="FP317" s="103"/>
      <c r="FR317" s="103"/>
    </row>
    <row r="318" spans="2:174" x14ac:dyDescent="0.35">
      <c r="B318" s="97"/>
      <c r="G318" s="100"/>
      <c r="K318" s="98"/>
      <c r="L318" s="101"/>
      <c r="M318" s="101"/>
      <c r="N318" s="101"/>
      <c r="O318" s="101"/>
      <c r="P318" s="102"/>
      <c r="Q318" s="101"/>
      <c r="R318" s="98"/>
      <c r="S318" s="98"/>
      <c r="T318" s="98"/>
      <c r="U318" s="98"/>
      <c r="V318" s="98"/>
      <c r="W318" s="98"/>
      <c r="X318" s="98"/>
      <c r="Y318" s="98"/>
      <c r="Z318" s="103"/>
      <c r="AA318" s="103"/>
      <c r="AB318" s="103"/>
      <c r="AC318" s="103"/>
      <c r="AD318" s="103"/>
      <c r="AE318" s="103"/>
      <c r="AF318" s="103"/>
      <c r="AG318" s="101"/>
      <c r="AH318" s="101"/>
      <c r="AI318" s="101"/>
      <c r="AJ318" s="101"/>
      <c r="AK318" s="101"/>
      <c r="AL318" s="101"/>
      <c r="AM318" s="101"/>
      <c r="AN318" s="103"/>
      <c r="AO318" s="103"/>
      <c r="AP318" s="103"/>
      <c r="AQ318" s="103"/>
      <c r="AR318" s="103"/>
      <c r="AS318" s="103"/>
      <c r="AT318" s="103"/>
      <c r="AU318" s="101"/>
      <c r="AV318" s="101"/>
      <c r="AW318" s="101"/>
      <c r="AX318" s="101"/>
      <c r="AY318" s="101"/>
      <c r="AZ318" s="101"/>
      <c r="BA318" s="101"/>
      <c r="BB318" s="103"/>
      <c r="BC318" s="103"/>
      <c r="BD318" s="103"/>
      <c r="BE318" s="101"/>
      <c r="BF318" s="101"/>
      <c r="BG318" s="101"/>
      <c r="BH318" s="101"/>
      <c r="BI318" s="101"/>
      <c r="BM318" s="101"/>
      <c r="BN318" s="101"/>
      <c r="BO318" s="101"/>
      <c r="BP318" s="101"/>
      <c r="BQ318" s="101"/>
      <c r="BR318" s="101"/>
      <c r="BS318" s="101"/>
      <c r="BT318" s="104"/>
      <c r="BU318" s="104"/>
      <c r="BV318" s="104"/>
      <c r="BW318" s="104"/>
      <c r="BX318" s="104"/>
      <c r="BY318" s="104"/>
      <c r="BZ318" s="104"/>
      <c r="CA318" s="104"/>
      <c r="CB318" s="104"/>
      <c r="CC318" s="104"/>
      <c r="CD318" s="104"/>
      <c r="CE318" s="104"/>
      <c r="CF318" s="104"/>
      <c r="CG318" s="104"/>
      <c r="CH318" s="104"/>
      <c r="CI318" s="104"/>
      <c r="CJ318" s="104"/>
      <c r="CK318" s="104"/>
      <c r="CL318" s="104"/>
      <c r="CM318" s="104"/>
      <c r="CN318" s="104"/>
      <c r="CO318" s="104"/>
      <c r="CP318" s="98"/>
      <c r="CR318" s="101"/>
      <c r="CS318" s="101"/>
      <c r="CT318" s="101"/>
      <c r="CU318" s="101"/>
      <c r="CV318" s="101"/>
      <c r="FL318" s="103"/>
      <c r="FN318" s="103"/>
      <c r="FP318" s="103"/>
      <c r="FR318" s="103"/>
    </row>
    <row r="319" spans="2:174" x14ac:dyDescent="0.35">
      <c r="B319" s="97"/>
      <c r="G319" s="100"/>
      <c r="K319" s="98"/>
      <c r="L319" s="101"/>
      <c r="M319" s="101"/>
      <c r="N319" s="101"/>
      <c r="O319" s="101"/>
      <c r="P319" s="102"/>
      <c r="Q319" s="101"/>
      <c r="R319" s="98"/>
      <c r="S319" s="98"/>
      <c r="T319" s="98"/>
      <c r="U319" s="98"/>
      <c r="V319" s="98"/>
      <c r="W319" s="98"/>
      <c r="X319" s="98"/>
      <c r="Y319" s="98"/>
      <c r="Z319" s="103"/>
      <c r="AA319" s="103"/>
      <c r="AB319" s="103"/>
      <c r="AC319" s="103"/>
      <c r="AD319" s="103"/>
      <c r="AE319" s="103"/>
      <c r="AF319" s="103"/>
      <c r="AG319" s="101"/>
      <c r="AH319" s="101"/>
      <c r="AI319" s="101"/>
      <c r="AJ319" s="101"/>
      <c r="AK319" s="101"/>
      <c r="AL319" s="101"/>
      <c r="AM319" s="101"/>
      <c r="AN319" s="103"/>
      <c r="AO319" s="103"/>
      <c r="AP319" s="103"/>
      <c r="AQ319" s="103"/>
      <c r="AR319" s="103"/>
      <c r="AS319" s="103"/>
      <c r="AT319" s="103"/>
      <c r="AU319" s="101"/>
      <c r="AV319" s="101"/>
      <c r="AW319" s="101"/>
      <c r="AX319" s="101"/>
      <c r="AY319" s="101"/>
      <c r="AZ319" s="101"/>
      <c r="BA319" s="101"/>
      <c r="BB319" s="103"/>
      <c r="BC319" s="103"/>
      <c r="BD319" s="103"/>
      <c r="BE319" s="101"/>
      <c r="BF319" s="101"/>
      <c r="BG319" s="101"/>
      <c r="BH319" s="101"/>
      <c r="BI319" s="101"/>
      <c r="BM319" s="101"/>
      <c r="BN319" s="101"/>
      <c r="BO319" s="101"/>
      <c r="BP319" s="101"/>
      <c r="BQ319" s="101"/>
      <c r="BR319" s="101"/>
      <c r="BS319" s="101"/>
      <c r="BT319" s="104"/>
      <c r="BU319" s="104"/>
      <c r="BV319" s="104"/>
      <c r="BW319" s="104"/>
      <c r="BX319" s="104"/>
      <c r="BY319" s="104"/>
      <c r="BZ319" s="104"/>
      <c r="CA319" s="104"/>
      <c r="CB319" s="104"/>
      <c r="CC319" s="104"/>
      <c r="CD319" s="104"/>
      <c r="CE319" s="104"/>
      <c r="CF319" s="104"/>
      <c r="CG319" s="104"/>
      <c r="CH319" s="104"/>
      <c r="CI319" s="104"/>
      <c r="CJ319" s="104"/>
      <c r="CK319" s="104"/>
      <c r="CL319" s="104"/>
      <c r="CM319" s="104"/>
      <c r="CN319" s="104"/>
      <c r="CO319" s="104"/>
      <c r="CP319" s="98"/>
      <c r="CR319" s="101"/>
      <c r="CS319" s="101"/>
      <c r="CT319" s="101"/>
      <c r="CU319" s="101"/>
      <c r="CV319" s="101"/>
      <c r="FL319" s="103"/>
      <c r="FN319" s="103"/>
      <c r="FP319" s="103"/>
      <c r="FR319" s="103"/>
    </row>
    <row r="320" spans="2:174" x14ac:dyDescent="0.35">
      <c r="B320" s="97"/>
      <c r="G320" s="100"/>
      <c r="K320" s="98"/>
      <c r="L320" s="101"/>
      <c r="M320" s="101"/>
      <c r="N320" s="101"/>
      <c r="O320" s="101"/>
      <c r="P320" s="102"/>
      <c r="Q320" s="101"/>
      <c r="R320" s="98"/>
      <c r="S320" s="98"/>
      <c r="T320" s="98"/>
      <c r="U320" s="98"/>
      <c r="V320" s="98"/>
      <c r="W320" s="98"/>
      <c r="X320" s="98"/>
      <c r="Y320" s="98"/>
      <c r="Z320" s="103"/>
      <c r="AA320" s="103"/>
      <c r="AB320" s="103"/>
      <c r="AC320" s="103"/>
      <c r="AD320" s="103"/>
      <c r="AE320" s="103"/>
      <c r="AF320" s="103"/>
      <c r="AG320" s="101"/>
      <c r="AH320" s="101"/>
      <c r="AI320" s="101"/>
      <c r="AJ320" s="101"/>
      <c r="AK320" s="101"/>
      <c r="AL320" s="101"/>
      <c r="AM320" s="101"/>
      <c r="AN320" s="103"/>
      <c r="AO320" s="103"/>
      <c r="AP320" s="103"/>
      <c r="AQ320" s="103"/>
      <c r="AR320" s="103"/>
      <c r="AS320" s="103"/>
      <c r="AT320" s="103"/>
      <c r="AU320" s="101"/>
      <c r="AV320" s="101"/>
      <c r="AW320" s="101"/>
      <c r="AX320" s="101"/>
      <c r="AY320" s="101"/>
      <c r="AZ320" s="101"/>
      <c r="BA320" s="101"/>
      <c r="BB320" s="103"/>
      <c r="BC320" s="103"/>
      <c r="BD320" s="103"/>
      <c r="BE320" s="101"/>
      <c r="BF320" s="101"/>
      <c r="BG320" s="101"/>
      <c r="BH320" s="101"/>
      <c r="BI320" s="101"/>
      <c r="BM320" s="101"/>
      <c r="BN320" s="101"/>
      <c r="BO320" s="101"/>
      <c r="BP320" s="101"/>
      <c r="BQ320" s="101"/>
      <c r="BR320" s="101"/>
      <c r="BS320" s="101"/>
      <c r="BT320" s="104"/>
      <c r="BU320" s="104"/>
      <c r="BV320" s="104"/>
      <c r="BW320" s="104"/>
      <c r="BX320" s="104"/>
      <c r="BY320" s="104"/>
      <c r="BZ320" s="104"/>
      <c r="CA320" s="104"/>
      <c r="CB320" s="104"/>
      <c r="CC320" s="104"/>
      <c r="CD320" s="104"/>
      <c r="CE320" s="104"/>
      <c r="CF320" s="104"/>
      <c r="CG320" s="104"/>
      <c r="CH320" s="104"/>
      <c r="CI320" s="104"/>
      <c r="CJ320" s="104"/>
      <c r="CK320" s="104"/>
      <c r="CL320" s="104"/>
      <c r="CM320" s="104"/>
      <c r="CN320" s="104"/>
      <c r="CO320" s="104"/>
      <c r="CP320" s="98"/>
      <c r="CR320" s="101"/>
      <c r="CS320" s="101"/>
      <c r="CT320" s="101"/>
      <c r="CU320" s="101"/>
      <c r="CV320" s="101"/>
      <c r="FL320" s="103"/>
      <c r="FN320" s="103"/>
      <c r="FP320" s="103"/>
      <c r="FR320" s="103"/>
    </row>
    <row r="321" spans="2:174" x14ac:dyDescent="0.35">
      <c r="B321" s="97"/>
      <c r="G321" s="100"/>
      <c r="K321" s="98"/>
      <c r="L321" s="101"/>
      <c r="M321" s="101"/>
      <c r="N321" s="101"/>
      <c r="O321" s="101"/>
      <c r="P321" s="102"/>
      <c r="Q321" s="101"/>
      <c r="R321" s="98"/>
      <c r="S321" s="98"/>
      <c r="T321" s="98"/>
      <c r="U321" s="98"/>
      <c r="V321" s="98"/>
      <c r="W321" s="98"/>
      <c r="X321" s="98"/>
      <c r="Y321" s="98"/>
      <c r="Z321" s="103"/>
      <c r="AA321" s="103"/>
      <c r="AB321" s="103"/>
      <c r="AC321" s="103"/>
      <c r="AD321" s="103"/>
      <c r="AE321" s="103"/>
      <c r="AF321" s="103"/>
      <c r="AG321" s="101"/>
      <c r="AH321" s="101"/>
      <c r="AI321" s="101"/>
      <c r="AJ321" s="101"/>
      <c r="AK321" s="101"/>
      <c r="AL321" s="101"/>
      <c r="AM321" s="101"/>
      <c r="AN321" s="103"/>
      <c r="AO321" s="103"/>
      <c r="AP321" s="103"/>
      <c r="AQ321" s="103"/>
      <c r="AR321" s="103"/>
      <c r="AS321" s="103"/>
      <c r="AT321" s="103"/>
      <c r="AU321" s="101"/>
      <c r="AV321" s="101"/>
      <c r="AW321" s="101"/>
      <c r="AX321" s="101"/>
      <c r="AY321" s="101"/>
      <c r="AZ321" s="101"/>
      <c r="BA321" s="101"/>
      <c r="BB321" s="103"/>
      <c r="BC321" s="103"/>
      <c r="BD321" s="103"/>
      <c r="BE321" s="101"/>
      <c r="BF321" s="101"/>
      <c r="BG321" s="101"/>
      <c r="BH321" s="101"/>
      <c r="BI321" s="101"/>
      <c r="BM321" s="101"/>
      <c r="BN321" s="101"/>
      <c r="BO321" s="101"/>
      <c r="BP321" s="101"/>
      <c r="BQ321" s="101"/>
      <c r="BR321" s="101"/>
      <c r="BS321" s="101"/>
      <c r="BT321" s="104"/>
      <c r="BU321" s="104"/>
      <c r="BV321" s="104"/>
      <c r="BW321" s="104"/>
      <c r="BX321" s="104"/>
      <c r="BY321" s="104"/>
      <c r="BZ321" s="104"/>
      <c r="CA321" s="104"/>
      <c r="CB321" s="104"/>
      <c r="CC321" s="104"/>
      <c r="CD321" s="104"/>
      <c r="CE321" s="104"/>
      <c r="CF321" s="104"/>
      <c r="CG321" s="104"/>
      <c r="CH321" s="104"/>
      <c r="CI321" s="104"/>
      <c r="CJ321" s="104"/>
      <c r="CK321" s="104"/>
      <c r="CL321" s="104"/>
      <c r="CM321" s="104"/>
      <c r="CN321" s="104"/>
      <c r="CO321" s="104"/>
      <c r="CP321" s="98"/>
      <c r="CR321" s="101"/>
      <c r="CS321" s="101"/>
      <c r="CT321" s="101"/>
      <c r="CU321" s="101"/>
      <c r="CV321" s="101"/>
      <c r="FL321" s="103"/>
      <c r="FN321" s="103"/>
      <c r="FP321" s="103"/>
      <c r="FR321" s="103"/>
    </row>
    <row r="322" spans="2:174" x14ac:dyDescent="0.35">
      <c r="B322" s="97"/>
      <c r="G322" s="100"/>
      <c r="K322" s="98"/>
      <c r="L322" s="101"/>
      <c r="M322" s="101"/>
      <c r="N322" s="101"/>
      <c r="O322" s="101"/>
      <c r="P322" s="102"/>
      <c r="Q322" s="101"/>
      <c r="R322" s="98"/>
      <c r="S322" s="98"/>
      <c r="T322" s="98"/>
      <c r="U322" s="98"/>
      <c r="V322" s="98"/>
      <c r="W322" s="98"/>
      <c r="X322" s="98"/>
      <c r="Y322" s="98"/>
      <c r="Z322" s="103"/>
      <c r="AA322" s="103"/>
      <c r="AB322" s="103"/>
      <c r="AC322" s="103"/>
      <c r="AD322" s="103"/>
      <c r="AE322" s="103"/>
      <c r="AF322" s="103"/>
      <c r="AG322" s="101"/>
      <c r="AH322" s="101"/>
      <c r="AI322" s="101"/>
      <c r="AJ322" s="101"/>
      <c r="AK322" s="101"/>
      <c r="AL322" s="101"/>
      <c r="AM322" s="101"/>
      <c r="AN322" s="103"/>
      <c r="AO322" s="103"/>
      <c r="AP322" s="103"/>
      <c r="AQ322" s="103"/>
      <c r="AR322" s="103"/>
      <c r="AS322" s="103"/>
      <c r="AT322" s="103"/>
      <c r="AU322" s="101"/>
      <c r="AV322" s="101"/>
      <c r="AW322" s="101"/>
      <c r="AX322" s="101"/>
      <c r="AY322" s="101"/>
      <c r="AZ322" s="101"/>
      <c r="BA322" s="101"/>
      <c r="BB322" s="103"/>
      <c r="BC322" s="103"/>
      <c r="BD322" s="103"/>
      <c r="BE322" s="101"/>
      <c r="BF322" s="101"/>
      <c r="BG322" s="101"/>
      <c r="BH322" s="101"/>
      <c r="BI322" s="101"/>
      <c r="BM322" s="101"/>
      <c r="BN322" s="101"/>
      <c r="BO322" s="101"/>
      <c r="BP322" s="101"/>
      <c r="BQ322" s="101"/>
      <c r="BR322" s="101"/>
      <c r="BS322" s="101"/>
      <c r="BT322" s="104"/>
      <c r="BU322" s="104"/>
      <c r="BV322" s="104"/>
      <c r="BW322" s="104"/>
      <c r="BX322" s="104"/>
      <c r="BY322" s="104"/>
      <c r="BZ322" s="104"/>
      <c r="CA322" s="104"/>
      <c r="CB322" s="104"/>
      <c r="CC322" s="104"/>
      <c r="CD322" s="104"/>
      <c r="CE322" s="104"/>
      <c r="CF322" s="104"/>
      <c r="CG322" s="104"/>
      <c r="CH322" s="104"/>
      <c r="CI322" s="104"/>
      <c r="CJ322" s="104"/>
      <c r="CK322" s="104"/>
      <c r="CL322" s="104"/>
      <c r="CM322" s="104"/>
      <c r="CN322" s="104"/>
      <c r="CO322" s="104"/>
      <c r="CP322" s="98"/>
      <c r="CR322" s="101"/>
      <c r="CS322" s="101"/>
      <c r="CT322" s="101"/>
      <c r="CU322" s="101"/>
      <c r="CV322" s="101"/>
      <c r="FL322" s="103"/>
      <c r="FN322" s="103"/>
      <c r="FP322" s="103"/>
      <c r="FR322" s="103"/>
    </row>
    <row r="323" spans="2:174" x14ac:dyDescent="0.35">
      <c r="B323" s="97"/>
      <c r="G323" s="100"/>
      <c r="K323" s="98"/>
      <c r="L323" s="101"/>
      <c r="M323" s="101"/>
      <c r="N323" s="101"/>
      <c r="O323" s="101"/>
      <c r="P323" s="102"/>
      <c r="Q323" s="101"/>
      <c r="R323" s="98"/>
      <c r="S323" s="98"/>
      <c r="T323" s="98"/>
      <c r="U323" s="98"/>
      <c r="V323" s="98"/>
      <c r="W323" s="98"/>
      <c r="X323" s="98"/>
      <c r="Y323" s="98"/>
      <c r="Z323" s="103"/>
      <c r="AA323" s="103"/>
      <c r="AB323" s="103"/>
      <c r="AC323" s="103"/>
      <c r="AD323" s="103"/>
      <c r="AE323" s="103"/>
      <c r="AF323" s="103"/>
      <c r="AG323" s="101"/>
      <c r="AH323" s="101"/>
      <c r="AI323" s="101"/>
      <c r="AJ323" s="101"/>
      <c r="AK323" s="101"/>
      <c r="AL323" s="101"/>
      <c r="AM323" s="101"/>
      <c r="AN323" s="103"/>
      <c r="AO323" s="103"/>
      <c r="AP323" s="103"/>
      <c r="AQ323" s="103"/>
      <c r="AR323" s="103"/>
      <c r="AS323" s="103"/>
      <c r="AT323" s="103"/>
      <c r="AU323" s="101"/>
      <c r="AV323" s="101"/>
      <c r="AW323" s="101"/>
      <c r="AX323" s="101"/>
      <c r="AY323" s="101"/>
      <c r="AZ323" s="101"/>
      <c r="BA323" s="101"/>
      <c r="BB323" s="103"/>
      <c r="BC323" s="103"/>
      <c r="BD323" s="103"/>
      <c r="BE323" s="101"/>
      <c r="BF323" s="101"/>
      <c r="BG323" s="101"/>
      <c r="BH323" s="101"/>
      <c r="BI323" s="101"/>
      <c r="BM323" s="101"/>
      <c r="BN323" s="101"/>
      <c r="BO323" s="101"/>
      <c r="BP323" s="101"/>
      <c r="BQ323" s="101"/>
      <c r="BR323" s="101"/>
      <c r="BS323" s="101"/>
      <c r="BT323" s="104"/>
      <c r="BU323" s="104"/>
      <c r="BV323" s="104"/>
      <c r="BW323" s="104"/>
      <c r="BX323" s="104"/>
      <c r="BY323" s="104"/>
      <c r="BZ323" s="104"/>
      <c r="CA323" s="104"/>
      <c r="CB323" s="104"/>
      <c r="CC323" s="104"/>
      <c r="CD323" s="104"/>
      <c r="CE323" s="104"/>
      <c r="CF323" s="104"/>
      <c r="CG323" s="104"/>
      <c r="CH323" s="104"/>
      <c r="CI323" s="104"/>
      <c r="CJ323" s="104"/>
      <c r="CK323" s="104"/>
      <c r="CL323" s="104"/>
      <c r="CM323" s="104"/>
      <c r="CN323" s="104"/>
      <c r="CO323" s="104"/>
      <c r="CP323" s="98"/>
      <c r="CR323" s="101"/>
      <c r="CS323" s="101"/>
      <c r="CT323" s="101"/>
      <c r="CU323" s="101"/>
      <c r="CV323" s="101"/>
      <c r="FL323" s="103"/>
      <c r="FN323" s="103"/>
      <c r="FP323" s="103"/>
      <c r="FR323" s="103"/>
    </row>
    <row r="324" spans="2:174" x14ac:dyDescent="0.35">
      <c r="B324" s="97"/>
      <c r="G324" s="100"/>
      <c r="K324" s="98"/>
      <c r="L324" s="101"/>
      <c r="M324" s="101"/>
      <c r="N324" s="101"/>
      <c r="O324" s="101"/>
      <c r="P324" s="102"/>
      <c r="Q324" s="101"/>
      <c r="R324" s="98"/>
      <c r="S324" s="98"/>
      <c r="T324" s="98"/>
      <c r="U324" s="98"/>
      <c r="V324" s="98"/>
      <c r="W324" s="98"/>
      <c r="X324" s="98"/>
      <c r="Y324" s="98"/>
      <c r="Z324" s="103"/>
      <c r="AA324" s="103"/>
      <c r="AB324" s="103"/>
      <c r="AC324" s="103"/>
      <c r="AD324" s="103"/>
      <c r="AE324" s="103"/>
      <c r="AF324" s="103"/>
      <c r="AG324" s="101"/>
      <c r="AH324" s="101"/>
      <c r="AI324" s="101"/>
      <c r="AJ324" s="101"/>
      <c r="AK324" s="101"/>
      <c r="AL324" s="101"/>
      <c r="AM324" s="101"/>
      <c r="AN324" s="103"/>
      <c r="AO324" s="103"/>
      <c r="AP324" s="103"/>
      <c r="AQ324" s="103"/>
      <c r="AR324" s="103"/>
      <c r="AS324" s="103"/>
      <c r="AT324" s="103"/>
      <c r="AU324" s="101"/>
      <c r="AV324" s="101"/>
      <c r="AW324" s="101"/>
      <c r="AX324" s="101"/>
      <c r="AY324" s="101"/>
      <c r="AZ324" s="101"/>
      <c r="BA324" s="101"/>
      <c r="BB324" s="103"/>
      <c r="BC324" s="103"/>
      <c r="BD324" s="103"/>
      <c r="BE324" s="101"/>
      <c r="BF324" s="101"/>
      <c r="BG324" s="101"/>
      <c r="BH324" s="101"/>
      <c r="BI324" s="101"/>
      <c r="BM324" s="101"/>
      <c r="BN324" s="101"/>
      <c r="BO324" s="101"/>
      <c r="BP324" s="101"/>
      <c r="BQ324" s="101"/>
      <c r="BR324" s="101"/>
      <c r="BS324" s="101"/>
      <c r="BT324" s="104"/>
      <c r="BU324" s="104"/>
      <c r="BV324" s="104"/>
      <c r="BW324" s="104"/>
      <c r="BX324" s="104"/>
      <c r="BY324" s="104"/>
      <c r="BZ324" s="104"/>
      <c r="CA324" s="104"/>
      <c r="CB324" s="104"/>
      <c r="CC324" s="104"/>
      <c r="CD324" s="104"/>
      <c r="CE324" s="104"/>
      <c r="CF324" s="104"/>
      <c r="CG324" s="104"/>
      <c r="CH324" s="104"/>
      <c r="CI324" s="104"/>
      <c r="CJ324" s="104"/>
      <c r="CK324" s="104"/>
      <c r="CL324" s="104"/>
      <c r="CM324" s="104"/>
      <c r="CN324" s="104"/>
      <c r="CO324" s="104"/>
      <c r="CP324" s="98"/>
      <c r="CR324" s="101"/>
      <c r="CS324" s="101"/>
      <c r="CT324" s="101"/>
      <c r="CU324" s="101"/>
      <c r="CV324" s="101"/>
      <c r="FL324" s="103"/>
      <c r="FN324" s="103"/>
      <c r="FP324" s="103"/>
      <c r="FR324" s="103"/>
    </row>
    <row r="325" spans="2:174" x14ac:dyDescent="0.35">
      <c r="B325" s="97"/>
      <c r="G325" s="100"/>
      <c r="K325" s="98"/>
      <c r="L325" s="101"/>
      <c r="M325" s="101"/>
      <c r="N325" s="101"/>
      <c r="O325" s="101"/>
      <c r="P325" s="102"/>
      <c r="Q325" s="101"/>
      <c r="R325" s="98"/>
      <c r="S325" s="98"/>
      <c r="T325" s="98"/>
      <c r="U325" s="98"/>
      <c r="V325" s="98"/>
      <c r="W325" s="98"/>
      <c r="X325" s="98"/>
      <c r="Y325" s="98"/>
      <c r="Z325" s="103"/>
      <c r="AA325" s="103"/>
      <c r="AB325" s="103"/>
      <c r="AC325" s="103"/>
      <c r="AD325" s="103"/>
      <c r="AE325" s="103"/>
      <c r="AF325" s="103"/>
      <c r="AG325" s="101"/>
      <c r="AH325" s="101"/>
      <c r="AI325" s="101"/>
      <c r="AJ325" s="101"/>
      <c r="AK325" s="101"/>
      <c r="AL325" s="101"/>
      <c r="AM325" s="101"/>
      <c r="AN325" s="103"/>
      <c r="AO325" s="103"/>
      <c r="AP325" s="103"/>
      <c r="AQ325" s="103"/>
      <c r="AR325" s="103"/>
      <c r="AS325" s="103"/>
      <c r="AT325" s="103"/>
      <c r="AU325" s="101"/>
      <c r="AV325" s="101"/>
      <c r="AW325" s="101"/>
      <c r="AX325" s="101"/>
      <c r="AY325" s="101"/>
      <c r="AZ325" s="101"/>
      <c r="BA325" s="101"/>
      <c r="BB325" s="103"/>
      <c r="BC325" s="103"/>
      <c r="BD325" s="103"/>
      <c r="BE325" s="101"/>
      <c r="BF325" s="101"/>
      <c r="BG325" s="101"/>
      <c r="BH325" s="101"/>
      <c r="BI325" s="101"/>
      <c r="BM325" s="101"/>
      <c r="BN325" s="101"/>
      <c r="BO325" s="101"/>
      <c r="BP325" s="101"/>
      <c r="BQ325" s="101"/>
      <c r="BR325" s="101"/>
      <c r="BS325" s="101"/>
      <c r="BT325" s="104"/>
      <c r="BU325" s="104"/>
      <c r="BV325" s="104"/>
      <c r="BW325" s="104"/>
      <c r="BX325" s="104"/>
      <c r="BY325" s="104"/>
      <c r="BZ325" s="104"/>
      <c r="CA325" s="104"/>
      <c r="CB325" s="104"/>
      <c r="CC325" s="104"/>
      <c r="CD325" s="104"/>
      <c r="CE325" s="104"/>
      <c r="CF325" s="104"/>
      <c r="CG325" s="104"/>
      <c r="CH325" s="104"/>
      <c r="CI325" s="104"/>
      <c r="CJ325" s="104"/>
      <c r="CK325" s="104"/>
      <c r="CL325" s="104"/>
      <c r="CM325" s="104"/>
      <c r="CN325" s="104"/>
      <c r="CO325" s="104"/>
      <c r="CP325" s="98"/>
      <c r="CR325" s="101"/>
      <c r="CS325" s="101"/>
      <c r="CT325" s="101"/>
      <c r="CU325" s="101"/>
      <c r="CV325" s="101"/>
      <c r="FL325" s="103"/>
      <c r="FN325" s="103"/>
      <c r="FP325" s="103"/>
      <c r="FR325" s="103"/>
    </row>
    <row r="326" spans="2:174" x14ac:dyDescent="0.35">
      <c r="B326" s="97"/>
      <c r="G326" s="100"/>
      <c r="K326" s="98"/>
      <c r="L326" s="101"/>
      <c r="M326" s="101"/>
      <c r="N326" s="101"/>
      <c r="O326" s="101"/>
      <c r="P326" s="102"/>
      <c r="Q326" s="101"/>
      <c r="R326" s="98"/>
      <c r="S326" s="98"/>
      <c r="T326" s="98"/>
      <c r="U326" s="98"/>
      <c r="V326" s="98"/>
      <c r="W326" s="98"/>
      <c r="X326" s="98"/>
      <c r="Y326" s="98"/>
      <c r="Z326" s="103"/>
      <c r="AA326" s="103"/>
      <c r="AB326" s="103"/>
      <c r="AC326" s="103"/>
      <c r="AD326" s="103"/>
      <c r="AE326" s="103"/>
      <c r="AF326" s="103"/>
      <c r="AG326" s="101"/>
      <c r="AH326" s="101"/>
      <c r="AI326" s="101"/>
      <c r="AJ326" s="101"/>
      <c r="AK326" s="101"/>
      <c r="AL326" s="101"/>
      <c r="AM326" s="101"/>
      <c r="AN326" s="103"/>
      <c r="AO326" s="103"/>
      <c r="AP326" s="103"/>
      <c r="AQ326" s="103"/>
      <c r="AR326" s="103"/>
      <c r="AS326" s="103"/>
      <c r="AT326" s="103"/>
      <c r="AU326" s="101"/>
      <c r="AV326" s="101"/>
      <c r="AW326" s="101"/>
      <c r="AX326" s="101"/>
      <c r="AY326" s="101"/>
      <c r="AZ326" s="101"/>
      <c r="BA326" s="101"/>
      <c r="BB326" s="103"/>
      <c r="BC326" s="103"/>
      <c r="BD326" s="103"/>
      <c r="BE326" s="101"/>
      <c r="BF326" s="101"/>
      <c r="BG326" s="101"/>
      <c r="BH326" s="101"/>
      <c r="BI326" s="101"/>
      <c r="BM326" s="101"/>
      <c r="BN326" s="101"/>
      <c r="BO326" s="101"/>
      <c r="BP326" s="101"/>
      <c r="BQ326" s="101"/>
      <c r="BR326" s="101"/>
      <c r="BS326" s="101"/>
      <c r="BT326" s="104"/>
      <c r="BU326" s="104"/>
      <c r="BV326" s="104"/>
      <c r="BW326" s="104"/>
      <c r="BX326" s="104"/>
      <c r="BY326" s="104"/>
      <c r="BZ326" s="104"/>
      <c r="CA326" s="104"/>
      <c r="CB326" s="104"/>
      <c r="CC326" s="104"/>
      <c r="CD326" s="104"/>
      <c r="CE326" s="104"/>
      <c r="CF326" s="104"/>
      <c r="CG326" s="104"/>
      <c r="CH326" s="104"/>
      <c r="CI326" s="104"/>
      <c r="CJ326" s="104"/>
      <c r="CK326" s="104"/>
      <c r="CL326" s="104"/>
      <c r="CM326" s="104"/>
      <c r="CN326" s="104"/>
      <c r="CO326" s="104"/>
      <c r="CP326" s="98"/>
      <c r="CR326" s="101"/>
      <c r="CS326" s="101"/>
      <c r="CT326" s="101"/>
      <c r="CU326" s="101"/>
      <c r="CV326" s="101"/>
      <c r="FL326" s="103"/>
      <c r="FN326" s="103"/>
      <c r="FP326" s="103"/>
      <c r="FR326" s="103"/>
    </row>
    <row r="327" spans="2:174" x14ac:dyDescent="0.35">
      <c r="B327" s="97"/>
      <c r="G327" s="100"/>
      <c r="K327" s="98"/>
      <c r="L327" s="101"/>
      <c r="M327" s="101"/>
      <c r="N327" s="101"/>
      <c r="O327" s="101"/>
      <c r="P327" s="102"/>
      <c r="Q327" s="101"/>
      <c r="R327" s="98"/>
      <c r="S327" s="98"/>
      <c r="T327" s="98"/>
      <c r="U327" s="98"/>
      <c r="V327" s="98"/>
      <c r="W327" s="98"/>
      <c r="X327" s="98"/>
      <c r="Y327" s="98"/>
      <c r="Z327" s="103"/>
      <c r="AA327" s="103"/>
      <c r="AB327" s="103"/>
      <c r="AC327" s="103"/>
      <c r="AD327" s="103"/>
      <c r="AE327" s="103"/>
      <c r="AF327" s="103"/>
      <c r="AG327" s="101"/>
      <c r="AH327" s="101"/>
      <c r="AI327" s="101"/>
      <c r="AJ327" s="101"/>
      <c r="AK327" s="101"/>
      <c r="AL327" s="101"/>
      <c r="AM327" s="101"/>
      <c r="AN327" s="103"/>
      <c r="AO327" s="103"/>
      <c r="AP327" s="103"/>
      <c r="AQ327" s="103"/>
      <c r="AR327" s="103"/>
      <c r="AS327" s="103"/>
      <c r="AT327" s="103"/>
      <c r="AU327" s="101"/>
      <c r="AV327" s="101"/>
      <c r="AW327" s="101"/>
      <c r="AX327" s="101"/>
      <c r="AY327" s="101"/>
      <c r="AZ327" s="101"/>
      <c r="BA327" s="101"/>
      <c r="BB327" s="103"/>
      <c r="BC327" s="103"/>
      <c r="BD327" s="103"/>
      <c r="BE327" s="101"/>
      <c r="BF327" s="101"/>
      <c r="BG327" s="101"/>
      <c r="BH327" s="101"/>
      <c r="BI327" s="101"/>
      <c r="BM327" s="101"/>
      <c r="BN327" s="101"/>
      <c r="BO327" s="101"/>
      <c r="BP327" s="101"/>
      <c r="BQ327" s="101"/>
      <c r="BR327" s="101"/>
      <c r="BS327" s="101"/>
      <c r="BT327" s="104"/>
      <c r="BU327" s="104"/>
      <c r="BV327" s="104"/>
      <c r="BW327" s="104"/>
      <c r="BX327" s="104"/>
      <c r="BY327" s="104"/>
      <c r="BZ327" s="104"/>
      <c r="CA327" s="104"/>
      <c r="CB327" s="104"/>
      <c r="CC327" s="104"/>
      <c r="CD327" s="104"/>
      <c r="CE327" s="104"/>
      <c r="CF327" s="104"/>
      <c r="CG327" s="104"/>
      <c r="CH327" s="104"/>
      <c r="CI327" s="104"/>
      <c r="CJ327" s="104"/>
      <c r="CK327" s="104"/>
      <c r="CL327" s="104"/>
      <c r="CM327" s="104"/>
      <c r="CN327" s="104"/>
      <c r="CO327" s="104"/>
      <c r="CP327" s="98"/>
      <c r="CR327" s="101"/>
      <c r="CS327" s="101"/>
      <c r="CT327" s="101"/>
      <c r="CU327" s="101"/>
      <c r="CV327" s="101"/>
      <c r="FL327" s="103"/>
      <c r="FN327" s="103"/>
      <c r="FP327" s="103"/>
      <c r="FR327" s="103"/>
    </row>
    <row r="328" spans="2:174" x14ac:dyDescent="0.35">
      <c r="B328" s="97"/>
      <c r="G328" s="100"/>
      <c r="K328" s="98"/>
      <c r="L328" s="101"/>
      <c r="M328" s="101"/>
      <c r="N328" s="101"/>
      <c r="O328" s="101"/>
      <c r="P328" s="102"/>
      <c r="Q328" s="101"/>
      <c r="R328" s="98"/>
      <c r="S328" s="98"/>
      <c r="T328" s="98"/>
      <c r="U328" s="98"/>
      <c r="V328" s="98"/>
      <c r="W328" s="98"/>
      <c r="X328" s="98"/>
      <c r="Y328" s="98"/>
      <c r="Z328" s="103"/>
      <c r="AA328" s="103"/>
      <c r="AB328" s="103"/>
      <c r="AC328" s="103"/>
      <c r="AD328" s="103"/>
      <c r="AE328" s="103"/>
      <c r="AF328" s="103"/>
      <c r="AG328" s="101"/>
      <c r="AH328" s="101"/>
      <c r="AI328" s="101"/>
      <c r="AJ328" s="101"/>
      <c r="AK328" s="101"/>
      <c r="AL328" s="101"/>
      <c r="AM328" s="101"/>
      <c r="AN328" s="103"/>
      <c r="AO328" s="103"/>
      <c r="AP328" s="103"/>
      <c r="AQ328" s="103"/>
      <c r="AR328" s="103"/>
      <c r="AS328" s="103"/>
      <c r="AT328" s="103"/>
      <c r="AU328" s="101"/>
      <c r="AV328" s="101"/>
      <c r="AW328" s="101"/>
      <c r="AX328" s="101"/>
      <c r="AY328" s="101"/>
      <c r="AZ328" s="101"/>
      <c r="BA328" s="101"/>
      <c r="BB328" s="103"/>
      <c r="BC328" s="103"/>
      <c r="BD328" s="103"/>
      <c r="BE328" s="101"/>
      <c r="BF328" s="101"/>
      <c r="BG328" s="101"/>
      <c r="BH328" s="101"/>
      <c r="BI328" s="101"/>
      <c r="BM328" s="101"/>
      <c r="BN328" s="101"/>
      <c r="BO328" s="101"/>
      <c r="BP328" s="101"/>
      <c r="BQ328" s="101"/>
      <c r="BR328" s="101"/>
      <c r="BS328" s="101"/>
      <c r="BT328" s="104"/>
      <c r="BU328" s="104"/>
      <c r="BV328" s="104"/>
      <c r="BW328" s="104"/>
      <c r="BX328" s="104"/>
      <c r="BY328" s="104"/>
      <c r="BZ328" s="104"/>
      <c r="CA328" s="104"/>
      <c r="CB328" s="104"/>
      <c r="CC328" s="104"/>
      <c r="CD328" s="104"/>
      <c r="CE328" s="104"/>
      <c r="CF328" s="104"/>
      <c r="CG328" s="104"/>
      <c r="CH328" s="104"/>
      <c r="CI328" s="104"/>
      <c r="CJ328" s="104"/>
      <c r="CK328" s="104"/>
      <c r="CL328" s="104"/>
      <c r="CM328" s="104"/>
      <c r="CN328" s="104"/>
      <c r="CO328" s="104"/>
      <c r="CP328" s="98"/>
      <c r="CR328" s="101"/>
      <c r="CS328" s="101"/>
      <c r="CT328" s="101"/>
      <c r="CU328" s="101"/>
      <c r="CV328" s="101"/>
      <c r="FL328" s="103"/>
      <c r="FN328" s="103"/>
      <c r="FP328" s="103"/>
      <c r="FR328" s="103"/>
    </row>
    <row r="329" spans="2:174" x14ac:dyDescent="0.35">
      <c r="B329" s="97"/>
      <c r="G329" s="100"/>
      <c r="K329" s="98"/>
      <c r="L329" s="101"/>
      <c r="M329" s="101"/>
      <c r="N329" s="101"/>
      <c r="O329" s="101"/>
      <c r="P329" s="102"/>
      <c r="Q329" s="101"/>
      <c r="R329" s="98"/>
      <c r="S329" s="98"/>
      <c r="T329" s="98"/>
      <c r="U329" s="98"/>
      <c r="V329" s="98"/>
      <c r="W329" s="98"/>
      <c r="X329" s="98"/>
      <c r="Y329" s="98"/>
      <c r="Z329" s="103"/>
      <c r="AA329" s="103"/>
      <c r="AB329" s="103"/>
      <c r="AC329" s="103"/>
      <c r="AD329" s="103"/>
      <c r="AE329" s="103"/>
      <c r="AF329" s="103"/>
      <c r="AG329" s="101"/>
      <c r="AH329" s="101"/>
      <c r="AI329" s="101"/>
      <c r="AJ329" s="101"/>
      <c r="AK329" s="101"/>
      <c r="AL329" s="101"/>
      <c r="AM329" s="101"/>
      <c r="AN329" s="103"/>
      <c r="AO329" s="103"/>
      <c r="AP329" s="103"/>
      <c r="AQ329" s="103"/>
      <c r="AR329" s="103"/>
      <c r="AS329" s="103"/>
      <c r="AT329" s="103"/>
      <c r="AU329" s="101"/>
      <c r="AV329" s="101"/>
      <c r="AW329" s="101"/>
      <c r="AX329" s="101"/>
      <c r="AY329" s="101"/>
      <c r="AZ329" s="101"/>
      <c r="BA329" s="101"/>
      <c r="BB329" s="103"/>
      <c r="BC329" s="103"/>
      <c r="BD329" s="103"/>
      <c r="BE329" s="101"/>
      <c r="BF329" s="101"/>
      <c r="BG329" s="101"/>
      <c r="BH329" s="101"/>
      <c r="BI329" s="101"/>
      <c r="BM329" s="101"/>
      <c r="BN329" s="101"/>
      <c r="BO329" s="101"/>
      <c r="BP329" s="101"/>
      <c r="BQ329" s="101"/>
      <c r="BR329" s="101"/>
      <c r="BS329" s="101"/>
      <c r="BT329" s="104"/>
      <c r="BU329" s="104"/>
      <c r="BV329" s="104"/>
      <c r="BW329" s="104"/>
      <c r="BX329" s="104"/>
      <c r="BY329" s="104"/>
      <c r="BZ329" s="104"/>
      <c r="CA329" s="104"/>
      <c r="CB329" s="104"/>
      <c r="CC329" s="104"/>
      <c r="CD329" s="104"/>
      <c r="CE329" s="104"/>
      <c r="CF329" s="104"/>
      <c r="CG329" s="104"/>
      <c r="CH329" s="104"/>
      <c r="CI329" s="104"/>
      <c r="CJ329" s="104"/>
      <c r="CK329" s="104"/>
      <c r="CL329" s="104"/>
      <c r="CM329" s="104"/>
      <c r="CN329" s="104"/>
      <c r="CO329" s="104"/>
      <c r="CP329" s="98"/>
      <c r="CR329" s="101"/>
      <c r="CS329" s="101"/>
      <c r="CT329" s="101"/>
      <c r="CU329" s="101"/>
      <c r="CV329" s="101"/>
      <c r="FL329" s="103"/>
      <c r="FN329" s="103"/>
      <c r="FP329" s="103"/>
      <c r="FR329" s="103"/>
    </row>
    <row r="330" spans="2:174" x14ac:dyDescent="0.35">
      <c r="B330" s="97"/>
      <c r="G330" s="100"/>
      <c r="K330" s="98"/>
      <c r="L330" s="101"/>
      <c r="M330" s="101"/>
      <c r="N330" s="101"/>
      <c r="O330" s="101"/>
      <c r="P330" s="102"/>
      <c r="Q330" s="101"/>
      <c r="R330" s="98"/>
      <c r="S330" s="98"/>
      <c r="T330" s="98"/>
      <c r="U330" s="98"/>
      <c r="V330" s="98"/>
      <c r="W330" s="98"/>
      <c r="X330" s="98"/>
      <c r="Y330" s="98"/>
      <c r="Z330" s="103"/>
      <c r="AA330" s="103"/>
      <c r="AB330" s="103"/>
      <c r="AC330" s="103"/>
      <c r="AD330" s="103"/>
      <c r="AE330" s="103"/>
      <c r="AF330" s="103"/>
      <c r="AG330" s="101"/>
      <c r="AH330" s="101"/>
      <c r="AI330" s="101"/>
      <c r="AJ330" s="101"/>
      <c r="AK330" s="101"/>
      <c r="AL330" s="101"/>
      <c r="AM330" s="101"/>
      <c r="AN330" s="103"/>
      <c r="AO330" s="103"/>
      <c r="AP330" s="103"/>
      <c r="AQ330" s="103"/>
      <c r="AR330" s="103"/>
      <c r="AS330" s="103"/>
      <c r="AT330" s="103"/>
      <c r="AU330" s="101"/>
      <c r="AV330" s="101"/>
      <c r="AW330" s="101"/>
      <c r="AX330" s="101"/>
      <c r="AY330" s="101"/>
      <c r="AZ330" s="101"/>
      <c r="BA330" s="101"/>
      <c r="BB330" s="103"/>
      <c r="BC330" s="103"/>
      <c r="BD330" s="103"/>
      <c r="BE330" s="101"/>
      <c r="BF330" s="101"/>
      <c r="BG330" s="101"/>
      <c r="BH330" s="101"/>
      <c r="BI330" s="101"/>
      <c r="BM330" s="101"/>
      <c r="BN330" s="101"/>
      <c r="BO330" s="101"/>
      <c r="BP330" s="101"/>
      <c r="BQ330" s="101"/>
      <c r="BR330" s="101"/>
      <c r="BS330" s="101"/>
      <c r="BT330" s="104"/>
      <c r="BU330" s="104"/>
      <c r="BV330" s="104"/>
      <c r="BW330" s="104"/>
      <c r="BX330" s="104"/>
      <c r="BY330" s="104"/>
      <c r="BZ330" s="104"/>
      <c r="CA330" s="104"/>
      <c r="CB330" s="104"/>
      <c r="CC330" s="104"/>
      <c r="CD330" s="104"/>
      <c r="CE330" s="104"/>
      <c r="CF330" s="104"/>
      <c r="CG330" s="104"/>
      <c r="CH330" s="104"/>
      <c r="CI330" s="104"/>
      <c r="CJ330" s="104"/>
      <c r="CK330" s="104"/>
      <c r="CL330" s="104"/>
      <c r="CM330" s="104"/>
      <c r="CN330" s="104"/>
      <c r="CO330" s="104"/>
      <c r="CP330" s="98"/>
      <c r="CR330" s="101"/>
      <c r="CS330" s="101"/>
      <c r="CT330" s="101"/>
      <c r="CU330" s="101"/>
      <c r="CV330" s="101"/>
      <c r="FL330" s="103"/>
      <c r="FN330" s="103"/>
      <c r="FP330" s="103"/>
      <c r="FR330" s="103"/>
    </row>
    <row r="331" spans="2:174" x14ac:dyDescent="0.35">
      <c r="B331" s="97"/>
      <c r="G331" s="100"/>
      <c r="K331" s="98"/>
      <c r="L331" s="101"/>
      <c r="M331" s="101"/>
      <c r="N331" s="101"/>
      <c r="O331" s="101"/>
      <c r="P331" s="102"/>
      <c r="Q331" s="101"/>
      <c r="R331" s="98"/>
      <c r="S331" s="98"/>
      <c r="T331" s="98"/>
      <c r="U331" s="98"/>
      <c r="V331" s="98"/>
      <c r="W331" s="98"/>
      <c r="X331" s="98"/>
      <c r="Y331" s="98"/>
      <c r="Z331" s="103"/>
      <c r="AA331" s="103"/>
      <c r="AB331" s="103"/>
      <c r="AC331" s="103"/>
      <c r="AD331" s="103"/>
      <c r="AE331" s="103"/>
      <c r="AF331" s="103"/>
      <c r="AG331" s="101"/>
      <c r="AH331" s="101"/>
      <c r="AI331" s="101"/>
      <c r="AJ331" s="101"/>
      <c r="AK331" s="101"/>
      <c r="AL331" s="101"/>
      <c r="AM331" s="101"/>
      <c r="AN331" s="103"/>
      <c r="AO331" s="103"/>
      <c r="AP331" s="103"/>
      <c r="AQ331" s="103"/>
      <c r="AR331" s="103"/>
      <c r="AS331" s="103"/>
      <c r="AT331" s="103"/>
      <c r="AU331" s="101"/>
      <c r="AV331" s="101"/>
      <c r="AW331" s="101"/>
      <c r="AX331" s="101"/>
      <c r="AY331" s="101"/>
      <c r="AZ331" s="101"/>
      <c r="BA331" s="101"/>
      <c r="BB331" s="103"/>
      <c r="BC331" s="103"/>
      <c r="BD331" s="103"/>
      <c r="BE331" s="101"/>
      <c r="BF331" s="101"/>
      <c r="BG331" s="101"/>
      <c r="BH331" s="101"/>
      <c r="BI331" s="101"/>
      <c r="BM331" s="101"/>
      <c r="BN331" s="101"/>
      <c r="BO331" s="101"/>
      <c r="BP331" s="101"/>
      <c r="BQ331" s="101"/>
      <c r="BR331" s="101"/>
      <c r="BS331" s="101"/>
      <c r="BT331" s="104"/>
      <c r="BU331" s="104"/>
      <c r="BV331" s="104"/>
      <c r="BW331" s="104"/>
      <c r="BX331" s="104"/>
      <c r="BY331" s="104"/>
      <c r="BZ331" s="104"/>
      <c r="CA331" s="104"/>
      <c r="CB331" s="104"/>
      <c r="CC331" s="104"/>
      <c r="CD331" s="104"/>
      <c r="CE331" s="104"/>
      <c r="CF331" s="104"/>
      <c r="CG331" s="104"/>
      <c r="CH331" s="104"/>
      <c r="CI331" s="104"/>
      <c r="CJ331" s="104"/>
      <c r="CK331" s="104"/>
      <c r="CL331" s="104"/>
      <c r="CM331" s="104"/>
      <c r="CN331" s="104"/>
      <c r="CO331" s="104"/>
      <c r="CP331" s="98"/>
      <c r="CR331" s="101"/>
      <c r="CS331" s="101"/>
      <c r="CT331" s="101"/>
      <c r="CU331" s="101"/>
      <c r="CV331" s="101"/>
      <c r="FL331" s="103"/>
      <c r="FN331" s="103"/>
      <c r="FP331" s="103"/>
      <c r="FR331" s="103"/>
    </row>
    <row r="332" spans="2:174" x14ac:dyDescent="0.35">
      <c r="B332" s="97"/>
      <c r="G332" s="100"/>
      <c r="K332" s="98"/>
      <c r="L332" s="101"/>
      <c r="M332" s="101"/>
      <c r="N332" s="101"/>
      <c r="O332" s="101"/>
      <c r="P332" s="102"/>
      <c r="Q332" s="101"/>
      <c r="R332" s="98"/>
      <c r="S332" s="98"/>
      <c r="T332" s="98"/>
      <c r="U332" s="98"/>
      <c r="V332" s="98"/>
      <c r="W332" s="98"/>
      <c r="X332" s="98"/>
      <c r="Y332" s="98"/>
      <c r="Z332" s="103"/>
      <c r="AA332" s="103"/>
      <c r="AB332" s="103"/>
      <c r="AC332" s="103"/>
      <c r="AD332" s="103"/>
      <c r="AE332" s="103"/>
      <c r="AF332" s="103"/>
      <c r="AG332" s="101"/>
      <c r="AH332" s="101"/>
      <c r="AI332" s="101"/>
      <c r="AJ332" s="101"/>
      <c r="AK332" s="101"/>
      <c r="AL332" s="101"/>
      <c r="AM332" s="101"/>
      <c r="AN332" s="103"/>
      <c r="AO332" s="103"/>
      <c r="AP332" s="103"/>
      <c r="AQ332" s="103"/>
      <c r="AR332" s="103"/>
      <c r="AS332" s="103"/>
      <c r="AT332" s="103"/>
      <c r="AU332" s="101"/>
      <c r="AV332" s="101"/>
      <c r="AW332" s="101"/>
      <c r="AX332" s="101"/>
      <c r="AY332" s="101"/>
      <c r="AZ332" s="101"/>
      <c r="BA332" s="101"/>
      <c r="BB332" s="103"/>
      <c r="BC332" s="103"/>
      <c r="BD332" s="103"/>
      <c r="BE332" s="101"/>
      <c r="BF332" s="101"/>
      <c r="BG332" s="101"/>
      <c r="BH332" s="101"/>
      <c r="BI332" s="101"/>
      <c r="BM332" s="101"/>
      <c r="BN332" s="101"/>
      <c r="BO332" s="101"/>
      <c r="BP332" s="101"/>
      <c r="BQ332" s="101"/>
      <c r="BR332" s="101"/>
      <c r="BS332" s="101"/>
      <c r="BT332" s="104"/>
      <c r="BU332" s="104"/>
      <c r="BV332" s="104"/>
      <c r="BW332" s="104"/>
      <c r="BX332" s="104"/>
      <c r="BY332" s="104"/>
      <c r="BZ332" s="104"/>
      <c r="CA332" s="104"/>
      <c r="CB332" s="104"/>
      <c r="CC332" s="104"/>
      <c r="CD332" s="104"/>
      <c r="CE332" s="104"/>
      <c r="CF332" s="104"/>
      <c r="CG332" s="104"/>
      <c r="CH332" s="104"/>
      <c r="CI332" s="104"/>
      <c r="CJ332" s="104"/>
      <c r="CK332" s="104"/>
      <c r="CL332" s="104"/>
      <c r="CM332" s="104"/>
      <c r="CN332" s="104"/>
      <c r="CO332" s="104"/>
      <c r="CP332" s="98"/>
      <c r="CR332" s="101"/>
      <c r="CS332" s="101"/>
      <c r="CT332" s="101"/>
      <c r="CU332" s="101"/>
      <c r="CV332" s="101"/>
      <c r="FL332" s="103"/>
      <c r="FN332" s="103"/>
      <c r="FP332" s="103"/>
      <c r="FR332" s="103"/>
    </row>
    <row r="333" spans="2:174" x14ac:dyDescent="0.35">
      <c r="B333" s="97"/>
      <c r="G333" s="100"/>
      <c r="K333" s="98"/>
      <c r="L333" s="101"/>
      <c r="M333" s="101"/>
      <c r="N333" s="101"/>
      <c r="O333" s="101"/>
      <c r="P333" s="102"/>
      <c r="Q333" s="101"/>
      <c r="R333" s="98"/>
      <c r="S333" s="98"/>
      <c r="T333" s="98"/>
      <c r="U333" s="98"/>
      <c r="V333" s="98"/>
      <c r="W333" s="98"/>
      <c r="X333" s="98"/>
      <c r="Y333" s="98"/>
      <c r="Z333" s="103"/>
      <c r="AA333" s="103"/>
      <c r="AB333" s="103"/>
      <c r="AC333" s="103"/>
      <c r="AD333" s="103"/>
      <c r="AE333" s="103"/>
      <c r="AF333" s="103"/>
      <c r="AG333" s="101"/>
      <c r="AH333" s="101"/>
      <c r="AI333" s="101"/>
      <c r="AJ333" s="101"/>
      <c r="AK333" s="101"/>
      <c r="AL333" s="101"/>
      <c r="AM333" s="101"/>
      <c r="AN333" s="103"/>
      <c r="AO333" s="103"/>
      <c r="AP333" s="103"/>
      <c r="AQ333" s="103"/>
      <c r="AR333" s="103"/>
      <c r="AS333" s="103"/>
      <c r="AT333" s="103"/>
      <c r="AU333" s="101"/>
      <c r="AV333" s="101"/>
      <c r="AW333" s="101"/>
      <c r="AX333" s="101"/>
      <c r="AY333" s="101"/>
      <c r="AZ333" s="101"/>
      <c r="BA333" s="101"/>
      <c r="BB333" s="103"/>
      <c r="BC333" s="103"/>
      <c r="BD333" s="103"/>
      <c r="BE333" s="101"/>
      <c r="BF333" s="101"/>
      <c r="BG333" s="101"/>
      <c r="BH333" s="101"/>
      <c r="BI333" s="101"/>
      <c r="BM333" s="101"/>
      <c r="BN333" s="101"/>
      <c r="BO333" s="101"/>
      <c r="BP333" s="101"/>
      <c r="BQ333" s="101"/>
      <c r="BR333" s="101"/>
      <c r="BS333" s="101"/>
      <c r="BT333" s="104"/>
      <c r="BU333" s="104"/>
      <c r="BV333" s="104"/>
      <c r="BW333" s="104"/>
      <c r="BX333" s="104"/>
      <c r="BY333" s="104"/>
      <c r="BZ333" s="104"/>
      <c r="CA333" s="104"/>
      <c r="CB333" s="104"/>
      <c r="CC333" s="104"/>
      <c r="CD333" s="104"/>
      <c r="CE333" s="104"/>
      <c r="CF333" s="104"/>
      <c r="CG333" s="104"/>
      <c r="CH333" s="104"/>
      <c r="CI333" s="104"/>
      <c r="CJ333" s="104"/>
      <c r="CK333" s="104"/>
      <c r="CL333" s="104"/>
      <c r="CM333" s="104"/>
      <c r="CN333" s="104"/>
      <c r="CO333" s="104"/>
      <c r="CP333" s="98"/>
      <c r="CR333" s="101"/>
      <c r="CS333" s="101"/>
      <c r="CT333" s="101"/>
      <c r="CU333" s="101"/>
      <c r="CV333" s="101"/>
      <c r="FL333" s="103"/>
      <c r="FN333" s="103"/>
      <c r="FP333" s="103"/>
      <c r="FR333" s="103"/>
    </row>
    <row r="334" spans="2:174" x14ac:dyDescent="0.35">
      <c r="B334" s="97"/>
      <c r="G334" s="100"/>
      <c r="K334" s="98"/>
      <c r="L334" s="101"/>
      <c r="M334" s="101"/>
      <c r="N334" s="101"/>
      <c r="O334" s="101"/>
      <c r="P334" s="102"/>
      <c r="Q334" s="101"/>
      <c r="R334" s="98"/>
      <c r="S334" s="98"/>
      <c r="T334" s="98"/>
      <c r="U334" s="98"/>
      <c r="V334" s="98"/>
      <c r="W334" s="98"/>
      <c r="X334" s="98"/>
      <c r="Y334" s="98"/>
      <c r="Z334" s="103"/>
      <c r="AA334" s="103"/>
      <c r="AB334" s="103"/>
      <c r="AC334" s="103"/>
      <c r="AD334" s="103"/>
      <c r="AE334" s="103"/>
      <c r="AF334" s="103"/>
      <c r="AG334" s="101"/>
      <c r="AH334" s="101"/>
      <c r="AI334" s="101"/>
      <c r="AJ334" s="101"/>
      <c r="AK334" s="101"/>
      <c r="AL334" s="101"/>
      <c r="AM334" s="101"/>
      <c r="AN334" s="103"/>
      <c r="AO334" s="103"/>
      <c r="AP334" s="103"/>
      <c r="AQ334" s="103"/>
      <c r="AR334" s="103"/>
      <c r="AS334" s="103"/>
      <c r="AT334" s="103"/>
      <c r="AU334" s="101"/>
      <c r="AV334" s="101"/>
      <c r="AW334" s="101"/>
      <c r="AX334" s="101"/>
      <c r="AY334" s="101"/>
      <c r="AZ334" s="101"/>
      <c r="BA334" s="101"/>
      <c r="BB334" s="103"/>
      <c r="BC334" s="103"/>
      <c r="BD334" s="103"/>
      <c r="BE334" s="101"/>
      <c r="BF334" s="101"/>
      <c r="BG334" s="101"/>
      <c r="BH334" s="101"/>
      <c r="BI334" s="101"/>
      <c r="BM334" s="101"/>
      <c r="BN334" s="101"/>
      <c r="BO334" s="101"/>
      <c r="BP334" s="101"/>
      <c r="BQ334" s="101"/>
      <c r="BR334" s="101"/>
      <c r="BS334" s="101"/>
      <c r="BT334" s="104"/>
      <c r="BU334" s="104"/>
      <c r="BV334" s="104"/>
      <c r="BW334" s="104"/>
      <c r="BX334" s="104"/>
      <c r="BY334" s="104"/>
      <c r="BZ334" s="104"/>
      <c r="CA334" s="104"/>
      <c r="CB334" s="104"/>
      <c r="CC334" s="104"/>
      <c r="CD334" s="104"/>
      <c r="CE334" s="104"/>
      <c r="CF334" s="104"/>
      <c r="CG334" s="104"/>
      <c r="CH334" s="104"/>
      <c r="CI334" s="104"/>
      <c r="CJ334" s="104"/>
      <c r="CK334" s="104"/>
      <c r="CL334" s="104"/>
      <c r="CM334" s="104"/>
      <c r="CN334" s="104"/>
      <c r="CO334" s="104"/>
      <c r="CP334" s="98"/>
      <c r="CR334" s="101"/>
      <c r="CS334" s="101"/>
      <c r="CT334" s="101"/>
      <c r="CU334" s="101"/>
      <c r="CV334" s="101"/>
      <c r="FL334" s="103"/>
      <c r="FN334" s="103"/>
      <c r="FP334" s="103"/>
      <c r="FR334" s="103"/>
    </row>
    <row r="335" spans="2:174" x14ac:dyDescent="0.35">
      <c r="B335" s="97"/>
      <c r="G335" s="100"/>
      <c r="K335" s="98"/>
      <c r="L335" s="101"/>
      <c r="M335" s="101"/>
      <c r="N335" s="101"/>
      <c r="O335" s="101"/>
      <c r="P335" s="102"/>
      <c r="Q335" s="101"/>
      <c r="R335" s="98"/>
      <c r="S335" s="98"/>
      <c r="T335" s="98"/>
      <c r="U335" s="98"/>
      <c r="V335" s="98"/>
      <c r="W335" s="98"/>
      <c r="X335" s="98"/>
      <c r="Y335" s="98"/>
      <c r="Z335" s="103"/>
      <c r="AA335" s="103"/>
      <c r="AB335" s="103"/>
      <c r="AC335" s="103"/>
      <c r="AD335" s="103"/>
      <c r="AE335" s="103"/>
      <c r="AF335" s="103"/>
      <c r="AG335" s="101"/>
      <c r="AH335" s="101"/>
      <c r="AI335" s="101"/>
      <c r="AJ335" s="101"/>
      <c r="AK335" s="101"/>
      <c r="AL335" s="101"/>
      <c r="AM335" s="101"/>
      <c r="AN335" s="103"/>
      <c r="AO335" s="103"/>
      <c r="AP335" s="103"/>
      <c r="AQ335" s="103"/>
      <c r="AR335" s="103"/>
      <c r="AS335" s="103"/>
      <c r="AT335" s="103"/>
      <c r="AU335" s="101"/>
      <c r="AV335" s="101"/>
      <c r="AW335" s="101"/>
      <c r="AX335" s="101"/>
      <c r="AY335" s="101"/>
      <c r="AZ335" s="101"/>
      <c r="BA335" s="101"/>
      <c r="BB335" s="103"/>
      <c r="BC335" s="103"/>
      <c r="BD335" s="103"/>
      <c r="BE335" s="101"/>
      <c r="BF335" s="101"/>
      <c r="BG335" s="101"/>
      <c r="BH335" s="101"/>
      <c r="BI335" s="101"/>
      <c r="BM335" s="101"/>
      <c r="BN335" s="101"/>
      <c r="BO335" s="101"/>
      <c r="BP335" s="101"/>
      <c r="BQ335" s="101"/>
      <c r="BR335" s="101"/>
      <c r="BS335" s="101"/>
      <c r="BT335" s="104"/>
      <c r="BU335" s="104"/>
      <c r="BV335" s="104"/>
      <c r="BW335" s="104"/>
      <c r="BX335" s="104"/>
      <c r="BY335" s="104"/>
      <c r="BZ335" s="104"/>
      <c r="CA335" s="104"/>
      <c r="CB335" s="104"/>
      <c r="CC335" s="104"/>
      <c r="CD335" s="104"/>
      <c r="CE335" s="104"/>
      <c r="CF335" s="104"/>
      <c r="CG335" s="104"/>
      <c r="CH335" s="104"/>
      <c r="CI335" s="104"/>
      <c r="CJ335" s="104"/>
      <c r="CK335" s="104"/>
      <c r="CL335" s="104"/>
      <c r="CM335" s="104"/>
      <c r="CN335" s="104"/>
      <c r="CO335" s="104"/>
      <c r="CP335" s="98"/>
      <c r="CR335" s="101"/>
      <c r="CS335" s="101"/>
      <c r="CT335" s="101"/>
      <c r="CU335" s="101"/>
      <c r="CV335" s="101"/>
      <c r="FL335" s="103"/>
      <c r="FN335" s="103"/>
      <c r="FP335" s="103"/>
      <c r="FR335" s="103"/>
    </row>
    <row r="336" spans="2:174" x14ac:dyDescent="0.35">
      <c r="B336" s="97"/>
      <c r="G336" s="100"/>
      <c r="K336" s="98"/>
      <c r="L336" s="101"/>
      <c r="M336" s="101"/>
      <c r="N336" s="101"/>
      <c r="O336" s="101"/>
      <c r="P336" s="102"/>
      <c r="Q336" s="101"/>
      <c r="R336" s="98"/>
      <c r="S336" s="98"/>
      <c r="T336" s="98"/>
      <c r="U336" s="98"/>
      <c r="V336" s="98"/>
      <c r="W336" s="98"/>
      <c r="X336" s="98"/>
      <c r="Y336" s="98"/>
      <c r="Z336" s="103"/>
      <c r="AA336" s="103"/>
      <c r="AB336" s="103"/>
      <c r="AC336" s="103"/>
      <c r="AD336" s="103"/>
      <c r="AE336" s="103"/>
      <c r="AF336" s="103"/>
      <c r="AG336" s="101"/>
      <c r="AH336" s="101"/>
      <c r="AI336" s="101"/>
      <c r="AJ336" s="101"/>
      <c r="AK336" s="101"/>
      <c r="AL336" s="101"/>
      <c r="AM336" s="101"/>
      <c r="AN336" s="103"/>
      <c r="AO336" s="103"/>
      <c r="AP336" s="103"/>
      <c r="AQ336" s="103"/>
      <c r="AR336" s="103"/>
      <c r="AS336" s="103"/>
      <c r="AT336" s="103"/>
      <c r="AU336" s="101"/>
      <c r="AV336" s="101"/>
      <c r="AW336" s="101"/>
      <c r="AX336" s="101"/>
      <c r="AY336" s="101"/>
      <c r="AZ336" s="101"/>
      <c r="BA336" s="101"/>
      <c r="BB336" s="103"/>
      <c r="BC336" s="103"/>
      <c r="BD336" s="103"/>
      <c r="BE336" s="101"/>
      <c r="BF336" s="101"/>
      <c r="BG336" s="101"/>
      <c r="BH336" s="101"/>
      <c r="BI336" s="101"/>
      <c r="BM336" s="101"/>
      <c r="BN336" s="101"/>
      <c r="BO336" s="101"/>
      <c r="BP336" s="101"/>
      <c r="BQ336" s="101"/>
      <c r="BR336" s="101"/>
      <c r="BS336" s="101"/>
      <c r="BT336" s="104"/>
      <c r="BU336" s="104"/>
      <c r="BV336" s="104"/>
      <c r="BW336" s="104"/>
      <c r="BX336" s="104"/>
      <c r="BY336" s="104"/>
      <c r="BZ336" s="104"/>
      <c r="CA336" s="104"/>
      <c r="CB336" s="104"/>
      <c r="CC336" s="104"/>
      <c r="CD336" s="104"/>
      <c r="CE336" s="104"/>
      <c r="CF336" s="104"/>
      <c r="CG336" s="104"/>
      <c r="CH336" s="104"/>
      <c r="CI336" s="104"/>
      <c r="CJ336" s="104"/>
      <c r="CK336" s="104"/>
      <c r="CL336" s="104"/>
      <c r="CM336" s="104"/>
      <c r="CN336" s="104"/>
      <c r="CO336" s="104"/>
      <c r="CP336" s="98"/>
      <c r="CR336" s="101"/>
      <c r="CS336" s="101"/>
      <c r="CT336" s="101"/>
      <c r="CU336" s="101"/>
      <c r="CV336" s="101"/>
      <c r="FL336" s="103"/>
      <c r="FN336" s="103"/>
      <c r="FP336" s="103"/>
      <c r="FR336" s="103"/>
    </row>
    <row r="337" spans="2:174" x14ac:dyDescent="0.35">
      <c r="B337" s="97"/>
      <c r="G337" s="100"/>
      <c r="K337" s="98"/>
      <c r="L337" s="101"/>
      <c r="M337" s="101"/>
      <c r="N337" s="101"/>
      <c r="O337" s="101"/>
      <c r="P337" s="102"/>
      <c r="Q337" s="101"/>
      <c r="R337" s="98"/>
      <c r="S337" s="98"/>
      <c r="T337" s="98"/>
      <c r="U337" s="98"/>
      <c r="V337" s="98"/>
      <c r="W337" s="98"/>
      <c r="X337" s="98"/>
      <c r="Y337" s="98"/>
      <c r="Z337" s="103"/>
      <c r="AA337" s="103"/>
      <c r="AB337" s="103"/>
      <c r="AC337" s="103"/>
      <c r="AD337" s="103"/>
      <c r="AE337" s="103"/>
      <c r="AF337" s="103"/>
      <c r="AG337" s="101"/>
      <c r="AH337" s="101"/>
      <c r="AI337" s="101"/>
      <c r="AJ337" s="101"/>
      <c r="AK337" s="101"/>
      <c r="AL337" s="101"/>
      <c r="AM337" s="101"/>
      <c r="AN337" s="103"/>
      <c r="AO337" s="103"/>
      <c r="AP337" s="103"/>
      <c r="AQ337" s="103"/>
      <c r="AR337" s="103"/>
      <c r="AS337" s="103"/>
      <c r="AT337" s="103"/>
      <c r="AU337" s="101"/>
      <c r="AV337" s="101"/>
      <c r="AW337" s="101"/>
      <c r="AX337" s="101"/>
      <c r="AY337" s="101"/>
      <c r="AZ337" s="101"/>
      <c r="BA337" s="101"/>
      <c r="BB337" s="103"/>
      <c r="BC337" s="103"/>
      <c r="BD337" s="103"/>
      <c r="BE337" s="101"/>
      <c r="BF337" s="101"/>
      <c r="BG337" s="101"/>
      <c r="BH337" s="101"/>
      <c r="BI337" s="101"/>
      <c r="BM337" s="101"/>
      <c r="BN337" s="101"/>
      <c r="BO337" s="101"/>
      <c r="BP337" s="101"/>
      <c r="BQ337" s="101"/>
      <c r="BR337" s="101"/>
      <c r="BS337" s="101"/>
      <c r="BT337" s="104"/>
      <c r="BU337" s="104"/>
      <c r="BV337" s="104"/>
      <c r="BW337" s="104"/>
      <c r="BX337" s="104"/>
      <c r="BY337" s="104"/>
      <c r="BZ337" s="104"/>
      <c r="CA337" s="104"/>
      <c r="CB337" s="104"/>
      <c r="CC337" s="104"/>
      <c r="CD337" s="104"/>
      <c r="CE337" s="104"/>
      <c r="CF337" s="104"/>
      <c r="CG337" s="104"/>
      <c r="CH337" s="104"/>
      <c r="CI337" s="104"/>
      <c r="CJ337" s="104"/>
      <c r="CK337" s="104"/>
      <c r="CL337" s="104"/>
      <c r="CM337" s="104"/>
      <c r="CN337" s="104"/>
      <c r="CO337" s="104"/>
      <c r="CP337" s="98"/>
      <c r="CR337" s="101"/>
      <c r="CS337" s="101"/>
      <c r="CT337" s="101"/>
      <c r="CU337" s="101"/>
      <c r="CV337" s="101"/>
      <c r="FL337" s="103"/>
      <c r="FN337" s="103"/>
      <c r="FP337" s="103"/>
      <c r="FR337" s="103"/>
    </row>
    <row r="338" spans="2:174" x14ac:dyDescent="0.35">
      <c r="B338" s="97"/>
      <c r="G338" s="100"/>
      <c r="K338" s="98"/>
      <c r="L338" s="101"/>
      <c r="M338" s="101"/>
      <c r="N338" s="101"/>
      <c r="O338" s="101"/>
      <c r="P338" s="102"/>
      <c r="Q338" s="101"/>
      <c r="R338" s="98"/>
      <c r="S338" s="98"/>
      <c r="T338" s="98"/>
      <c r="U338" s="98"/>
      <c r="V338" s="98"/>
      <c r="W338" s="98"/>
      <c r="X338" s="98"/>
      <c r="Y338" s="98"/>
      <c r="Z338" s="103"/>
      <c r="AA338" s="103"/>
      <c r="AB338" s="103"/>
      <c r="AC338" s="103"/>
      <c r="AD338" s="103"/>
      <c r="AE338" s="103"/>
      <c r="AF338" s="103"/>
      <c r="AG338" s="101"/>
      <c r="AH338" s="101"/>
      <c r="AI338" s="101"/>
      <c r="AJ338" s="101"/>
      <c r="AK338" s="101"/>
      <c r="AL338" s="101"/>
      <c r="AM338" s="101"/>
      <c r="AN338" s="103"/>
      <c r="AO338" s="103"/>
      <c r="AP338" s="103"/>
      <c r="AQ338" s="103"/>
      <c r="AR338" s="103"/>
      <c r="AS338" s="103"/>
      <c r="AT338" s="103"/>
      <c r="AU338" s="101"/>
      <c r="AV338" s="101"/>
      <c r="AW338" s="101"/>
      <c r="AX338" s="101"/>
      <c r="AY338" s="101"/>
      <c r="AZ338" s="101"/>
      <c r="BA338" s="101"/>
      <c r="BB338" s="103"/>
      <c r="BC338" s="103"/>
      <c r="BD338" s="103"/>
      <c r="BE338" s="101"/>
      <c r="BF338" s="101"/>
      <c r="BG338" s="101"/>
      <c r="BH338" s="101"/>
      <c r="BI338" s="101"/>
      <c r="BM338" s="101"/>
      <c r="BN338" s="101"/>
      <c r="BO338" s="101"/>
      <c r="BP338" s="101"/>
      <c r="BQ338" s="101"/>
      <c r="BR338" s="101"/>
      <c r="BS338" s="101"/>
      <c r="BT338" s="104"/>
      <c r="BU338" s="104"/>
      <c r="BV338" s="104"/>
      <c r="BW338" s="104"/>
      <c r="BX338" s="104"/>
      <c r="BY338" s="104"/>
      <c r="BZ338" s="104"/>
      <c r="CA338" s="104"/>
      <c r="CB338" s="104"/>
      <c r="CC338" s="104"/>
      <c r="CD338" s="104"/>
      <c r="CE338" s="104"/>
      <c r="CF338" s="104"/>
      <c r="CG338" s="104"/>
      <c r="CH338" s="104"/>
      <c r="CI338" s="104"/>
      <c r="CJ338" s="104"/>
      <c r="CK338" s="104"/>
      <c r="CL338" s="104"/>
      <c r="CM338" s="104"/>
      <c r="CN338" s="104"/>
      <c r="CO338" s="104"/>
      <c r="CP338" s="98"/>
      <c r="CR338" s="101"/>
      <c r="CS338" s="101"/>
      <c r="CT338" s="101"/>
      <c r="CU338" s="101"/>
      <c r="CV338" s="101"/>
      <c r="FL338" s="103"/>
      <c r="FN338" s="103"/>
      <c r="FP338" s="103"/>
      <c r="FR338" s="103"/>
    </row>
    <row r="339" spans="2:174" x14ac:dyDescent="0.35">
      <c r="B339" s="97"/>
      <c r="G339" s="100"/>
      <c r="K339" s="98"/>
      <c r="L339" s="101"/>
      <c r="M339" s="101"/>
      <c r="N339" s="101"/>
      <c r="O339" s="101"/>
      <c r="P339" s="102"/>
      <c r="Q339" s="101"/>
      <c r="R339" s="98"/>
      <c r="S339" s="98"/>
      <c r="T339" s="98"/>
      <c r="U339" s="98"/>
      <c r="V339" s="98"/>
      <c r="W339" s="98"/>
      <c r="X339" s="98"/>
      <c r="Y339" s="98"/>
      <c r="Z339" s="103"/>
      <c r="AA339" s="103"/>
      <c r="AB339" s="103"/>
      <c r="AC339" s="103"/>
      <c r="AD339" s="103"/>
      <c r="AE339" s="103"/>
      <c r="AF339" s="103"/>
      <c r="AG339" s="101"/>
      <c r="AH339" s="101"/>
      <c r="AI339" s="101"/>
      <c r="AJ339" s="101"/>
      <c r="AK339" s="101"/>
      <c r="AL339" s="101"/>
      <c r="AM339" s="101"/>
      <c r="AN339" s="103"/>
      <c r="AO339" s="103"/>
      <c r="AP339" s="103"/>
      <c r="AQ339" s="103"/>
      <c r="AR339" s="103"/>
      <c r="AS339" s="103"/>
      <c r="AT339" s="103"/>
      <c r="AU339" s="101"/>
      <c r="AV339" s="101"/>
      <c r="AW339" s="101"/>
      <c r="AX339" s="101"/>
      <c r="AY339" s="101"/>
      <c r="AZ339" s="101"/>
      <c r="BA339" s="101"/>
      <c r="BB339" s="103"/>
      <c r="BC339" s="103"/>
      <c r="BD339" s="103"/>
      <c r="BE339" s="101"/>
      <c r="BF339" s="101"/>
      <c r="BG339" s="101"/>
      <c r="BH339" s="101"/>
      <c r="BI339" s="101"/>
      <c r="BM339" s="101"/>
      <c r="BN339" s="101"/>
      <c r="BO339" s="101"/>
      <c r="BP339" s="101"/>
      <c r="BQ339" s="101"/>
      <c r="BR339" s="101"/>
      <c r="BS339" s="101"/>
      <c r="BT339" s="104"/>
      <c r="BU339" s="104"/>
      <c r="BV339" s="104"/>
      <c r="BW339" s="104"/>
      <c r="BX339" s="104"/>
      <c r="BY339" s="104"/>
      <c r="BZ339" s="104"/>
      <c r="CA339" s="104"/>
      <c r="CB339" s="104"/>
      <c r="CC339" s="104"/>
      <c r="CD339" s="104"/>
      <c r="CE339" s="104"/>
      <c r="CF339" s="104"/>
      <c r="CG339" s="104"/>
      <c r="CH339" s="104"/>
      <c r="CI339" s="104"/>
      <c r="CJ339" s="104"/>
      <c r="CK339" s="104"/>
      <c r="CL339" s="104"/>
      <c r="CM339" s="104"/>
      <c r="CN339" s="104"/>
      <c r="CO339" s="104"/>
      <c r="CP339" s="98"/>
      <c r="CR339" s="101"/>
      <c r="CS339" s="101"/>
      <c r="CT339" s="101"/>
      <c r="CU339" s="101"/>
      <c r="CV339" s="101"/>
      <c r="FL339" s="103"/>
      <c r="FN339" s="103"/>
      <c r="FP339" s="103"/>
      <c r="FR339" s="103"/>
    </row>
    <row r="340" spans="2:174" x14ac:dyDescent="0.35">
      <c r="B340" s="97"/>
      <c r="G340" s="100"/>
      <c r="K340" s="98"/>
      <c r="L340" s="101"/>
      <c r="M340" s="101"/>
      <c r="N340" s="101"/>
      <c r="O340" s="101"/>
      <c r="P340" s="102"/>
      <c r="Q340" s="101"/>
      <c r="R340" s="98"/>
      <c r="S340" s="98"/>
      <c r="T340" s="98"/>
      <c r="U340" s="98"/>
      <c r="V340" s="98"/>
      <c r="W340" s="98"/>
      <c r="X340" s="98"/>
      <c r="Y340" s="98"/>
      <c r="Z340" s="103"/>
      <c r="AA340" s="103"/>
      <c r="AB340" s="103"/>
      <c r="AC340" s="103"/>
      <c r="AD340" s="103"/>
      <c r="AE340" s="103"/>
      <c r="AF340" s="103"/>
      <c r="AG340" s="101"/>
      <c r="AH340" s="101"/>
      <c r="AI340" s="101"/>
      <c r="AJ340" s="101"/>
      <c r="AK340" s="101"/>
      <c r="AL340" s="101"/>
      <c r="AM340" s="101"/>
      <c r="AN340" s="103"/>
      <c r="AO340" s="103"/>
      <c r="AP340" s="103"/>
      <c r="AQ340" s="103"/>
      <c r="AR340" s="103"/>
      <c r="AS340" s="103"/>
      <c r="AT340" s="103"/>
      <c r="AU340" s="101"/>
      <c r="AV340" s="101"/>
      <c r="AW340" s="101"/>
      <c r="AX340" s="101"/>
      <c r="AY340" s="101"/>
      <c r="AZ340" s="101"/>
      <c r="BA340" s="101"/>
      <c r="BB340" s="103"/>
      <c r="BC340" s="103"/>
      <c r="BD340" s="103"/>
      <c r="BE340" s="101"/>
      <c r="BF340" s="101"/>
      <c r="BG340" s="101"/>
      <c r="BH340" s="101"/>
      <c r="BI340" s="101"/>
      <c r="BM340" s="101"/>
      <c r="BN340" s="101"/>
      <c r="BO340" s="101"/>
      <c r="BP340" s="101"/>
      <c r="BQ340" s="101"/>
      <c r="BR340" s="101"/>
      <c r="BS340" s="101"/>
      <c r="BT340" s="104"/>
      <c r="BU340" s="104"/>
      <c r="BV340" s="104"/>
      <c r="BW340" s="104"/>
      <c r="BX340" s="104"/>
      <c r="BY340" s="104"/>
      <c r="BZ340" s="104"/>
      <c r="CA340" s="104"/>
      <c r="CB340" s="104"/>
      <c r="CC340" s="104"/>
      <c r="CD340" s="104"/>
      <c r="CE340" s="104"/>
      <c r="CF340" s="104"/>
      <c r="CG340" s="104"/>
      <c r="CH340" s="104"/>
      <c r="CI340" s="104"/>
      <c r="CJ340" s="104"/>
      <c r="CK340" s="104"/>
      <c r="CL340" s="104"/>
      <c r="CM340" s="104"/>
      <c r="CN340" s="104"/>
      <c r="CO340" s="104"/>
      <c r="CP340" s="98"/>
      <c r="CR340" s="101"/>
      <c r="CS340" s="101"/>
      <c r="CT340" s="101"/>
      <c r="CU340" s="101"/>
      <c r="CV340" s="101"/>
      <c r="FL340" s="103"/>
      <c r="FN340" s="103"/>
      <c r="FP340" s="103"/>
      <c r="FR340" s="103"/>
    </row>
    <row r="341" spans="2:174" x14ac:dyDescent="0.35">
      <c r="B341" s="97"/>
      <c r="G341" s="100"/>
      <c r="K341" s="98"/>
      <c r="L341" s="101"/>
      <c r="M341" s="101"/>
      <c r="N341" s="101"/>
      <c r="O341" s="101"/>
      <c r="P341" s="102"/>
      <c r="Q341" s="101"/>
      <c r="R341" s="98"/>
      <c r="S341" s="98"/>
      <c r="T341" s="98"/>
      <c r="U341" s="98"/>
      <c r="V341" s="98"/>
      <c r="W341" s="98"/>
      <c r="X341" s="98"/>
      <c r="Y341" s="98"/>
      <c r="Z341" s="103"/>
      <c r="AA341" s="103"/>
      <c r="AB341" s="103"/>
      <c r="AC341" s="103"/>
      <c r="AD341" s="103"/>
      <c r="AE341" s="103"/>
      <c r="AF341" s="103"/>
      <c r="AG341" s="101"/>
      <c r="AH341" s="101"/>
      <c r="AI341" s="101"/>
      <c r="AJ341" s="101"/>
      <c r="AK341" s="101"/>
      <c r="AL341" s="101"/>
      <c r="AM341" s="101"/>
      <c r="AN341" s="103"/>
      <c r="AO341" s="103"/>
      <c r="AP341" s="103"/>
      <c r="AQ341" s="103"/>
      <c r="AR341" s="103"/>
      <c r="AS341" s="103"/>
      <c r="AT341" s="103"/>
      <c r="AU341" s="101"/>
      <c r="AV341" s="101"/>
      <c r="AW341" s="101"/>
      <c r="AX341" s="101"/>
      <c r="AY341" s="101"/>
      <c r="AZ341" s="101"/>
      <c r="BA341" s="101"/>
      <c r="BB341" s="103"/>
      <c r="BC341" s="103"/>
      <c r="BD341" s="103"/>
      <c r="BE341" s="101"/>
      <c r="BF341" s="101"/>
      <c r="BG341" s="101"/>
      <c r="BH341" s="101"/>
      <c r="BI341" s="101"/>
      <c r="BM341" s="101"/>
      <c r="BN341" s="101"/>
      <c r="BO341" s="101"/>
      <c r="BP341" s="101"/>
      <c r="BQ341" s="101"/>
      <c r="BR341" s="101"/>
      <c r="BS341" s="101"/>
      <c r="BT341" s="104"/>
      <c r="BU341" s="104"/>
      <c r="BV341" s="104"/>
      <c r="BW341" s="104"/>
      <c r="BX341" s="104"/>
      <c r="BY341" s="104"/>
      <c r="BZ341" s="104"/>
      <c r="CA341" s="104"/>
      <c r="CB341" s="104"/>
      <c r="CC341" s="104"/>
      <c r="CD341" s="104"/>
      <c r="CE341" s="104"/>
      <c r="CF341" s="104"/>
      <c r="CG341" s="104"/>
      <c r="CH341" s="104"/>
      <c r="CI341" s="104"/>
      <c r="CJ341" s="104"/>
      <c r="CK341" s="104"/>
      <c r="CL341" s="104"/>
      <c r="CM341" s="104"/>
      <c r="CN341" s="104"/>
      <c r="CO341" s="104"/>
      <c r="CP341" s="98"/>
      <c r="CR341" s="101"/>
      <c r="CS341" s="101"/>
      <c r="CT341" s="101"/>
      <c r="CU341" s="101"/>
      <c r="CV341" s="101"/>
      <c r="FL341" s="103"/>
      <c r="FN341" s="103"/>
      <c r="FP341" s="103"/>
      <c r="FR341" s="103"/>
    </row>
    <row r="342" spans="2:174" x14ac:dyDescent="0.35">
      <c r="B342" s="97"/>
      <c r="G342" s="100"/>
      <c r="K342" s="98"/>
      <c r="L342" s="101"/>
      <c r="M342" s="101"/>
      <c r="N342" s="101"/>
      <c r="O342" s="101"/>
      <c r="P342" s="102"/>
      <c r="Q342" s="101"/>
      <c r="R342" s="98"/>
      <c r="S342" s="98"/>
      <c r="T342" s="98"/>
      <c r="U342" s="98"/>
      <c r="V342" s="98"/>
      <c r="W342" s="98"/>
      <c r="X342" s="98"/>
      <c r="Y342" s="98"/>
      <c r="Z342" s="103"/>
      <c r="AA342" s="103"/>
      <c r="AB342" s="103"/>
      <c r="AC342" s="103"/>
      <c r="AD342" s="103"/>
      <c r="AE342" s="103"/>
      <c r="AF342" s="103"/>
      <c r="AG342" s="101"/>
      <c r="AH342" s="101"/>
      <c r="AI342" s="101"/>
      <c r="AJ342" s="101"/>
      <c r="AK342" s="101"/>
      <c r="AL342" s="101"/>
      <c r="AM342" s="101"/>
      <c r="AN342" s="103"/>
      <c r="AO342" s="103"/>
      <c r="AP342" s="103"/>
      <c r="AQ342" s="103"/>
      <c r="AR342" s="103"/>
      <c r="AS342" s="103"/>
      <c r="AT342" s="103"/>
      <c r="AU342" s="101"/>
      <c r="AV342" s="101"/>
      <c r="AW342" s="101"/>
      <c r="AX342" s="101"/>
      <c r="AY342" s="101"/>
      <c r="AZ342" s="101"/>
      <c r="BA342" s="101"/>
      <c r="BB342" s="103"/>
      <c r="BC342" s="103"/>
      <c r="BD342" s="103"/>
      <c r="BE342" s="101"/>
      <c r="BF342" s="101"/>
      <c r="BG342" s="101"/>
      <c r="BH342" s="101"/>
      <c r="BI342" s="101"/>
      <c r="BM342" s="101"/>
      <c r="BN342" s="101"/>
      <c r="BO342" s="101"/>
      <c r="BP342" s="101"/>
      <c r="BQ342" s="101"/>
      <c r="BR342" s="101"/>
      <c r="BS342" s="101"/>
      <c r="BT342" s="104"/>
      <c r="BU342" s="104"/>
      <c r="BV342" s="104"/>
      <c r="BW342" s="104"/>
      <c r="BX342" s="104"/>
      <c r="BY342" s="104"/>
      <c r="BZ342" s="104"/>
      <c r="CA342" s="104"/>
      <c r="CB342" s="104"/>
      <c r="CC342" s="104"/>
      <c r="CD342" s="104"/>
      <c r="CE342" s="104"/>
      <c r="CF342" s="104"/>
      <c r="CG342" s="104"/>
      <c r="CH342" s="104"/>
      <c r="CI342" s="104"/>
      <c r="CJ342" s="104"/>
      <c r="CK342" s="104"/>
      <c r="CL342" s="104"/>
      <c r="CM342" s="104"/>
      <c r="CN342" s="104"/>
      <c r="CO342" s="104"/>
      <c r="CP342" s="98"/>
      <c r="CR342" s="101"/>
      <c r="CS342" s="101"/>
      <c r="CT342" s="101"/>
      <c r="CU342" s="101"/>
      <c r="CV342" s="101"/>
      <c r="FL342" s="103"/>
      <c r="FN342" s="103"/>
      <c r="FP342" s="103"/>
      <c r="FR342" s="103"/>
    </row>
    <row r="343" spans="2:174" x14ac:dyDescent="0.35">
      <c r="B343" s="97"/>
      <c r="G343" s="100"/>
      <c r="K343" s="98"/>
      <c r="L343" s="101"/>
      <c r="M343" s="101"/>
      <c r="N343" s="101"/>
      <c r="O343" s="101"/>
      <c r="P343" s="102"/>
      <c r="Q343" s="101"/>
      <c r="R343" s="98"/>
      <c r="S343" s="98"/>
      <c r="T343" s="98"/>
      <c r="U343" s="98"/>
      <c r="V343" s="98"/>
      <c r="W343" s="98"/>
      <c r="X343" s="98"/>
      <c r="Y343" s="98"/>
      <c r="Z343" s="103"/>
      <c r="AA343" s="103"/>
      <c r="AB343" s="103"/>
      <c r="AC343" s="103"/>
      <c r="AD343" s="103"/>
      <c r="AE343" s="103"/>
      <c r="AF343" s="103"/>
      <c r="AG343" s="101"/>
      <c r="AH343" s="101"/>
      <c r="AI343" s="101"/>
      <c r="AJ343" s="101"/>
      <c r="AK343" s="101"/>
      <c r="AL343" s="101"/>
      <c r="AM343" s="101"/>
      <c r="AN343" s="103"/>
      <c r="AO343" s="103"/>
      <c r="AP343" s="103"/>
      <c r="AQ343" s="103"/>
      <c r="AR343" s="103"/>
      <c r="AS343" s="103"/>
      <c r="AT343" s="103"/>
      <c r="AU343" s="101"/>
      <c r="AV343" s="101"/>
      <c r="AW343" s="101"/>
      <c r="AX343" s="101"/>
      <c r="AY343" s="101"/>
      <c r="AZ343" s="101"/>
      <c r="BA343" s="101"/>
      <c r="BB343" s="103"/>
      <c r="BC343" s="103"/>
      <c r="BD343" s="103"/>
      <c r="BE343" s="101"/>
      <c r="BF343" s="101"/>
      <c r="BG343" s="101"/>
      <c r="BH343" s="101"/>
      <c r="BI343" s="101"/>
      <c r="BM343" s="101"/>
      <c r="BN343" s="101"/>
      <c r="BO343" s="101"/>
      <c r="BP343" s="101"/>
      <c r="BQ343" s="101"/>
      <c r="BR343" s="101"/>
      <c r="BS343" s="101"/>
      <c r="BT343" s="104"/>
      <c r="BU343" s="104"/>
      <c r="BV343" s="104"/>
      <c r="BW343" s="104"/>
      <c r="BX343" s="104"/>
      <c r="BY343" s="104"/>
      <c r="BZ343" s="104"/>
      <c r="CA343" s="104"/>
      <c r="CB343" s="104"/>
      <c r="CC343" s="104"/>
      <c r="CD343" s="104"/>
      <c r="CE343" s="104"/>
      <c r="CF343" s="104"/>
      <c r="CG343" s="104"/>
      <c r="CH343" s="104"/>
      <c r="CI343" s="104"/>
      <c r="CJ343" s="104"/>
      <c r="CK343" s="104"/>
      <c r="CL343" s="104"/>
      <c r="CM343" s="104"/>
      <c r="CN343" s="104"/>
      <c r="CO343" s="104"/>
      <c r="CP343" s="98"/>
      <c r="CR343" s="101"/>
      <c r="CS343" s="101"/>
      <c r="CT343" s="101"/>
      <c r="CU343" s="101"/>
      <c r="CV343" s="101"/>
      <c r="FL343" s="103"/>
      <c r="FN343" s="103"/>
      <c r="FP343" s="103"/>
      <c r="FR343" s="103"/>
    </row>
    <row r="344" spans="2:174" x14ac:dyDescent="0.35">
      <c r="B344" s="97"/>
      <c r="G344" s="100"/>
      <c r="K344" s="98"/>
      <c r="L344" s="101"/>
      <c r="M344" s="101"/>
      <c r="N344" s="101"/>
      <c r="O344" s="101"/>
      <c r="P344" s="102"/>
      <c r="Q344" s="101"/>
      <c r="R344" s="98"/>
      <c r="S344" s="98"/>
      <c r="T344" s="98"/>
      <c r="U344" s="98"/>
      <c r="V344" s="98"/>
      <c r="W344" s="98"/>
      <c r="X344" s="98"/>
      <c r="Y344" s="98"/>
      <c r="Z344" s="103"/>
      <c r="AA344" s="103"/>
      <c r="AB344" s="103"/>
      <c r="AC344" s="103"/>
      <c r="AD344" s="103"/>
      <c r="AE344" s="103"/>
      <c r="AF344" s="103"/>
      <c r="AG344" s="101"/>
      <c r="AH344" s="101"/>
      <c r="AI344" s="101"/>
      <c r="AJ344" s="101"/>
      <c r="AK344" s="101"/>
      <c r="AL344" s="101"/>
      <c r="AM344" s="101"/>
      <c r="AN344" s="103"/>
      <c r="AO344" s="103"/>
      <c r="AP344" s="103"/>
      <c r="AQ344" s="103"/>
      <c r="AR344" s="103"/>
      <c r="AS344" s="103"/>
      <c r="AT344" s="103"/>
      <c r="AU344" s="101"/>
      <c r="AV344" s="101"/>
      <c r="AW344" s="101"/>
      <c r="AX344" s="101"/>
      <c r="AY344" s="101"/>
      <c r="AZ344" s="101"/>
      <c r="BA344" s="101"/>
      <c r="BB344" s="103"/>
      <c r="BC344" s="103"/>
      <c r="BD344" s="103"/>
      <c r="BE344" s="101"/>
      <c r="BF344" s="101"/>
      <c r="BG344" s="101"/>
      <c r="BH344" s="101"/>
      <c r="BI344" s="101"/>
      <c r="BM344" s="101"/>
      <c r="BN344" s="101"/>
      <c r="BO344" s="101"/>
      <c r="BP344" s="101"/>
      <c r="BQ344" s="101"/>
      <c r="BR344" s="101"/>
      <c r="BS344" s="101"/>
      <c r="BT344" s="104"/>
      <c r="BU344" s="104"/>
      <c r="BV344" s="104"/>
      <c r="BW344" s="104"/>
      <c r="BX344" s="104"/>
      <c r="BY344" s="104"/>
      <c r="BZ344" s="104"/>
      <c r="CA344" s="104"/>
      <c r="CB344" s="104"/>
      <c r="CC344" s="104"/>
      <c r="CD344" s="104"/>
      <c r="CE344" s="104"/>
      <c r="CF344" s="104"/>
      <c r="CG344" s="104"/>
      <c r="CH344" s="104"/>
      <c r="CI344" s="104"/>
      <c r="CJ344" s="104"/>
      <c r="CK344" s="104"/>
      <c r="CL344" s="104"/>
      <c r="CM344" s="104"/>
      <c r="CN344" s="104"/>
      <c r="CO344" s="104"/>
      <c r="CP344" s="98"/>
      <c r="CR344" s="101"/>
      <c r="CS344" s="101"/>
      <c r="CT344" s="101"/>
      <c r="CU344" s="101"/>
      <c r="CV344" s="101"/>
      <c r="FL344" s="103"/>
      <c r="FN344" s="103"/>
      <c r="FP344" s="103"/>
      <c r="FR344" s="103"/>
    </row>
    <row r="345" spans="2:174" x14ac:dyDescent="0.35">
      <c r="B345" s="97"/>
      <c r="G345" s="100"/>
      <c r="K345" s="98"/>
      <c r="L345" s="101"/>
      <c r="M345" s="101"/>
      <c r="N345" s="101"/>
      <c r="O345" s="101"/>
      <c r="P345" s="102"/>
      <c r="Q345" s="101"/>
      <c r="R345" s="98"/>
      <c r="S345" s="98"/>
      <c r="T345" s="98"/>
      <c r="U345" s="98"/>
      <c r="V345" s="98"/>
      <c r="W345" s="98"/>
      <c r="X345" s="98"/>
      <c r="Y345" s="98"/>
      <c r="Z345" s="103"/>
      <c r="AA345" s="103"/>
      <c r="AB345" s="103"/>
      <c r="AC345" s="103"/>
      <c r="AD345" s="103"/>
      <c r="AE345" s="103"/>
      <c r="AF345" s="103"/>
      <c r="AG345" s="101"/>
      <c r="AH345" s="101"/>
      <c r="AI345" s="101"/>
      <c r="AJ345" s="101"/>
      <c r="AK345" s="101"/>
      <c r="AL345" s="101"/>
      <c r="AM345" s="101"/>
      <c r="AN345" s="103"/>
      <c r="AO345" s="103"/>
      <c r="AP345" s="103"/>
      <c r="AQ345" s="103"/>
      <c r="AR345" s="103"/>
      <c r="AS345" s="103"/>
      <c r="AT345" s="103"/>
      <c r="AU345" s="101"/>
      <c r="AV345" s="101"/>
      <c r="AW345" s="101"/>
      <c r="AX345" s="101"/>
      <c r="AY345" s="101"/>
      <c r="AZ345" s="101"/>
      <c r="BA345" s="101"/>
      <c r="BB345" s="103"/>
      <c r="BC345" s="103"/>
      <c r="BD345" s="103"/>
      <c r="BE345" s="101"/>
      <c r="BF345" s="101"/>
      <c r="BG345" s="101"/>
      <c r="BH345" s="101"/>
      <c r="BI345" s="101"/>
      <c r="BM345" s="101"/>
      <c r="BN345" s="101"/>
      <c r="BO345" s="101"/>
      <c r="BP345" s="101"/>
      <c r="BQ345" s="101"/>
      <c r="BR345" s="101"/>
      <c r="BS345" s="101"/>
      <c r="BT345" s="104"/>
      <c r="BU345" s="104"/>
      <c r="BV345" s="104"/>
      <c r="BW345" s="104"/>
      <c r="BX345" s="104"/>
      <c r="BY345" s="104"/>
      <c r="BZ345" s="104"/>
      <c r="CA345" s="104"/>
      <c r="CB345" s="104"/>
      <c r="CC345" s="104"/>
      <c r="CD345" s="104"/>
      <c r="CE345" s="104"/>
      <c r="CF345" s="104"/>
      <c r="CG345" s="104"/>
      <c r="CH345" s="104"/>
      <c r="CI345" s="104"/>
      <c r="CJ345" s="104"/>
      <c r="CK345" s="104"/>
      <c r="CL345" s="104"/>
      <c r="CM345" s="104"/>
      <c r="CN345" s="104"/>
      <c r="CO345" s="104"/>
      <c r="CP345" s="98"/>
      <c r="CR345" s="101"/>
      <c r="CS345" s="101"/>
      <c r="CT345" s="101"/>
      <c r="CU345" s="101"/>
      <c r="CV345" s="101"/>
      <c r="FL345" s="103"/>
      <c r="FN345" s="103"/>
      <c r="FP345" s="103"/>
      <c r="FR345" s="103"/>
    </row>
    <row r="346" spans="2:174" x14ac:dyDescent="0.35">
      <c r="B346" s="97"/>
      <c r="G346" s="100"/>
      <c r="K346" s="98"/>
      <c r="L346" s="101"/>
      <c r="M346" s="101"/>
      <c r="N346" s="101"/>
      <c r="O346" s="101"/>
      <c r="P346" s="102"/>
      <c r="Q346" s="101"/>
      <c r="R346" s="98"/>
      <c r="S346" s="98"/>
      <c r="T346" s="98"/>
      <c r="U346" s="98"/>
      <c r="V346" s="98"/>
      <c r="W346" s="98"/>
      <c r="X346" s="98"/>
      <c r="Y346" s="98"/>
      <c r="Z346" s="103"/>
      <c r="AA346" s="103"/>
      <c r="AB346" s="103"/>
      <c r="AC346" s="103"/>
      <c r="AD346" s="103"/>
      <c r="AE346" s="103"/>
      <c r="AF346" s="103"/>
      <c r="AG346" s="101"/>
      <c r="AH346" s="101"/>
      <c r="AI346" s="101"/>
      <c r="AJ346" s="101"/>
      <c r="AK346" s="101"/>
      <c r="AL346" s="101"/>
      <c r="AM346" s="101"/>
      <c r="AN346" s="103"/>
      <c r="AO346" s="103"/>
      <c r="AP346" s="103"/>
      <c r="AQ346" s="103"/>
      <c r="AR346" s="103"/>
      <c r="AS346" s="103"/>
      <c r="AT346" s="103"/>
      <c r="AU346" s="101"/>
      <c r="AV346" s="101"/>
      <c r="AW346" s="101"/>
      <c r="AX346" s="101"/>
      <c r="AY346" s="101"/>
      <c r="AZ346" s="101"/>
      <c r="BA346" s="101"/>
      <c r="BB346" s="103"/>
      <c r="BC346" s="103"/>
      <c r="BD346" s="103"/>
      <c r="BE346" s="101"/>
      <c r="BF346" s="101"/>
      <c r="BG346" s="101"/>
      <c r="BH346" s="101"/>
      <c r="BI346" s="101"/>
      <c r="BM346" s="101"/>
      <c r="BN346" s="101"/>
      <c r="BO346" s="101"/>
      <c r="BP346" s="101"/>
      <c r="BQ346" s="101"/>
      <c r="BR346" s="101"/>
      <c r="BS346" s="101"/>
      <c r="BT346" s="104"/>
      <c r="BU346" s="104"/>
      <c r="BV346" s="104"/>
      <c r="BW346" s="104"/>
      <c r="BX346" s="104"/>
      <c r="BY346" s="104"/>
      <c r="BZ346" s="104"/>
      <c r="CA346" s="104"/>
      <c r="CB346" s="104"/>
      <c r="CC346" s="104"/>
      <c r="CD346" s="104"/>
      <c r="CE346" s="104"/>
      <c r="CF346" s="104"/>
      <c r="CG346" s="104"/>
      <c r="CH346" s="104"/>
      <c r="CI346" s="104"/>
      <c r="CJ346" s="104"/>
      <c r="CK346" s="104"/>
      <c r="CL346" s="104"/>
      <c r="CM346" s="104"/>
      <c r="CN346" s="104"/>
      <c r="CO346" s="104"/>
      <c r="CP346" s="98"/>
      <c r="CR346" s="101"/>
      <c r="CS346" s="101"/>
      <c r="CT346" s="101"/>
      <c r="CU346" s="101"/>
      <c r="CV346" s="101"/>
      <c r="FL346" s="103"/>
      <c r="FN346" s="103"/>
      <c r="FP346" s="103"/>
      <c r="FR346" s="103"/>
    </row>
    <row r="347" spans="2:174" x14ac:dyDescent="0.35">
      <c r="B347" s="97"/>
      <c r="G347" s="100"/>
      <c r="K347" s="98"/>
      <c r="L347" s="101"/>
      <c r="M347" s="101"/>
      <c r="N347" s="101"/>
      <c r="O347" s="101"/>
      <c r="P347" s="102"/>
      <c r="Q347" s="101"/>
      <c r="R347" s="98"/>
      <c r="S347" s="98"/>
      <c r="T347" s="98"/>
      <c r="U347" s="98"/>
      <c r="V347" s="98"/>
      <c r="W347" s="98"/>
      <c r="X347" s="98"/>
      <c r="Y347" s="98"/>
      <c r="Z347" s="103"/>
      <c r="AA347" s="103"/>
      <c r="AB347" s="103"/>
      <c r="AC347" s="103"/>
      <c r="AD347" s="103"/>
      <c r="AE347" s="103"/>
      <c r="AF347" s="103"/>
      <c r="AG347" s="101"/>
      <c r="AH347" s="101"/>
      <c r="AI347" s="101"/>
      <c r="AJ347" s="101"/>
      <c r="AK347" s="101"/>
      <c r="AL347" s="101"/>
      <c r="AM347" s="101"/>
      <c r="AN347" s="103"/>
      <c r="AO347" s="103"/>
      <c r="AP347" s="103"/>
      <c r="AQ347" s="103"/>
      <c r="AR347" s="103"/>
      <c r="AS347" s="103"/>
      <c r="AT347" s="103"/>
      <c r="AU347" s="101"/>
      <c r="AV347" s="101"/>
      <c r="AW347" s="101"/>
      <c r="AX347" s="101"/>
      <c r="AY347" s="101"/>
      <c r="AZ347" s="101"/>
      <c r="BA347" s="101"/>
      <c r="BB347" s="103"/>
      <c r="BC347" s="103"/>
      <c r="BD347" s="103"/>
      <c r="BE347" s="101"/>
      <c r="BF347" s="101"/>
      <c r="BG347" s="101"/>
      <c r="BH347" s="101"/>
      <c r="BI347" s="101"/>
      <c r="BM347" s="101"/>
      <c r="BN347" s="101"/>
      <c r="BO347" s="101"/>
      <c r="BP347" s="101"/>
      <c r="BQ347" s="101"/>
      <c r="BR347" s="101"/>
      <c r="BS347" s="101"/>
      <c r="BT347" s="104"/>
      <c r="BU347" s="104"/>
      <c r="BV347" s="104"/>
      <c r="BW347" s="104"/>
      <c r="BX347" s="104"/>
      <c r="BY347" s="104"/>
      <c r="BZ347" s="104"/>
      <c r="CA347" s="104"/>
      <c r="CB347" s="104"/>
      <c r="CC347" s="104"/>
      <c r="CD347" s="104"/>
      <c r="CE347" s="104"/>
      <c r="CF347" s="104"/>
      <c r="CG347" s="104"/>
      <c r="CH347" s="104"/>
      <c r="CI347" s="104"/>
      <c r="CJ347" s="104"/>
      <c r="CK347" s="104"/>
      <c r="CL347" s="104"/>
      <c r="CM347" s="104"/>
      <c r="CN347" s="104"/>
      <c r="CO347" s="104"/>
      <c r="CP347" s="98"/>
      <c r="CR347" s="101"/>
      <c r="CS347" s="101"/>
      <c r="CT347" s="101"/>
      <c r="CU347" s="101"/>
      <c r="CV347" s="101"/>
      <c r="FL347" s="103"/>
      <c r="FN347" s="103"/>
      <c r="FP347" s="103"/>
      <c r="FR347" s="103"/>
    </row>
    <row r="348" spans="2:174" x14ac:dyDescent="0.35">
      <c r="B348" s="97"/>
      <c r="G348" s="100"/>
      <c r="K348" s="98"/>
      <c r="L348" s="101"/>
      <c r="M348" s="101"/>
      <c r="N348" s="101"/>
      <c r="O348" s="101"/>
      <c r="P348" s="102"/>
      <c r="Q348" s="101"/>
      <c r="R348" s="98"/>
      <c r="S348" s="98"/>
      <c r="T348" s="98"/>
      <c r="U348" s="98"/>
      <c r="V348" s="98"/>
      <c r="W348" s="98"/>
      <c r="X348" s="98"/>
      <c r="Y348" s="98"/>
      <c r="Z348" s="103"/>
      <c r="AA348" s="103"/>
      <c r="AB348" s="103"/>
      <c r="AC348" s="103"/>
      <c r="AD348" s="103"/>
      <c r="AE348" s="103"/>
      <c r="AF348" s="103"/>
      <c r="AG348" s="101"/>
      <c r="AH348" s="101"/>
      <c r="AI348" s="101"/>
      <c r="AJ348" s="101"/>
      <c r="AK348" s="101"/>
      <c r="AL348" s="101"/>
      <c r="AM348" s="101"/>
      <c r="AN348" s="103"/>
      <c r="AO348" s="103"/>
      <c r="AP348" s="103"/>
      <c r="AQ348" s="103"/>
      <c r="AR348" s="103"/>
      <c r="AS348" s="103"/>
      <c r="AT348" s="103"/>
      <c r="AU348" s="101"/>
      <c r="AV348" s="101"/>
      <c r="AW348" s="101"/>
      <c r="AX348" s="101"/>
      <c r="AY348" s="101"/>
      <c r="AZ348" s="101"/>
      <c r="BA348" s="101"/>
      <c r="BB348" s="103"/>
      <c r="BC348" s="103"/>
      <c r="BD348" s="103"/>
      <c r="BE348" s="101"/>
      <c r="BF348" s="101"/>
      <c r="BG348" s="101"/>
      <c r="BH348" s="101"/>
      <c r="BI348" s="101"/>
      <c r="BM348" s="101"/>
      <c r="BN348" s="101"/>
      <c r="BO348" s="101"/>
      <c r="BP348" s="101"/>
      <c r="BQ348" s="101"/>
      <c r="BR348" s="101"/>
      <c r="BS348" s="101"/>
      <c r="BT348" s="104"/>
      <c r="BU348" s="104"/>
      <c r="BV348" s="104"/>
      <c r="BW348" s="104"/>
      <c r="BX348" s="104"/>
      <c r="BY348" s="104"/>
      <c r="BZ348" s="104"/>
      <c r="CA348" s="104"/>
      <c r="CB348" s="104"/>
      <c r="CC348" s="104"/>
      <c r="CD348" s="104"/>
      <c r="CE348" s="104"/>
      <c r="CF348" s="104"/>
      <c r="CG348" s="104"/>
      <c r="CH348" s="104"/>
      <c r="CI348" s="104"/>
      <c r="CJ348" s="104"/>
      <c r="CK348" s="104"/>
      <c r="CL348" s="104"/>
      <c r="CM348" s="104"/>
      <c r="CN348" s="104"/>
      <c r="CO348" s="104"/>
      <c r="CP348" s="98"/>
      <c r="CR348" s="101"/>
      <c r="CS348" s="101"/>
      <c r="CT348" s="101"/>
      <c r="CU348" s="101"/>
      <c r="CV348" s="101"/>
      <c r="FL348" s="103"/>
      <c r="FN348" s="103"/>
      <c r="FP348" s="103"/>
      <c r="FR348" s="103"/>
    </row>
    <row r="349" spans="2:174" x14ac:dyDescent="0.35">
      <c r="B349" s="97"/>
      <c r="G349" s="100"/>
      <c r="K349" s="98"/>
      <c r="L349" s="101"/>
      <c r="M349" s="101"/>
      <c r="N349" s="101"/>
      <c r="O349" s="101"/>
      <c r="P349" s="102"/>
      <c r="Q349" s="101"/>
      <c r="R349" s="98"/>
      <c r="S349" s="98"/>
      <c r="T349" s="98"/>
      <c r="U349" s="98"/>
      <c r="V349" s="98"/>
      <c r="W349" s="98"/>
      <c r="X349" s="98"/>
      <c r="Y349" s="98"/>
      <c r="Z349" s="103"/>
      <c r="AA349" s="103"/>
      <c r="AB349" s="103"/>
      <c r="AC349" s="103"/>
      <c r="AD349" s="103"/>
      <c r="AE349" s="103"/>
      <c r="AF349" s="103"/>
      <c r="AG349" s="101"/>
      <c r="AH349" s="101"/>
      <c r="AI349" s="101"/>
      <c r="AJ349" s="101"/>
      <c r="AK349" s="101"/>
      <c r="AL349" s="101"/>
      <c r="AM349" s="101"/>
      <c r="AN349" s="103"/>
      <c r="AO349" s="103"/>
      <c r="AP349" s="103"/>
      <c r="AQ349" s="103"/>
      <c r="AR349" s="103"/>
      <c r="AS349" s="103"/>
      <c r="AT349" s="103"/>
      <c r="AU349" s="101"/>
      <c r="AV349" s="101"/>
      <c r="AW349" s="101"/>
      <c r="AX349" s="101"/>
      <c r="AY349" s="101"/>
      <c r="AZ349" s="101"/>
      <c r="BA349" s="101"/>
      <c r="BB349" s="103"/>
      <c r="BC349" s="103"/>
      <c r="BD349" s="103"/>
      <c r="BE349" s="101"/>
      <c r="BF349" s="101"/>
      <c r="BG349" s="101"/>
      <c r="BH349" s="101"/>
      <c r="BI349" s="101"/>
      <c r="BM349" s="101"/>
      <c r="BN349" s="101"/>
      <c r="BO349" s="101"/>
      <c r="BP349" s="101"/>
      <c r="BQ349" s="101"/>
      <c r="BR349" s="101"/>
      <c r="BS349" s="101"/>
      <c r="BT349" s="104"/>
      <c r="BU349" s="104"/>
      <c r="BV349" s="104"/>
      <c r="BW349" s="104"/>
      <c r="BX349" s="104"/>
      <c r="BY349" s="104"/>
      <c r="BZ349" s="104"/>
      <c r="CA349" s="104"/>
      <c r="CB349" s="104"/>
      <c r="CC349" s="104"/>
      <c r="CD349" s="104"/>
      <c r="CE349" s="104"/>
      <c r="CF349" s="104"/>
      <c r="CG349" s="104"/>
      <c r="CH349" s="104"/>
      <c r="CI349" s="104"/>
      <c r="CJ349" s="104"/>
      <c r="CK349" s="104"/>
      <c r="CL349" s="104"/>
      <c r="CM349" s="104"/>
      <c r="CN349" s="104"/>
      <c r="CO349" s="104"/>
      <c r="CP349" s="98"/>
      <c r="CR349" s="101"/>
      <c r="CS349" s="101"/>
      <c r="CT349" s="101"/>
      <c r="CU349" s="101"/>
      <c r="CV349" s="101"/>
      <c r="FL349" s="103"/>
      <c r="FN349" s="103"/>
      <c r="FP349" s="103"/>
      <c r="FR349" s="103"/>
    </row>
    <row r="350" spans="2:174" x14ac:dyDescent="0.35">
      <c r="B350" s="97"/>
      <c r="G350" s="100"/>
      <c r="K350" s="98"/>
      <c r="L350" s="101"/>
      <c r="M350" s="101"/>
      <c r="N350" s="101"/>
      <c r="O350" s="101"/>
      <c r="P350" s="102"/>
      <c r="Q350" s="101"/>
      <c r="R350" s="98"/>
      <c r="S350" s="98"/>
      <c r="T350" s="98"/>
      <c r="U350" s="98"/>
      <c r="V350" s="98"/>
      <c r="W350" s="98"/>
      <c r="X350" s="98"/>
      <c r="Y350" s="98"/>
      <c r="Z350" s="103"/>
      <c r="AA350" s="103"/>
      <c r="AB350" s="103"/>
      <c r="AC350" s="103"/>
      <c r="AD350" s="103"/>
      <c r="AE350" s="103"/>
      <c r="AF350" s="103"/>
      <c r="AG350" s="101"/>
      <c r="AH350" s="101"/>
      <c r="AI350" s="101"/>
      <c r="AJ350" s="101"/>
      <c r="AK350" s="101"/>
      <c r="AL350" s="101"/>
      <c r="AM350" s="101"/>
      <c r="AN350" s="103"/>
      <c r="AO350" s="103"/>
      <c r="AP350" s="103"/>
      <c r="AQ350" s="103"/>
      <c r="AR350" s="103"/>
      <c r="AS350" s="103"/>
      <c r="AT350" s="103"/>
      <c r="AU350" s="101"/>
      <c r="AV350" s="101"/>
      <c r="AW350" s="101"/>
      <c r="AX350" s="101"/>
      <c r="AY350" s="101"/>
      <c r="AZ350" s="101"/>
      <c r="BA350" s="101"/>
      <c r="BB350" s="103"/>
      <c r="BC350" s="103"/>
      <c r="BD350" s="103"/>
      <c r="BE350" s="101"/>
      <c r="BF350" s="101"/>
      <c r="BG350" s="101"/>
      <c r="BH350" s="101"/>
      <c r="BI350" s="101"/>
      <c r="BM350" s="101"/>
      <c r="BN350" s="101"/>
      <c r="BO350" s="101"/>
      <c r="BP350" s="101"/>
      <c r="BQ350" s="101"/>
      <c r="BR350" s="101"/>
      <c r="BS350" s="101"/>
      <c r="BT350" s="104"/>
      <c r="BU350" s="104"/>
      <c r="BV350" s="104"/>
      <c r="BW350" s="104"/>
      <c r="BX350" s="104"/>
      <c r="BY350" s="104"/>
      <c r="BZ350" s="104"/>
      <c r="CA350" s="104"/>
      <c r="CB350" s="104"/>
      <c r="CC350" s="104"/>
      <c r="CD350" s="104"/>
      <c r="CE350" s="104"/>
      <c r="CF350" s="104"/>
      <c r="CG350" s="104"/>
      <c r="CH350" s="104"/>
      <c r="CI350" s="104"/>
      <c r="CJ350" s="104"/>
      <c r="CK350" s="104"/>
      <c r="CL350" s="104"/>
      <c r="CM350" s="104"/>
      <c r="CN350" s="104"/>
      <c r="CO350" s="104"/>
      <c r="CP350" s="98"/>
      <c r="CR350" s="101"/>
      <c r="CS350" s="101"/>
      <c r="CT350" s="101"/>
      <c r="CU350" s="101"/>
      <c r="CV350" s="101"/>
      <c r="FL350" s="103"/>
      <c r="FN350" s="103"/>
      <c r="FP350" s="103"/>
      <c r="FR350" s="103"/>
    </row>
    <row r="351" spans="2:174" x14ac:dyDescent="0.35">
      <c r="B351" s="97"/>
      <c r="G351" s="100"/>
      <c r="K351" s="98"/>
      <c r="L351" s="101"/>
      <c r="M351" s="101"/>
      <c r="N351" s="101"/>
      <c r="O351" s="101"/>
      <c r="P351" s="102"/>
      <c r="Q351" s="101"/>
      <c r="R351" s="98"/>
      <c r="S351" s="98"/>
      <c r="T351" s="98"/>
      <c r="U351" s="98"/>
      <c r="V351" s="98"/>
      <c r="W351" s="98"/>
      <c r="X351" s="98"/>
      <c r="Y351" s="98"/>
      <c r="Z351" s="103"/>
      <c r="AA351" s="103"/>
      <c r="AB351" s="103"/>
      <c r="AC351" s="103"/>
      <c r="AD351" s="103"/>
      <c r="AE351" s="103"/>
      <c r="AF351" s="103"/>
      <c r="AG351" s="101"/>
      <c r="AH351" s="101"/>
      <c r="AI351" s="101"/>
      <c r="AJ351" s="101"/>
      <c r="AK351" s="101"/>
      <c r="AL351" s="101"/>
      <c r="AM351" s="101"/>
      <c r="AN351" s="103"/>
      <c r="AO351" s="103"/>
      <c r="AP351" s="103"/>
      <c r="AQ351" s="103"/>
      <c r="AR351" s="103"/>
      <c r="AS351" s="103"/>
      <c r="AT351" s="103"/>
      <c r="AU351" s="101"/>
      <c r="AV351" s="101"/>
      <c r="AW351" s="101"/>
      <c r="AX351" s="101"/>
      <c r="AY351" s="101"/>
      <c r="AZ351" s="101"/>
      <c r="BA351" s="101"/>
      <c r="BB351" s="103"/>
      <c r="BC351" s="103"/>
      <c r="BD351" s="103"/>
      <c r="BE351" s="101"/>
      <c r="BF351" s="101"/>
      <c r="BG351" s="101"/>
      <c r="BH351" s="101"/>
      <c r="BI351" s="101"/>
      <c r="BM351" s="101"/>
      <c r="BN351" s="101"/>
      <c r="BO351" s="101"/>
      <c r="BP351" s="101"/>
      <c r="BQ351" s="101"/>
      <c r="BR351" s="101"/>
      <c r="BS351" s="101"/>
      <c r="BT351" s="104"/>
      <c r="BU351" s="104"/>
      <c r="BV351" s="104"/>
      <c r="BW351" s="104"/>
      <c r="BX351" s="104"/>
      <c r="BY351" s="104"/>
      <c r="BZ351" s="104"/>
      <c r="CA351" s="104"/>
      <c r="CB351" s="104"/>
      <c r="CC351" s="104"/>
      <c r="CD351" s="104"/>
      <c r="CE351" s="104"/>
      <c r="CF351" s="104"/>
      <c r="CG351" s="104"/>
      <c r="CH351" s="104"/>
      <c r="CI351" s="104"/>
      <c r="CJ351" s="104"/>
      <c r="CK351" s="104"/>
      <c r="CL351" s="104"/>
      <c r="CM351" s="104"/>
      <c r="CN351" s="104"/>
      <c r="CO351" s="104"/>
      <c r="CP351" s="98"/>
      <c r="CR351" s="101"/>
      <c r="CS351" s="101"/>
      <c r="CT351" s="101"/>
      <c r="CU351" s="101"/>
      <c r="CV351" s="101"/>
      <c r="FL351" s="103"/>
      <c r="FN351" s="103"/>
      <c r="FP351" s="103"/>
      <c r="FR351" s="103"/>
    </row>
    <row r="352" spans="2:174" x14ac:dyDescent="0.35">
      <c r="B352" s="97"/>
      <c r="G352" s="100"/>
      <c r="K352" s="98"/>
      <c r="L352" s="101"/>
      <c r="M352" s="101"/>
      <c r="N352" s="101"/>
      <c r="O352" s="101"/>
      <c r="P352" s="102"/>
      <c r="Q352" s="101"/>
      <c r="R352" s="98"/>
      <c r="S352" s="98"/>
      <c r="T352" s="98"/>
      <c r="U352" s="98"/>
      <c r="V352" s="98"/>
      <c r="W352" s="98"/>
      <c r="X352" s="98"/>
      <c r="Y352" s="98"/>
      <c r="Z352" s="103"/>
      <c r="AA352" s="103"/>
      <c r="AB352" s="103"/>
      <c r="AC352" s="103"/>
      <c r="AD352" s="103"/>
      <c r="AE352" s="103"/>
      <c r="AF352" s="103"/>
      <c r="AG352" s="101"/>
      <c r="AH352" s="101"/>
      <c r="AI352" s="101"/>
      <c r="AJ352" s="101"/>
      <c r="AK352" s="101"/>
      <c r="AL352" s="101"/>
      <c r="AM352" s="101"/>
      <c r="AN352" s="103"/>
      <c r="AO352" s="103"/>
      <c r="AP352" s="103"/>
      <c r="AQ352" s="103"/>
      <c r="AR352" s="103"/>
      <c r="AS352" s="103"/>
      <c r="AT352" s="103"/>
      <c r="AU352" s="101"/>
      <c r="AV352" s="101"/>
      <c r="AW352" s="101"/>
      <c r="AX352" s="101"/>
      <c r="AY352" s="101"/>
      <c r="AZ352" s="101"/>
      <c r="BA352" s="101"/>
      <c r="BB352" s="103"/>
      <c r="BC352" s="103"/>
      <c r="BD352" s="103"/>
      <c r="BE352" s="101"/>
      <c r="BF352" s="101"/>
      <c r="BG352" s="101"/>
      <c r="BH352" s="101"/>
      <c r="BI352" s="101"/>
      <c r="BM352" s="101"/>
      <c r="BN352" s="101"/>
      <c r="BO352" s="101"/>
      <c r="BP352" s="101"/>
      <c r="BQ352" s="101"/>
      <c r="BR352" s="101"/>
      <c r="BS352" s="101"/>
      <c r="BT352" s="104"/>
      <c r="BU352" s="104"/>
      <c r="BV352" s="104"/>
      <c r="BW352" s="104"/>
      <c r="BX352" s="104"/>
      <c r="BY352" s="104"/>
      <c r="BZ352" s="104"/>
      <c r="CA352" s="104"/>
      <c r="CB352" s="104"/>
      <c r="CC352" s="104"/>
      <c r="CD352" s="104"/>
      <c r="CE352" s="104"/>
      <c r="CF352" s="104"/>
      <c r="CG352" s="104"/>
      <c r="CH352" s="104"/>
      <c r="CI352" s="104"/>
      <c r="CJ352" s="104"/>
      <c r="CK352" s="104"/>
      <c r="CL352" s="104"/>
      <c r="CM352" s="104"/>
      <c r="CN352" s="104"/>
      <c r="CO352" s="104"/>
      <c r="CP352" s="98"/>
      <c r="CR352" s="101"/>
      <c r="CS352" s="101"/>
      <c r="CT352" s="101"/>
      <c r="CU352" s="101"/>
      <c r="CV352" s="101"/>
      <c r="FL352" s="103"/>
      <c r="FN352" s="103"/>
      <c r="FP352" s="103"/>
      <c r="FR352" s="103"/>
    </row>
    <row r="353" spans="2:174" x14ac:dyDescent="0.35">
      <c r="B353" s="97"/>
      <c r="G353" s="100"/>
      <c r="K353" s="98"/>
      <c r="L353" s="101"/>
      <c r="M353" s="101"/>
      <c r="N353" s="101"/>
      <c r="O353" s="101"/>
      <c r="P353" s="102"/>
      <c r="Q353" s="101"/>
      <c r="R353" s="98"/>
      <c r="S353" s="98"/>
      <c r="T353" s="98"/>
      <c r="U353" s="98"/>
      <c r="V353" s="98"/>
      <c r="W353" s="98"/>
      <c r="X353" s="98"/>
      <c r="Y353" s="98"/>
      <c r="Z353" s="103"/>
      <c r="AA353" s="103"/>
      <c r="AB353" s="103"/>
      <c r="AC353" s="103"/>
      <c r="AD353" s="103"/>
      <c r="AE353" s="103"/>
      <c r="AF353" s="103"/>
      <c r="AG353" s="101"/>
      <c r="AH353" s="101"/>
      <c r="AI353" s="101"/>
      <c r="AJ353" s="101"/>
      <c r="AK353" s="101"/>
      <c r="AL353" s="101"/>
      <c r="AM353" s="101"/>
      <c r="AN353" s="103"/>
      <c r="AO353" s="103"/>
      <c r="AP353" s="103"/>
      <c r="AQ353" s="103"/>
      <c r="AR353" s="103"/>
      <c r="AS353" s="103"/>
      <c r="AT353" s="103"/>
      <c r="AU353" s="101"/>
      <c r="AV353" s="101"/>
      <c r="AW353" s="101"/>
      <c r="AX353" s="101"/>
      <c r="AY353" s="101"/>
      <c r="AZ353" s="101"/>
      <c r="BA353" s="101"/>
      <c r="BB353" s="103"/>
      <c r="BC353" s="103"/>
      <c r="BD353" s="103"/>
      <c r="BE353" s="101"/>
      <c r="BF353" s="101"/>
      <c r="BG353" s="101"/>
      <c r="BH353" s="101"/>
      <c r="BI353" s="101"/>
      <c r="BM353" s="101"/>
      <c r="BN353" s="101"/>
      <c r="BO353" s="101"/>
      <c r="BP353" s="101"/>
      <c r="BQ353" s="101"/>
      <c r="BR353" s="101"/>
      <c r="BS353" s="101"/>
      <c r="BT353" s="104"/>
      <c r="BU353" s="104"/>
      <c r="BV353" s="104"/>
      <c r="BW353" s="104"/>
      <c r="BX353" s="104"/>
      <c r="BY353" s="104"/>
      <c r="BZ353" s="104"/>
      <c r="CA353" s="104"/>
      <c r="CB353" s="104"/>
      <c r="CC353" s="104"/>
      <c r="CD353" s="104"/>
      <c r="CE353" s="104"/>
      <c r="CF353" s="104"/>
      <c r="CG353" s="104"/>
      <c r="CH353" s="104"/>
      <c r="CI353" s="104"/>
      <c r="CJ353" s="104"/>
      <c r="CK353" s="104"/>
      <c r="CL353" s="104"/>
      <c r="CM353" s="104"/>
      <c r="CN353" s="104"/>
      <c r="CO353" s="104"/>
      <c r="CP353" s="98"/>
      <c r="CR353" s="101"/>
      <c r="CS353" s="101"/>
      <c r="CT353" s="101"/>
      <c r="CU353" s="101"/>
      <c r="CV353" s="101"/>
      <c r="FL353" s="103"/>
      <c r="FN353" s="103"/>
      <c r="FP353" s="103"/>
      <c r="FR353" s="103"/>
    </row>
    <row r="354" spans="2:174" x14ac:dyDescent="0.35">
      <c r="B354" s="97"/>
      <c r="G354" s="100"/>
      <c r="K354" s="98"/>
      <c r="L354" s="101"/>
      <c r="M354" s="101"/>
      <c r="N354" s="101"/>
      <c r="O354" s="101"/>
      <c r="P354" s="102"/>
      <c r="Q354" s="101"/>
      <c r="R354" s="98"/>
      <c r="S354" s="98"/>
      <c r="T354" s="98"/>
      <c r="U354" s="98"/>
      <c r="V354" s="98"/>
      <c r="W354" s="98"/>
      <c r="X354" s="98"/>
      <c r="Y354" s="98"/>
      <c r="Z354" s="103"/>
      <c r="AA354" s="103"/>
      <c r="AB354" s="103"/>
      <c r="AC354" s="103"/>
      <c r="AD354" s="103"/>
      <c r="AE354" s="103"/>
      <c r="AF354" s="103"/>
      <c r="AG354" s="101"/>
      <c r="AH354" s="101"/>
      <c r="AI354" s="101"/>
      <c r="AJ354" s="101"/>
      <c r="AK354" s="101"/>
      <c r="AL354" s="101"/>
      <c r="AM354" s="101"/>
      <c r="AN354" s="103"/>
      <c r="AO354" s="103"/>
      <c r="AP354" s="103"/>
      <c r="AQ354" s="103"/>
      <c r="AR354" s="103"/>
      <c r="AS354" s="103"/>
      <c r="AT354" s="103"/>
      <c r="AU354" s="101"/>
      <c r="AV354" s="101"/>
      <c r="AW354" s="101"/>
      <c r="AX354" s="101"/>
      <c r="AY354" s="101"/>
      <c r="AZ354" s="101"/>
      <c r="BA354" s="101"/>
      <c r="BB354" s="103"/>
      <c r="BC354" s="103"/>
      <c r="BD354" s="103"/>
      <c r="BE354" s="101"/>
      <c r="BF354" s="101"/>
      <c r="BG354" s="101"/>
      <c r="BH354" s="101"/>
      <c r="BI354" s="101"/>
      <c r="BM354" s="101"/>
      <c r="BN354" s="101"/>
      <c r="BO354" s="101"/>
      <c r="BP354" s="101"/>
      <c r="BQ354" s="101"/>
      <c r="BR354" s="101"/>
      <c r="BS354" s="101"/>
      <c r="BT354" s="104"/>
      <c r="BU354" s="104"/>
      <c r="BV354" s="104"/>
      <c r="BW354" s="104"/>
      <c r="BX354" s="104"/>
      <c r="BY354" s="104"/>
      <c r="BZ354" s="104"/>
      <c r="CA354" s="104"/>
      <c r="CB354" s="104"/>
      <c r="CC354" s="104"/>
      <c r="CD354" s="104"/>
      <c r="CE354" s="104"/>
      <c r="CF354" s="104"/>
      <c r="CG354" s="104"/>
      <c r="CH354" s="104"/>
      <c r="CI354" s="104"/>
      <c r="CJ354" s="104"/>
      <c r="CK354" s="104"/>
      <c r="CL354" s="104"/>
      <c r="CM354" s="104"/>
      <c r="CN354" s="104"/>
      <c r="CO354" s="104"/>
      <c r="CP354" s="98"/>
      <c r="CR354" s="101"/>
      <c r="CS354" s="101"/>
      <c r="CT354" s="101"/>
      <c r="CU354" s="101"/>
      <c r="CV354" s="101"/>
      <c r="FL354" s="103"/>
      <c r="FN354" s="103"/>
      <c r="FP354" s="103"/>
      <c r="FR354" s="103"/>
    </row>
    <row r="355" spans="2:174" x14ac:dyDescent="0.35">
      <c r="B355" s="97"/>
      <c r="G355" s="100"/>
      <c r="K355" s="98"/>
      <c r="L355" s="101"/>
      <c r="M355" s="101"/>
      <c r="N355" s="101"/>
      <c r="O355" s="101"/>
      <c r="P355" s="102"/>
      <c r="Q355" s="101"/>
      <c r="R355" s="98"/>
      <c r="S355" s="98"/>
      <c r="T355" s="98"/>
      <c r="U355" s="98"/>
      <c r="V355" s="98"/>
      <c r="W355" s="98"/>
      <c r="X355" s="98"/>
      <c r="Y355" s="98"/>
      <c r="Z355" s="103"/>
      <c r="AA355" s="103"/>
      <c r="AB355" s="103"/>
      <c r="AC355" s="103"/>
      <c r="AD355" s="103"/>
      <c r="AE355" s="103"/>
      <c r="AF355" s="103"/>
      <c r="AG355" s="101"/>
      <c r="AH355" s="101"/>
      <c r="AI355" s="101"/>
      <c r="AJ355" s="101"/>
      <c r="AK355" s="101"/>
      <c r="AL355" s="101"/>
      <c r="AM355" s="101"/>
      <c r="AN355" s="103"/>
      <c r="AO355" s="103"/>
      <c r="AP355" s="103"/>
      <c r="AQ355" s="103"/>
      <c r="AR355" s="103"/>
      <c r="AS355" s="103"/>
      <c r="AT355" s="103"/>
      <c r="AU355" s="101"/>
      <c r="AV355" s="101"/>
      <c r="AW355" s="101"/>
      <c r="AX355" s="101"/>
      <c r="AY355" s="101"/>
      <c r="AZ355" s="101"/>
      <c r="BA355" s="101"/>
      <c r="BB355" s="103"/>
      <c r="BC355" s="103"/>
      <c r="BD355" s="103"/>
      <c r="BE355" s="101"/>
      <c r="BF355" s="101"/>
      <c r="BG355" s="101"/>
      <c r="BH355" s="101"/>
      <c r="BI355" s="101"/>
      <c r="BM355" s="101"/>
      <c r="BN355" s="101"/>
      <c r="BO355" s="101"/>
      <c r="BP355" s="101"/>
      <c r="BQ355" s="101"/>
      <c r="BR355" s="101"/>
      <c r="BS355" s="101"/>
      <c r="BT355" s="104"/>
      <c r="BU355" s="104"/>
      <c r="BV355" s="104"/>
      <c r="BW355" s="104"/>
      <c r="BX355" s="104"/>
      <c r="BY355" s="104"/>
      <c r="BZ355" s="104"/>
      <c r="CA355" s="104"/>
      <c r="CB355" s="104"/>
      <c r="CC355" s="104"/>
      <c r="CD355" s="104"/>
      <c r="CE355" s="104"/>
      <c r="CF355" s="104"/>
      <c r="CG355" s="104"/>
      <c r="CH355" s="104"/>
      <c r="CI355" s="104"/>
      <c r="CJ355" s="104"/>
      <c r="CK355" s="104"/>
      <c r="CL355" s="104"/>
      <c r="CM355" s="104"/>
      <c r="CN355" s="104"/>
      <c r="CO355" s="104"/>
      <c r="CP355" s="98"/>
      <c r="CR355" s="101"/>
      <c r="CS355" s="101"/>
      <c r="CT355" s="101"/>
      <c r="CU355" s="101"/>
      <c r="CV355" s="101"/>
      <c r="FL355" s="103"/>
      <c r="FN355" s="103"/>
      <c r="FP355" s="103"/>
      <c r="FR355" s="103"/>
    </row>
    <row r="356" spans="2:174" x14ac:dyDescent="0.35">
      <c r="B356" s="97"/>
      <c r="G356" s="100"/>
      <c r="K356" s="98"/>
      <c r="L356" s="101"/>
      <c r="M356" s="101"/>
      <c r="N356" s="101"/>
      <c r="O356" s="101"/>
      <c r="P356" s="102"/>
      <c r="Q356" s="101"/>
      <c r="R356" s="98"/>
      <c r="S356" s="98"/>
      <c r="T356" s="98"/>
      <c r="U356" s="98"/>
      <c r="V356" s="98"/>
      <c r="W356" s="98"/>
      <c r="X356" s="98"/>
      <c r="Y356" s="98"/>
      <c r="Z356" s="103"/>
      <c r="AA356" s="103"/>
      <c r="AB356" s="103"/>
      <c r="AC356" s="103"/>
      <c r="AD356" s="103"/>
      <c r="AE356" s="103"/>
      <c r="AF356" s="103"/>
      <c r="AG356" s="101"/>
      <c r="AH356" s="101"/>
      <c r="AI356" s="101"/>
      <c r="AJ356" s="101"/>
      <c r="AK356" s="101"/>
      <c r="AL356" s="101"/>
      <c r="AM356" s="101"/>
      <c r="AN356" s="103"/>
      <c r="AO356" s="103"/>
      <c r="AP356" s="103"/>
      <c r="AQ356" s="103"/>
      <c r="AR356" s="103"/>
      <c r="AS356" s="103"/>
      <c r="AT356" s="103"/>
      <c r="AU356" s="101"/>
      <c r="AV356" s="101"/>
      <c r="AW356" s="101"/>
      <c r="AX356" s="101"/>
      <c r="AY356" s="101"/>
      <c r="AZ356" s="101"/>
      <c r="BA356" s="101"/>
      <c r="BB356" s="103"/>
      <c r="BC356" s="103"/>
      <c r="BD356" s="103"/>
      <c r="BE356" s="101"/>
      <c r="BF356" s="101"/>
      <c r="BG356" s="101"/>
      <c r="BH356" s="101"/>
      <c r="BI356" s="101"/>
      <c r="BM356" s="101"/>
      <c r="BN356" s="101"/>
      <c r="BO356" s="101"/>
      <c r="BP356" s="101"/>
      <c r="BQ356" s="101"/>
      <c r="BR356" s="101"/>
      <c r="BS356" s="101"/>
      <c r="BT356" s="104"/>
      <c r="BU356" s="104"/>
      <c r="BV356" s="104"/>
      <c r="BW356" s="104"/>
      <c r="BX356" s="104"/>
      <c r="BY356" s="104"/>
      <c r="BZ356" s="104"/>
      <c r="CA356" s="104"/>
      <c r="CB356" s="104"/>
      <c r="CC356" s="104"/>
      <c r="CD356" s="104"/>
      <c r="CE356" s="104"/>
      <c r="CF356" s="104"/>
      <c r="CG356" s="104"/>
      <c r="CH356" s="104"/>
      <c r="CI356" s="104"/>
      <c r="CJ356" s="104"/>
      <c r="CK356" s="104"/>
      <c r="CL356" s="104"/>
      <c r="CM356" s="104"/>
      <c r="CN356" s="104"/>
      <c r="CO356" s="104"/>
      <c r="CP356" s="98"/>
      <c r="CR356" s="101"/>
      <c r="CS356" s="101"/>
      <c r="CT356" s="101"/>
      <c r="CU356" s="101"/>
      <c r="CV356" s="101"/>
      <c r="FL356" s="103"/>
      <c r="FN356" s="103"/>
      <c r="FP356" s="103"/>
      <c r="FR356" s="103"/>
    </row>
    <row r="357" spans="2:174" x14ac:dyDescent="0.35">
      <c r="B357" s="97"/>
      <c r="G357" s="100"/>
      <c r="K357" s="98"/>
      <c r="L357" s="101"/>
      <c r="M357" s="101"/>
      <c r="N357" s="101"/>
      <c r="O357" s="101"/>
      <c r="P357" s="102"/>
      <c r="Q357" s="101"/>
      <c r="R357" s="98"/>
      <c r="S357" s="98"/>
      <c r="T357" s="98"/>
      <c r="U357" s="98"/>
      <c r="V357" s="98"/>
      <c r="W357" s="98"/>
      <c r="X357" s="98"/>
      <c r="Y357" s="98"/>
      <c r="Z357" s="103"/>
      <c r="AA357" s="103"/>
      <c r="AB357" s="103"/>
      <c r="AC357" s="103"/>
      <c r="AD357" s="103"/>
      <c r="AE357" s="103"/>
      <c r="AF357" s="103"/>
      <c r="AG357" s="101"/>
      <c r="AH357" s="101"/>
      <c r="AI357" s="101"/>
      <c r="AJ357" s="101"/>
      <c r="AK357" s="101"/>
      <c r="AL357" s="101"/>
      <c r="AM357" s="101"/>
      <c r="AN357" s="103"/>
      <c r="AO357" s="103"/>
      <c r="AP357" s="103"/>
      <c r="AQ357" s="103"/>
      <c r="AR357" s="103"/>
      <c r="AS357" s="103"/>
      <c r="AT357" s="103"/>
      <c r="AU357" s="101"/>
      <c r="AV357" s="101"/>
      <c r="AW357" s="101"/>
      <c r="AX357" s="101"/>
      <c r="AY357" s="101"/>
      <c r="AZ357" s="101"/>
      <c r="BA357" s="101"/>
      <c r="BB357" s="103"/>
      <c r="BC357" s="103"/>
      <c r="BD357" s="103"/>
      <c r="BE357" s="101"/>
      <c r="BF357" s="101"/>
      <c r="BG357" s="101"/>
      <c r="BH357" s="101"/>
      <c r="BI357" s="101"/>
      <c r="BM357" s="101"/>
      <c r="BN357" s="101"/>
      <c r="BO357" s="101"/>
      <c r="BP357" s="101"/>
      <c r="BQ357" s="101"/>
      <c r="BR357" s="101"/>
      <c r="BS357" s="101"/>
      <c r="BT357" s="104"/>
      <c r="BU357" s="104"/>
      <c r="BV357" s="104"/>
      <c r="BW357" s="104"/>
      <c r="BX357" s="104"/>
      <c r="BY357" s="104"/>
      <c r="BZ357" s="104"/>
      <c r="CA357" s="104"/>
      <c r="CB357" s="104"/>
      <c r="CC357" s="104"/>
      <c r="CD357" s="104"/>
      <c r="CE357" s="104"/>
      <c r="CF357" s="104"/>
      <c r="CG357" s="104"/>
      <c r="CH357" s="104"/>
      <c r="CI357" s="104"/>
      <c r="CJ357" s="104"/>
      <c r="CK357" s="104"/>
      <c r="CL357" s="104"/>
      <c r="CM357" s="104"/>
      <c r="CN357" s="104"/>
      <c r="CO357" s="104"/>
      <c r="CP357" s="98"/>
      <c r="CR357" s="101"/>
      <c r="CS357" s="101"/>
      <c r="CT357" s="101"/>
      <c r="CU357" s="101"/>
      <c r="CV357" s="101"/>
      <c r="FL357" s="103"/>
      <c r="FN357" s="103"/>
      <c r="FP357" s="103"/>
      <c r="FR357" s="103"/>
    </row>
    <row r="358" spans="2:174" x14ac:dyDescent="0.35">
      <c r="B358" s="97"/>
      <c r="G358" s="100"/>
      <c r="K358" s="98"/>
      <c r="L358" s="101"/>
      <c r="M358" s="101"/>
      <c r="N358" s="101"/>
      <c r="O358" s="101"/>
      <c r="P358" s="102"/>
      <c r="Q358" s="101"/>
      <c r="R358" s="98"/>
      <c r="S358" s="98"/>
      <c r="T358" s="98"/>
      <c r="U358" s="98"/>
      <c r="V358" s="98"/>
      <c r="W358" s="98"/>
      <c r="X358" s="98"/>
      <c r="Y358" s="98"/>
      <c r="Z358" s="103"/>
      <c r="AA358" s="103"/>
      <c r="AB358" s="103"/>
      <c r="AC358" s="103"/>
      <c r="AD358" s="103"/>
      <c r="AE358" s="103"/>
      <c r="AF358" s="103"/>
      <c r="AG358" s="101"/>
      <c r="AH358" s="101"/>
      <c r="AI358" s="101"/>
      <c r="AJ358" s="101"/>
      <c r="AK358" s="101"/>
      <c r="AL358" s="101"/>
      <c r="AM358" s="101"/>
      <c r="AN358" s="103"/>
      <c r="AO358" s="103"/>
      <c r="AP358" s="103"/>
      <c r="AQ358" s="103"/>
      <c r="AR358" s="103"/>
      <c r="AS358" s="103"/>
      <c r="AT358" s="103"/>
      <c r="AU358" s="101"/>
      <c r="AV358" s="101"/>
      <c r="AW358" s="101"/>
      <c r="AX358" s="101"/>
      <c r="AY358" s="101"/>
      <c r="AZ358" s="101"/>
      <c r="BA358" s="101"/>
      <c r="BB358" s="103"/>
      <c r="BC358" s="103"/>
      <c r="BD358" s="103"/>
      <c r="BE358" s="101"/>
      <c r="BF358" s="101"/>
      <c r="BG358" s="101"/>
      <c r="BH358" s="101"/>
      <c r="BI358" s="101"/>
      <c r="BM358" s="101"/>
      <c r="BN358" s="101"/>
      <c r="BO358" s="101"/>
      <c r="BP358" s="101"/>
      <c r="BQ358" s="101"/>
      <c r="BR358" s="101"/>
      <c r="BS358" s="101"/>
      <c r="BT358" s="104"/>
      <c r="BU358" s="104"/>
      <c r="BV358" s="104"/>
      <c r="BW358" s="104"/>
      <c r="BX358" s="104"/>
      <c r="BY358" s="104"/>
      <c r="BZ358" s="104"/>
      <c r="CA358" s="104"/>
      <c r="CB358" s="104"/>
      <c r="CC358" s="104"/>
      <c r="CD358" s="104"/>
      <c r="CE358" s="104"/>
      <c r="CF358" s="104"/>
      <c r="CG358" s="104"/>
      <c r="CH358" s="104"/>
      <c r="CI358" s="104"/>
      <c r="CJ358" s="104"/>
      <c r="CK358" s="104"/>
      <c r="CL358" s="104"/>
      <c r="CM358" s="104"/>
      <c r="CN358" s="104"/>
      <c r="CO358" s="104"/>
      <c r="CP358" s="98"/>
      <c r="CR358" s="101"/>
      <c r="CS358" s="101"/>
      <c r="CT358" s="101"/>
      <c r="CU358" s="101"/>
      <c r="CV358" s="101"/>
      <c r="FL358" s="103"/>
      <c r="FN358" s="103"/>
      <c r="FP358" s="103"/>
      <c r="FR358" s="103"/>
    </row>
    <row r="359" spans="2:174" x14ac:dyDescent="0.35">
      <c r="B359" s="97"/>
      <c r="G359" s="100"/>
      <c r="K359" s="98"/>
      <c r="L359" s="101"/>
      <c r="M359" s="101"/>
      <c r="N359" s="101"/>
      <c r="O359" s="101"/>
      <c r="P359" s="102"/>
      <c r="Q359" s="101"/>
      <c r="R359" s="98"/>
      <c r="S359" s="98"/>
      <c r="T359" s="98"/>
      <c r="U359" s="98"/>
      <c r="V359" s="98"/>
      <c r="W359" s="98"/>
      <c r="X359" s="98"/>
      <c r="Y359" s="98"/>
      <c r="Z359" s="103"/>
      <c r="AA359" s="103"/>
      <c r="AB359" s="103"/>
      <c r="AC359" s="103"/>
      <c r="AD359" s="103"/>
      <c r="AE359" s="103"/>
      <c r="AF359" s="103"/>
      <c r="AG359" s="101"/>
      <c r="AH359" s="101"/>
      <c r="AI359" s="101"/>
      <c r="AJ359" s="101"/>
      <c r="AK359" s="101"/>
      <c r="AL359" s="101"/>
      <c r="AM359" s="101"/>
      <c r="AN359" s="103"/>
      <c r="AO359" s="103"/>
      <c r="AP359" s="103"/>
      <c r="AQ359" s="103"/>
      <c r="AR359" s="103"/>
      <c r="AS359" s="103"/>
      <c r="AT359" s="103"/>
      <c r="AU359" s="101"/>
      <c r="AV359" s="101"/>
      <c r="AW359" s="101"/>
      <c r="AX359" s="101"/>
      <c r="AY359" s="101"/>
      <c r="AZ359" s="101"/>
      <c r="BA359" s="101"/>
      <c r="BB359" s="103"/>
      <c r="BC359" s="103"/>
      <c r="BD359" s="103"/>
      <c r="BE359" s="101"/>
      <c r="BF359" s="101"/>
      <c r="BG359" s="101"/>
      <c r="BH359" s="101"/>
      <c r="BI359" s="101"/>
      <c r="BM359" s="101"/>
      <c r="BN359" s="101"/>
      <c r="BO359" s="101"/>
      <c r="BP359" s="101"/>
      <c r="BQ359" s="101"/>
      <c r="BR359" s="101"/>
      <c r="BS359" s="101"/>
      <c r="BT359" s="104"/>
      <c r="BU359" s="104"/>
      <c r="BV359" s="104"/>
      <c r="BW359" s="104"/>
      <c r="BX359" s="104"/>
      <c r="BY359" s="104"/>
      <c r="BZ359" s="104"/>
      <c r="CA359" s="104"/>
      <c r="CB359" s="104"/>
      <c r="CC359" s="104"/>
      <c r="CD359" s="104"/>
      <c r="CE359" s="104"/>
      <c r="CF359" s="104"/>
      <c r="CG359" s="104"/>
      <c r="CH359" s="104"/>
      <c r="CI359" s="104"/>
      <c r="CJ359" s="104"/>
      <c r="CK359" s="104"/>
      <c r="CL359" s="104"/>
      <c r="CM359" s="104"/>
      <c r="CN359" s="104"/>
      <c r="CO359" s="104"/>
      <c r="CP359" s="98"/>
      <c r="CR359" s="101"/>
      <c r="CS359" s="101"/>
      <c r="CT359" s="101"/>
      <c r="CU359" s="101"/>
      <c r="CV359" s="101"/>
      <c r="FL359" s="103"/>
      <c r="FN359" s="103"/>
      <c r="FP359" s="103"/>
      <c r="FR359" s="103"/>
    </row>
    <row r="360" spans="2:174" x14ac:dyDescent="0.35">
      <c r="B360" s="97"/>
      <c r="G360" s="100"/>
      <c r="K360" s="98"/>
      <c r="L360" s="101"/>
      <c r="M360" s="101"/>
      <c r="N360" s="101"/>
      <c r="O360" s="101"/>
      <c r="P360" s="102"/>
      <c r="Q360" s="101"/>
      <c r="R360" s="98"/>
      <c r="S360" s="98"/>
      <c r="T360" s="98"/>
      <c r="U360" s="98"/>
      <c r="V360" s="98"/>
      <c r="W360" s="98"/>
      <c r="X360" s="98"/>
      <c r="Y360" s="98"/>
      <c r="Z360" s="103"/>
      <c r="AA360" s="103"/>
      <c r="AB360" s="103"/>
      <c r="AC360" s="103"/>
      <c r="AD360" s="103"/>
      <c r="AE360" s="103"/>
      <c r="AF360" s="103"/>
      <c r="AG360" s="101"/>
      <c r="AH360" s="101"/>
      <c r="AI360" s="101"/>
      <c r="AJ360" s="101"/>
      <c r="AK360" s="101"/>
      <c r="AL360" s="101"/>
      <c r="AM360" s="101"/>
      <c r="AN360" s="103"/>
      <c r="AO360" s="103"/>
      <c r="AP360" s="103"/>
      <c r="AQ360" s="103"/>
      <c r="AR360" s="103"/>
      <c r="AS360" s="103"/>
      <c r="AT360" s="103"/>
      <c r="AU360" s="101"/>
      <c r="AV360" s="101"/>
      <c r="AW360" s="101"/>
      <c r="AX360" s="101"/>
      <c r="AY360" s="101"/>
      <c r="AZ360" s="101"/>
      <c r="BA360" s="101"/>
      <c r="BB360" s="103"/>
      <c r="BC360" s="103"/>
      <c r="BD360" s="103"/>
      <c r="BE360" s="101"/>
      <c r="BF360" s="101"/>
      <c r="BG360" s="101"/>
      <c r="BH360" s="101"/>
      <c r="BI360" s="101"/>
      <c r="BM360" s="101"/>
      <c r="BN360" s="101"/>
      <c r="BO360" s="101"/>
      <c r="BP360" s="101"/>
      <c r="BQ360" s="101"/>
      <c r="BR360" s="101"/>
      <c r="BS360" s="101"/>
      <c r="BT360" s="104"/>
      <c r="BU360" s="104"/>
      <c r="BV360" s="104"/>
      <c r="BW360" s="104"/>
      <c r="BX360" s="104"/>
      <c r="BY360" s="104"/>
      <c r="BZ360" s="104"/>
      <c r="CA360" s="104"/>
      <c r="CB360" s="104"/>
      <c r="CC360" s="104"/>
      <c r="CD360" s="104"/>
      <c r="CE360" s="104"/>
      <c r="CF360" s="104"/>
      <c r="CG360" s="104"/>
      <c r="CH360" s="104"/>
      <c r="CI360" s="104"/>
      <c r="CJ360" s="104"/>
      <c r="CK360" s="104"/>
      <c r="CL360" s="104"/>
      <c r="CM360" s="104"/>
      <c r="CN360" s="104"/>
      <c r="CO360" s="104"/>
      <c r="CP360" s="98"/>
      <c r="CR360" s="101"/>
      <c r="CS360" s="101"/>
      <c r="CT360" s="101"/>
      <c r="CU360" s="101"/>
      <c r="CV360" s="101"/>
      <c r="FL360" s="103"/>
      <c r="FN360" s="103"/>
      <c r="FP360" s="103"/>
      <c r="FR360" s="103"/>
    </row>
    <row r="361" spans="2:174" x14ac:dyDescent="0.35">
      <c r="B361" s="97"/>
      <c r="G361" s="100"/>
      <c r="K361" s="98"/>
      <c r="L361" s="101"/>
      <c r="M361" s="101"/>
      <c r="N361" s="101"/>
      <c r="O361" s="101"/>
      <c r="P361" s="102"/>
      <c r="Q361" s="101"/>
      <c r="R361" s="98"/>
      <c r="S361" s="98"/>
      <c r="T361" s="98"/>
      <c r="U361" s="98"/>
      <c r="V361" s="98"/>
      <c r="W361" s="98"/>
      <c r="X361" s="98"/>
      <c r="Y361" s="98"/>
      <c r="Z361" s="103"/>
      <c r="AA361" s="103"/>
      <c r="AB361" s="103"/>
      <c r="AC361" s="103"/>
      <c r="AD361" s="103"/>
      <c r="AE361" s="103"/>
      <c r="AF361" s="103"/>
      <c r="AG361" s="101"/>
      <c r="AH361" s="101"/>
      <c r="AI361" s="101"/>
      <c r="AJ361" s="101"/>
      <c r="AK361" s="101"/>
      <c r="AL361" s="101"/>
      <c r="AM361" s="101"/>
      <c r="AN361" s="103"/>
      <c r="AO361" s="103"/>
      <c r="AP361" s="103"/>
      <c r="AQ361" s="103"/>
      <c r="AR361" s="103"/>
      <c r="AS361" s="103"/>
      <c r="AT361" s="103"/>
      <c r="AU361" s="101"/>
      <c r="AV361" s="101"/>
      <c r="AW361" s="101"/>
      <c r="AX361" s="101"/>
      <c r="AY361" s="101"/>
      <c r="AZ361" s="101"/>
      <c r="BA361" s="101"/>
      <c r="BB361" s="103"/>
      <c r="BC361" s="103"/>
      <c r="BD361" s="103"/>
      <c r="BE361" s="101"/>
      <c r="BF361" s="101"/>
      <c r="BG361" s="101"/>
      <c r="BH361" s="101"/>
      <c r="BI361" s="101"/>
      <c r="BM361" s="101"/>
      <c r="BN361" s="101"/>
      <c r="BO361" s="101"/>
      <c r="BP361" s="101"/>
      <c r="BQ361" s="101"/>
      <c r="BR361" s="101"/>
      <c r="BS361" s="101"/>
      <c r="BT361" s="104"/>
      <c r="BU361" s="104"/>
      <c r="BV361" s="104"/>
      <c r="BW361" s="104"/>
      <c r="BX361" s="104"/>
      <c r="BY361" s="104"/>
      <c r="BZ361" s="104"/>
      <c r="CA361" s="104"/>
      <c r="CB361" s="104"/>
      <c r="CC361" s="104"/>
      <c r="CD361" s="104"/>
      <c r="CE361" s="104"/>
      <c r="CF361" s="104"/>
      <c r="CG361" s="104"/>
      <c r="CH361" s="104"/>
      <c r="CI361" s="104"/>
      <c r="CJ361" s="104"/>
      <c r="CK361" s="104"/>
      <c r="CL361" s="104"/>
      <c r="CM361" s="104"/>
      <c r="CN361" s="104"/>
      <c r="CO361" s="104"/>
      <c r="CP361" s="98"/>
      <c r="CR361" s="101"/>
      <c r="CS361" s="101"/>
      <c r="CT361" s="101"/>
      <c r="CU361" s="101"/>
      <c r="CV361" s="101"/>
      <c r="FL361" s="103"/>
      <c r="FN361" s="103"/>
      <c r="FP361" s="103"/>
      <c r="FR361" s="103"/>
    </row>
    <row r="362" spans="2:174" x14ac:dyDescent="0.35">
      <c r="B362" s="97"/>
      <c r="G362" s="100"/>
      <c r="K362" s="98"/>
      <c r="L362" s="101"/>
      <c r="M362" s="101"/>
      <c r="N362" s="101"/>
      <c r="O362" s="101"/>
      <c r="P362" s="102"/>
      <c r="Q362" s="101"/>
      <c r="R362" s="98"/>
      <c r="S362" s="98"/>
      <c r="T362" s="98"/>
      <c r="U362" s="98"/>
      <c r="V362" s="98"/>
      <c r="W362" s="98"/>
      <c r="X362" s="98"/>
      <c r="Y362" s="98"/>
      <c r="Z362" s="103"/>
      <c r="AA362" s="103"/>
      <c r="AB362" s="103"/>
      <c r="AC362" s="103"/>
      <c r="AD362" s="103"/>
      <c r="AE362" s="103"/>
      <c r="AF362" s="103"/>
      <c r="AG362" s="101"/>
      <c r="AH362" s="101"/>
      <c r="AI362" s="101"/>
      <c r="AJ362" s="101"/>
      <c r="AK362" s="101"/>
      <c r="AL362" s="101"/>
      <c r="AM362" s="101"/>
      <c r="AN362" s="103"/>
      <c r="AO362" s="103"/>
      <c r="AP362" s="103"/>
      <c r="AQ362" s="103"/>
      <c r="AR362" s="103"/>
      <c r="AS362" s="103"/>
      <c r="AT362" s="103"/>
      <c r="AU362" s="101"/>
      <c r="AV362" s="101"/>
      <c r="AW362" s="101"/>
      <c r="AX362" s="101"/>
      <c r="AY362" s="101"/>
      <c r="AZ362" s="101"/>
      <c r="BA362" s="101"/>
      <c r="BB362" s="103"/>
      <c r="BC362" s="103"/>
      <c r="BD362" s="103"/>
      <c r="BE362" s="101"/>
      <c r="BF362" s="101"/>
      <c r="BG362" s="101"/>
      <c r="BH362" s="101"/>
      <c r="BI362" s="101"/>
      <c r="BM362" s="101"/>
      <c r="BN362" s="101"/>
      <c r="BO362" s="101"/>
      <c r="BP362" s="101"/>
      <c r="BQ362" s="101"/>
      <c r="BR362" s="101"/>
      <c r="BS362" s="101"/>
      <c r="BT362" s="104"/>
      <c r="BU362" s="104"/>
      <c r="BV362" s="104"/>
      <c r="BW362" s="104"/>
      <c r="BX362" s="104"/>
      <c r="BY362" s="104"/>
      <c r="BZ362" s="104"/>
      <c r="CA362" s="104"/>
      <c r="CB362" s="104"/>
      <c r="CC362" s="104"/>
      <c r="CD362" s="104"/>
      <c r="CE362" s="104"/>
      <c r="CF362" s="104"/>
      <c r="CG362" s="104"/>
      <c r="CH362" s="104"/>
      <c r="CI362" s="104"/>
      <c r="CJ362" s="104"/>
      <c r="CK362" s="104"/>
      <c r="CL362" s="104"/>
      <c r="CM362" s="104"/>
      <c r="CN362" s="104"/>
      <c r="CO362" s="104"/>
      <c r="CP362" s="98"/>
      <c r="CR362" s="101"/>
      <c r="CS362" s="101"/>
      <c r="CT362" s="101"/>
      <c r="CU362" s="101"/>
      <c r="CV362" s="101"/>
      <c r="FL362" s="103"/>
      <c r="FN362" s="103"/>
      <c r="FP362" s="103"/>
      <c r="FR362" s="103"/>
    </row>
    <row r="363" spans="2:174" x14ac:dyDescent="0.35">
      <c r="B363" s="97"/>
      <c r="G363" s="100"/>
      <c r="K363" s="98"/>
      <c r="L363" s="101"/>
      <c r="M363" s="101"/>
      <c r="N363" s="101"/>
      <c r="O363" s="101"/>
      <c r="P363" s="102"/>
      <c r="Q363" s="101"/>
      <c r="R363" s="98"/>
      <c r="S363" s="98"/>
      <c r="T363" s="98"/>
      <c r="U363" s="98"/>
      <c r="V363" s="98"/>
      <c r="W363" s="98"/>
      <c r="X363" s="98"/>
      <c r="Y363" s="98"/>
      <c r="Z363" s="103"/>
      <c r="AA363" s="103"/>
      <c r="AB363" s="103"/>
      <c r="AC363" s="103"/>
      <c r="AD363" s="103"/>
      <c r="AE363" s="103"/>
      <c r="AF363" s="103"/>
      <c r="AG363" s="101"/>
      <c r="AH363" s="101"/>
      <c r="AI363" s="101"/>
      <c r="AJ363" s="101"/>
      <c r="AK363" s="101"/>
      <c r="AL363" s="101"/>
      <c r="AM363" s="101"/>
      <c r="AN363" s="103"/>
      <c r="AO363" s="103"/>
      <c r="AP363" s="103"/>
      <c r="AQ363" s="103"/>
      <c r="AR363" s="103"/>
      <c r="AS363" s="103"/>
      <c r="AT363" s="103"/>
      <c r="AU363" s="101"/>
      <c r="AV363" s="101"/>
      <c r="AW363" s="101"/>
      <c r="AX363" s="101"/>
      <c r="AY363" s="101"/>
      <c r="AZ363" s="101"/>
      <c r="BA363" s="101"/>
      <c r="BB363" s="103"/>
      <c r="BC363" s="103"/>
      <c r="BD363" s="103"/>
      <c r="BE363" s="101"/>
      <c r="BF363" s="101"/>
      <c r="BG363" s="101"/>
      <c r="BH363" s="101"/>
      <c r="BI363" s="101"/>
      <c r="BM363" s="101"/>
      <c r="BN363" s="101"/>
      <c r="BO363" s="101"/>
      <c r="BP363" s="101"/>
      <c r="BQ363" s="101"/>
      <c r="BR363" s="101"/>
      <c r="BS363" s="101"/>
      <c r="BT363" s="104"/>
      <c r="BU363" s="104"/>
      <c r="BV363" s="104"/>
      <c r="BW363" s="104"/>
      <c r="BX363" s="104"/>
      <c r="BY363" s="104"/>
      <c r="BZ363" s="104"/>
      <c r="CA363" s="104"/>
      <c r="CB363" s="104"/>
      <c r="CC363" s="104"/>
      <c r="CD363" s="104"/>
      <c r="CE363" s="104"/>
      <c r="CF363" s="104"/>
      <c r="CG363" s="104"/>
      <c r="CH363" s="104"/>
      <c r="CI363" s="104"/>
      <c r="CJ363" s="104"/>
      <c r="CK363" s="104"/>
      <c r="CL363" s="104"/>
      <c r="CM363" s="104"/>
      <c r="CN363" s="104"/>
      <c r="CO363" s="104"/>
      <c r="CP363" s="98"/>
      <c r="CR363" s="101"/>
      <c r="CS363" s="101"/>
      <c r="CT363" s="101"/>
      <c r="CU363" s="101"/>
      <c r="CV363" s="101"/>
      <c r="FL363" s="103"/>
      <c r="FN363" s="103"/>
      <c r="FP363" s="103"/>
      <c r="FR363" s="103"/>
    </row>
    <row r="364" spans="2:174" x14ac:dyDescent="0.35">
      <c r="B364" s="97"/>
      <c r="G364" s="100"/>
      <c r="K364" s="98"/>
      <c r="L364" s="101"/>
      <c r="M364" s="101"/>
      <c r="N364" s="101"/>
      <c r="O364" s="101"/>
      <c r="P364" s="102"/>
      <c r="Q364" s="101"/>
      <c r="R364" s="98"/>
      <c r="S364" s="98"/>
      <c r="T364" s="98"/>
      <c r="U364" s="98"/>
      <c r="V364" s="98"/>
      <c r="W364" s="98"/>
      <c r="X364" s="98"/>
      <c r="Y364" s="98"/>
      <c r="Z364" s="103"/>
      <c r="AA364" s="103"/>
      <c r="AB364" s="103"/>
      <c r="AC364" s="103"/>
      <c r="AD364" s="103"/>
      <c r="AE364" s="103"/>
      <c r="AF364" s="103"/>
      <c r="AG364" s="101"/>
      <c r="AH364" s="101"/>
      <c r="AI364" s="101"/>
      <c r="AJ364" s="101"/>
      <c r="AK364" s="101"/>
      <c r="AL364" s="101"/>
      <c r="AM364" s="101"/>
      <c r="AN364" s="103"/>
      <c r="AO364" s="103"/>
      <c r="AP364" s="103"/>
      <c r="AQ364" s="103"/>
      <c r="AR364" s="103"/>
      <c r="AS364" s="103"/>
      <c r="AT364" s="103"/>
      <c r="AU364" s="101"/>
      <c r="AV364" s="101"/>
      <c r="AW364" s="101"/>
      <c r="AX364" s="101"/>
      <c r="AY364" s="101"/>
      <c r="AZ364" s="101"/>
      <c r="BA364" s="101"/>
      <c r="BB364" s="103"/>
      <c r="BC364" s="103"/>
      <c r="BD364" s="103"/>
      <c r="BE364" s="101"/>
      <c r="BF364" s="101"/>
      <c r="BG364" s="101"/>
      <c r="BH364" s="101"/>
      <c r="BI364" s="101"/>
      <c r="BM364" s="101"/>
      <c r="BN364" s="101"/>
      <c r="BO364" s="101"/>
      <c r="BP364" s="101"/>
      <c r="BQ364" s="101"/>
      <c r="BR364" s="101"/>
      <c r="BS364" s="101"/>
      <c r="BT364" s="104"/>
      <c r="BU364" s="104"/>
      <c r="BV364" s="104"/>
      <c r="BW364" s="104"/>
      <c r="BX364" s="104"/>
      <c r="BY364" s="104"/>
      <c r="BZ364" s="104"/>
      <c r="CA364" s="104"/>
      <c r="CB364" s="104"/>
      <c r="CC364" s="104"/>
      <c r="CD364" s="104"/>
      <c r="CE364" s="104"/>
      <c r="CF364" s="104"/>
      <c r="CG364" s="104"/>
      <c r="CH364" s="104"/>
      <c r="CI364" s="104"/>
      <c r="CJ364" s="104"/>
      <c r="CK364" s="104"/>
      <c r="CL364" s="104"/>
      <c r="CM364" s="104"/>
      <c r="CN364" s="104"/>
      <c r="CO364" s="104"/>
      <c r="CP364" s="98"/>
      <c r="CR364" s="101"/>
      <c r="CS364" s="101"/>
      <c r="CT364" s="101"/>
      <c r="CU364" s="101"/>
      <c r="CV364" s="101"/>
      <c r="FL364" s="103"/>
      <c r="FN364" s="103"/>
      <c r="FP364" s="103"/>
      <c r="FR364" s="103"/>
    </row>
    <row r="365" spans="2:174" x14ac:dyDescent="0.35">
      <c r="B365" s="97"/>
      <c r="G365" s="100"/>
      <c r="K365" s="98"/>
      <c r="L365" s="101"/>
      <c r="M365" s="101"/>
      <c r="N365" s="101"/>
      <c r="O365" s="101"/>
      <c r="P365" s="102"/>
      <c r="Q365" s="101"/>
      <c r="R365" s="98"/>
      <c r="S365" s="98"/>
      <c r="T365" s="98"/>
      <c r="U365" s="98"/>
      <c r="V365" s="98"/>
      <c r="W365" s="98"/>
      <c r="X365" s="98"/>
      <c r="Y365" s="98"/>
      <c r="Z365" s="103"/>
      <c r="AA365" s="103"/>
      <c r="AB365" s="103"/>
      <c r="AC365" s="103"/>
      <c r="AD365" s="103"/>
      <c r="AE365" s="103"/>
      <c r="AF365" s="103"/>
      <c r="AG365" s="101"/>
      <c r="AH365" s="101"/>
      <c r="AI365" s="101"/>
      <c r="AJ365" s="101"/>
      <c r="AK365" s="101"/>
      <c r="AL365" s="101"/>
      <c r="AM365" s="101"/>
      <c r="AN365" s="103"/>
      <c r="AO365" s="103"/>
      <c r="AP365" s="103"/>
      <c r="AQ365" s="103"/>
      <c r="AR365" s="103"/>
      <c r="AS365" s="103"/>
      <c r="AT365" s="103"/>
      <c r="AU365" s="101"/>
      <c r="AV365" s="101"/>
      <c r="AW365" s="101"/>
      <c r="AX365" s="101"/>
      <c r="AY365" s="101"/>
      <c r="AZ365" s="101"/>
      <c r="BA365" s="101"/>
      <c r="BB365" s="103"/>
      <c r="BC365" s="103"/>
      <c r="BD365" s="103"/>
      <c r="BE365" s="101"/>
      <c r="BF365" s="101"/>
      <c r="BG365" s="101"/>
      <c r="BH365" s="101"/>
      <c r="BI365" s="101"/>
      <c r="BM365" s="101"/>
      <c r="BN365" s="101"/>
      <c r="BO365" s="101"/>
      <c r="BP365" s="101"/>
      <c r="BQ365" s="101"/>
      <c r="BR365" s="101"/>
      <c r="BS365" s="101"/>
      <c r="BT365" s="104"/>
      <c r="BU365" s="104"/>
      <c r="BV365" s="104"/>
      <c r="BW365" s="104"/>
      <c r="BX365" s="104"/>
      <c r="BY365" s="104"/>
      <c r="BZ365" s="104"/>
      <c r="CA365" s="104"/>
      <c r="CB365" s="104"/>
      <c r="CC365" s="104"/>
      <c r="CD365" s="104"/>
      <c r="CE365" s="104"/>
      <c r="CF365" s="104"/>
      <c r="CG365" s="104"/>
      <c r="CH365" s="104"/>
      <c r="CI365" s="104"/>
      <c r="CJ365" s="104"/>
      <c r="CK365" s="104"/>
      <c r="CL365" s="104"/>
      <c r="CM365" s="104"/>
      <c r="CN365" s="104"/>
      <c r="CO365" s="104"/>
      <c r="CP365" s="98"/>
      <c r="CR365" s="101"/>
      <c r="CS365" s="101"/>
      <c r="CT365" s="101"/>
      <c r="CU365" s="101"/>
      <c r="CV365" s="101"/>
      <c r="FL365" s="103"/>
      <c r="FN365" s="103"/>
      <c r="FP365" s="103"/>
      <c r="FR365" s="103"/>
    </row>
    <row r="366" spans="2:174" x14ac:dyDescent="0.35">
      <c r="B366" s="97"/>
      <c r="G366" s="100"/>
      <c r="K366" s="98"/>
      <c r="L366" s="101"/>
      <c r="M366" s="101"/>
      <c r="N366" s="101"/>
      <c r="O366" s="101"/>
      <c r="P366" s="102"/>
      <c r="Q366" s="101"/>
      <c r="R366" s="98"/>
      <c r="S366" s="98"/>
      <c r="T366" s="98"/>
      <c r="U366" s="98"/>
      <c r="V366" s="98"/>
      <c r="W366" s="98"/>
      <c r="X366" s="98"/>
      <c r="Y366" s="98"/>
      <c r="Z366" s="103"/>
      <c r="AA366" s="103"/>
      <c r="AB366" s="103"/>
      <c r="AC366" s="103"/>
      <c r="AD366" s="103"/>
      <c r="AE366" s="103"/>
      <c r="AF366" s="103"/>
      <c r="AG366" s="101"/>
      <c r="AH366" s="101"/>
      <c r="AI366" s="101"/>
      <c r="AJ366" s="101"/>
      <c r="AK366" s="101"/>
      <c r="AL366" s="101"/>
      <c r="AM366" s="101"/>
      <c r="AN366" s="103"/>
      <c r="AO366" s="103"/>
      <c r="AP366" s="103"/>
      <c r="AQ366" s="103"/>
      <c r="AR366" s="103"/>
      <c r="AS366" s="103"/>
      <c r="AT366" s="103"/>
      <c r="AU366" s="101"/>
      <c r="AV366" s="101"/>
      <c r="AW366" s="101"/>
      <c r="AX366" s="101"/>
      <c r="AY366" s="101"/>
      <c r="AZ366" s="101"/>
      <c r="BA366" s="101"/>
      <c r="BB366" s="103"/>
      <c r="BC366" s="103"/>
      <c r="BD366" s="103"/>
      <c r="BE366" s="101"/>
      <c r="BF366" s="101"/>
      <c r="BG366" s="101"/>
      <c r="BH366" s="101"/>
      <c r="BI366" s="101"/>
      <c r="BM366" s="101"/>
      <c r="BN366" s="101"/>
      <c r="BO366" s="101"/>
      <c r="BP366" s="101"/>
      <c r="BQ366" s="101"/>
      <c r="BR366" s="101"/>
      <c r="BS366" s="101"/>
      <c r="BT366" s="104"/>
      <c r="BU366" s="104"/>
      <c r="BV366" s="104"/>
      <c r="BW366" s="104"/>
      <c r="BX366" s="104"/>
      <c r="BY366" s="104"/>
      <c r="BZ366" s="104"/>
      <c r="CA366" s="104"/>
      <c r="CB366" s="104"/>
      <c r="CC366" s="104"/>
      <c r="CD366" s="104"/>
      <c r="CE366" s="104"/>
      <c r="CF366" s="104"/>
      <c r="CG366" s="104"/>
      <c r="CH366" s="104"/>
      <c r="CI366" s="104"/>
      <c r="CJ366" s="104"/>
      <c r="CK366" s="104"/>
      <c r="CL366" s="104"/>
      <c r="CM366" s="104"/>
      <c r="CN366" s="104"/>
      <c r="CO366" s="104"/>
      <c r="CP366" s="98"/>
      <c r="CR366" s="101"/>
      <c r="CS366" s="101"/>
      <c r="CT366" s="101"/>
      <c r="CU366" s="101"/>
      <c r="CV366" s="101"/>
      <c r="FL366" s="103"/>
      <c r="FN366" s="103"/>
      <c r="FP366" s="103"/>
      <c r="FR366" s="103"/>
    </row>
    <row r="367" spans="2:174" x14ac:dyDescent="0.35">
      <c r="B367" s="97"/>
      <c r="G367" s="100"/>
      <c r="K367" s="98"/>
      <c r="L367" s="101"/>
      <c r="M367" s="101"/>
      <c r="N367" s="101"/>
      <c r="O367" s="101"/>
      <c r="P367" s="102"/>
      <c r="Q367" s="101"/>
      <c r="R367" s="98"/>
      <c r="S367" s="98"/>
      <c r="T367" s="98"/>
      <c r="U367" s="98"/>
      <c r="V367" s="98"/>
      <c r="W367" s="98"/>
      <c r="X367" s="98"/>
      <c r="Y367" s="98"/>
      <c r="Z367" s="103"/>
      <c r="AA367" s="103"/>
      <c r="AB367" s="103"/>
      <c r="AC367" s="103"/>
      <c r="AD367" s="103"/>
      <c r="AE367" s="103"/>
      <c r="AF367" s="103"/>
      <c r="AG367" s="101"/>
      <c r="AH367" s="101"/>
      <c r="AI367" s="101"/>
      <c r="AJ367" s="101"/>
      <c r="AK367" s="101"/>
      <c r="AL367" s="101"/>
      <c r="AM367" s="101"/>
      <c r="AN367" s="103"/>
      <c r="AO367" s="103"/>
      <c r="AP367" s="103"/>
      <c r="AQ367" s="103"/>
      <c r="AR367" s="103"/>
      <c r="AS367" s="103"/>
      <c r="AT367" s="103"/>
      <c r="AU367" s="101"/>
      <c r="AV367" s="101"/>
      <c r="AW367" s="101"/>
      <c r="AX367" s="101"/>
      <c r="AY367" s="101"/>
      <c r="AZ367" s="101"/>
      <c r="BA367" s="101"/>
      <c r="BB367" s="103"/>
      <c r="BC367" s="103"/>
      <c r="BD367" s="103"/>
      <c r="BE367" s="101"/>
      <c r="BF367" s="101"/>
      <c r="BG367" s="101"/>
      <c r="BH367" s="101"/>
      <c r="BI367" s="101"/>
      <c r="BM367" s="101"/>
      <c r="BN367" s="101"/>
      <c r="BO367" s="101"/>
      <c r="BP367" s="101"/>
      <c r="BQ367" s="101"/>
      <c r="BR367" s="101"/>
      <c r="BS367" s="101"/>
      <c r="BT367" s="104"/>
      <c r="BU367" s="104"/>
      <c r="BV367" s="104"/>
      <c r="BW367" s="104"/>
      <c r="BX367" s="104"/>
      <c r="BY367" s="104"/>
      <c r="BZ367" s="104"/>
      <c r="CA367" s="104"/>
      <c r="CB367" s="104"/>
      <c r="CC367" s="104"/>
      <c r="CD367" s="104"/>
      <c r="CE367" s="104"/>
      <c r="CF367" s="104"/>
      <c r="CG367" s="104"/>
      <c r="CH367" s="104"/>
      <c r="CI367" s="104"/>
      <c r="CJ367" s="104"/>
      <c r="CK367" s="104"/>
      <c r="CL367" s="104"/>
      <c r="CM367" s="104"/>
      <c r="CN367" s="104"/>
      <c r="CO367" s="104"/>
      <c r="CP367" s="98"/>
      <c r="CR367" s="101"/>
      <c r="CS367" s="101"/>
      <c r="CT367" s="101"/>
      <c r="CU367" s="101"/>
      <c r="CV367" s="101"/>
      <c r="FL367" s="103"/>
      <c r="FN367" s="103"/>
      <c r="FP367" s="103"/>
      <c r="FR367" s="103"/>
    </row>
    <row r="368" spans="2:174" x14ac:dyDescent="0.35">
      <c r="B368" s="97"/>
      <c r="G368" s="100"/>
      <c r="K368" s="98"/>
      <c r="L368" s="101"/>
      <c r="M368" s="101"/>
      <c r="N368" s="101"/>
      <c r="O368" s="101"/>
      <c r="P368" s="102"/>
      <c r="Q368" s="101"/>
      <c r="R368" s="98"/>
      <c r="S368" s="98"/>
      <c r="T368" s="98"/>
      <c r="U368" s="98"/>
      <c r="V368" s="98"/>
      <c r="W368" s="98"/>
      <c r="X368" s="98"/>
      <c r="Y368" s="98"/>
      <c r="Z368" s="103"/>
      <c r="AA368" s="103"/>
      <c r="AB368" s="103"/>
      <c r="AC368" s="103"/>
      <c r="AD368" s="103"/>
      <c r="AE368" s="103"/>
      <c r="AF368" s="103"/>
      <c r="AG368" s="101"/>
      <c r="AH368" s="101"/>
      <c r="AI368" s="101"/>
      <c r="AJ368" s="101"/>
      <c r="AK368" s="101"/>
      <c r="AL368" s="101"/>
      <c r="AM368" s="101"/>
      <c r="AN368" s="103"/>
      <c r="AO368" s="103"/>
      <c r="AP368" s="103"/>
      <c r="AQ368" s="103"/>
      <c r="AR368" s="103"/>
      <c r="AS368" s="103"/>
      <c r="AT368" s="103"/>
      <c r="AU368" s="101"/>
      <c r="AV368" s="101"/>
      <c r="AW368" s="101"/>
      <c r="AX368" s="101"/>
      <c r="AY368" s="101"/>
      <c r="AZ368" s="101"/>
      <c r="BA368" s="101"/>
      <c r="BB368" s="103"/>
      <c r="BC368" s="103"/>
      <c r="BD368" s="103"/>
      <c r="BE368" s="101"/>
      <c r="BF368" s="101"/>
      <c r="BG368" s="101"/>
      <c r="BH368" s="101"/>
      <c r="BI368" s="101"/>
      <c r="BM368" s="101"/>
      <c r="BN368" s="101"/>
      <c r="BO368" s="101"/>
      <c r="BP368" s="101"/>
      <c r="BQ368" s="101"/>
      <c r="BR368" s="101"/>
      <c r="BS368" s="101"/>
      <c r="BT368" s="104"/>
      <c r="BU368" s="104"/>
      <c r="BV368" s="104"/>
      <c r="BW368" s="104"/>
      <c r="BX368" s="104"/>
      <c r="BY368" s="104"/>
      <c r="BZ368" s="104"/>
      <c r="CA368" s="104"/>
      <c r="CB368" s="104"/>
      <c r="CC368" s="104"/>
      <c r="CD368" s="104"/>
      <c r="CE368" s="104"/>
      <c r="CF368" s="104"/>
      <c r="CG368" s="104"/>
      <c r="CH368" s="104"/>
      <c r="CI368" s="104"/>
      <c r="CJ368" s="104"/>
      <c r="CK368" s="104"/>
      <c r="CL368" s="104"/>
      <c r="CM368" s="104"/>
      <c r="CN368" s="104"/>
      <c r="CO368" s="104"/>
      <c r="CP368" s="98"/>
      <c r="CR368" s="101"/>
      <c r="CS368" s="101"/>
      <c r="CT368" s="101"/>
      <c r="CU368" s="101"/>
      <c r="CV368" s="101"/>
      <c r="FL368" s="103"/>
      <c r="FN368" s="103"/>
      <c r="FP368" s="103"/>
      <c r="FR368" s="103"/>
    </row>
    <row r="369" spans="2:174" x14ac:dyDescent="0.35">
      <c r="B369" s="97"/>
      <c r="G369" s="100"/>
      <c r="K369" s="98"/>
      <c r="L369" s="101"/>
      <c r="M369" s="101"/>
      <c r="N369" s="101"/>
      <c r="O369" s="101"/>
      <c r="P369" s="102"/>
      <c r="Q369" s="101"/>
      <c r="R369" s="98"/>
      <c r="S369" s="98"/>
      <c r="T369" s="98"/>
      <c r="U369" s="98"/>
      <c r="V369" s="98"/>
      <c r="W369" s="98"/>
      <c r="X369" s="98"/>
      <c r="Y369" s="98"/>
      <c r="Z369" s="103"/>
      <c r="AA369" s="103"/>
      <c r="AB369" s="103"/>
      <c r="AC369" s="103"/>
      <c r="AD369" s="103"/>
      <c r="AE369" s="103"/>
      <c r="AF369" s="103"/>
      <c r="AG369" s="101"/>
      <c r="AH369" s="101"/>
      <c r="AI369" s="101"/>
      <c r="AJ369" s="101"/>
      <c r="AK369" s="101"/>
      <c r="AL369" s="101"/>
      <c r="AM369" s="101"/>
      <c r="AN369" s="103"/>
      <c r="AO369" s="103"/>
      <c r="AP369" s="103"/>
      <c r="AQ369" s="103"/>
      <c r="AR369" s="103"/>
      <c r="AS369" s="103"/>
      <c r="AT369" s="103"/>
      <c r="AU369" s="101"/>
      <c r="AV369" s="101"/>
      <c r="AW369" s="101"/>
      <c r="AX369" s="101"/>
      <c r="AY369" s="101"/>
      <c r="AZ369" s="101"/>
      <c r="BA369" s="101"/>
      <c r="BB369" s="103"/>
      <c r="BC369" s="103"/>
      <c r="BD369" s="103"/>
      <c r="BE369" s="101"/>
      <c r="BF369" s="101"/>
      <c r="BG369" s="101"/>
      <c r="BH369" s="101"/>
      <c r="BI369" s="101"/>
      <c r="BM369" s="101"/>
      <c r="BN369" s="101"/>
      <c r="BO369" s="101"/>
      <c r="BP369" s="101"/>
      <c r="BQ369" s="101"/>
      <c r="BR369" s="101"/>
      <c r="BS369" s="101"/>
      <c r="BT369" s="104"/>
      <c r="BU369" s="104"/>
      <c r="BV369" s="104"/>
      <c r="BW369" s="104"/>
      <c r="BX369" s="104"/>
      <c r="BY369" s="104"/>
      <c r="BZ369" s="104"/>
      <c r="CA369" s="104"/>
      <c r="CB369" s="104"/>
      <c r="CC369" s="104"/>
      <c r="CD369" s="104"/>
      <c r="CE369" s="104"/>
      <c r="CF369" s="104"/>
      <c r="CG369" s="104"/>
      <c r="CH369" s="104"/>
      <c r="CI369" s="104"/>
      <c r="CJ369" s="104"/>
      <c r="CK369" s="104"/>
      <c r="CL369" s="104"/>
      <c r="CM369" s="104"/>
      <c r="CN369" s="104"/>
      <c r="CO369" s="104"/>
      <c r="CP369" s="98"/>
      <c r="CR369" s="101"/>
      <c r="CS369" s="101"/>
      <c r="CT369" s="101"/>
      <c r="CU369" s="101"/>
      <c r="CV369" s="101"/>
      <c r="FL369" s="103"/>
      <c r="FN369" s="103"/>
      <c r="FP369" s="103"/>
      <c r="FR369" s="103"/>
    </row>
    <row r="370" spans="2:174" x14ac:dyDescent="0.35">
      <c r="B370" s="97"/>
      <c r="G370" s="100"/>
      <c r="K370" s="98"/>
      <c r="L370" s="101"/>
      <c r="M370" s="101"/>
      <c r="N370" s="101"/>
      <c r="O370" s="101"/>
      <c r="P370" s="102"/>
      <c r="Q370" s="101"/>
      <c r="R370" s="98"/>
      <c r="S370" s="98"/>
      <c r="T370" s="98"/>
      <c r="U370" s="98"/>
      <c r="V370" s="98"/>
      <c r="W370" s="98"/>
      <c r="X370" s="98"/>
      <c r="Y370" s="98"/>
      <c r="Z370" s="103"/>
      <c r="AA370" s="103"/>
      <c r="AB370" s="103"/>
      <c r="AC370" s="103"/>
      <c r="AD370" s="103"/>
      <c r="AE370" s="103"/>
      <c r="AF370" s="103"/>
      <c r="AG370" s="101"/>
      <c r="AH370" s="101"/>
      <c r="AI370" s="101"/>
      <c r="AJ370" s="101"/>
      <c r="AK370" s="101"/>
      <c r="AL370" s="101"/>
      <c r="AM370" s="101"/>
      <c r="AN370" s="103"/>
      <c r="AO370" s="103"/>
      <c r="AP370" s="103"/>
      <c r="AQ370" s="103"/>
      <c r="AR370" s="103"/>
      <c r="AS370" s="103"/>
      <c r="AT370" s="103"/>
      <c r="AU370" s="101"/>
      <c r="AV370" s="101"/>
      <c r="AW370" s="101"/>
      <c r="AX370" s="101"/>
      <c r="AY370" s="101"/>
      <c r="AZ370" s="101"/>
      <c r="BA370" s="101"/>
      <c r="BB370" s="103"/>
      <c r="BC370" s="103"/>
      <c r="BD370" s="103"/>
      <c r="BE370" s="101"/>
      <c r="BF370" s="101"/>
      <c r="BG370" s="101"/>
      <c r="BH370" s="101"/>
      <c r="BI370" s="101"/>
      <c r="BM370" s="101"/>
      <c r="BN370" s="101"/>
      <c r="BO370" s="101"/>
      <c r="BP370" s="101"/>
      <c r="BQ370" s="101"/>
      <c r="BR370" s="101"/>
      <c r="BS370" s="101"/>
      <c r="BT370" s="104"/>
      <c r="BU370" s="104"/>
      <c r="BV370" s="104"/>
      <c r="BW370" s="104"/>
      <c r="BX370" s="104"/>
      <c r="BY370" s="104"/>
      <c r="BZ370" s="104"/>
      <c r="CA370" s="104"/>
      <c r="CB370" s="104"/>
      <c r="CC370" s="104"/>
      <c r="CD370" s="104"/>
      <c r="CE370" s="104"/>
      <c r="CF370" s="104"/>
      <c r="CG370" s="104"/>
      <c r="CH370" s="104"/>
      <c r="CI370" s="104"/>
      <c r="CJ370" s="104"/>
      <c r="CK370" s="104"/>
      <c r="CL370" s="104"/>
      <c r="CM370" s="104"/>
      <c r="CN370" s="104"/>
      <c r="CO370" s="104"/>
      <c r="CP370" s="98"/>
      <c r="CR370" s="101"/>
      <c r="CS370" s="101"/>
      <c r="CT370" s="101"/>
      <c r="CU370" s="101"/>
      <c r="CV370" s="101"/>
      <c r="FL370" s="103"/>
      <c r="FN370" s="103"/>
      <c r="FP370" s="103"/>
      <c r="FR370" s="103"/>
    </row>
    <row r="371" spans="2:174" x14ac:dyDescent="0.35">
      <c r="B371" s="97"/>
      <c r="G371" s="100"/>
      <c r="K371" s="98"/>
      <c r="L371" s="101"/>
      <c r="M371" s="101"/>
      <c r="N371" s="101"/>
      <c r="O371" s="101"/>
      <c r="P371" s="102"/>
      <c r="Q371" s="101"/>
      <c r="R371" s="98"/>
      <c r="S371" s="98"/>
      <c r="T371" s="98"/>
      <c r="U371" s="98"/>
      <c r="V371" s="98"/>
      <c r="W371" s="98"/>
      <c r="X371" s="98"/>
      <c r="Y371" s="98"/>
      <c r="Z371" s="103"/>
      <c r="AA371" s="103"/>
      <c r="AB371" s="103"/>
      <c r="AC371" s="103"/>
      <c r="AD371" s="103"/>
      <c r="AE371" s="103"/>
      <c r="AF371" s="103"/>
      <c r="AG371" s="101"/>
      <c r="AH371" s="101"/>
      <c r="AI371" s="101"/>
      <c r="AJ371" s="101"/>
      <c r="AK371" s="101"/>
      <c r="AL371" s="101"/>
      <c r="AM371" s="101"/>
      <c r="AN371" s="103"/>
      <c r="AO371" s="103"/>
      <c r="AP371" s="103"/>
      <c r="AQ371" s="103"/>
      <c r="AR371" s="103"/>
      <c r="AS371" s="103"/>
      <c r="AT371" s="103"/>
      <c r="AU371" s="101"/>
      <c r="AV371" s="101"/>
      <c r="AW371" s="101"/>
      <c r="AX371" s="101"/>
      <c r="AY371" s="101"/>
      <c r="AZ371" s="101"/>
      <c r="BA371" s="101"/>
      <c r="BB371" s="103"/>
      <c r="BC371" s="103"/>
      <c r="BD371" s="103"/>
      <c r="BE371" s="101"/>
      <c r="BF371" s="101"/>
      <c r="BG371" s="101"/>
      <c r="BH371" s="101"/>
      <c r="BI371" s="101"/>
      <c r="BM371" s="101"/>
      <c r="BN371" s="101"/>
      <c r="BO371" s="101"/>
      <c r="BP371" s="101"/>
      <c r="BQ371" s="101"/>
      <c r="BR371" s="101"/>
      <c r="BS371" s="101"/>
      <c r="BT371" s="104"/>
      <c r="BU371" s="104"/>
      <c r="BV371" s="104"/>
      <c r="BW371" s="104"/>
      <c r="BX371" s="104"/>
      <c r="BY371" s="104"/>
      <c r="BZ371" s="104"/>
      <c r="CA371" s="104"/>
      <c r="CB371" s="104"/>
      <c r="CC371" s="104"/>
      <c r="CD371" s="104"/>
      <c r="CE371" s="104"/>
      <c r="CF371" s="104"/>
      <c r="CG371" s="104"/>
      <c r="CH371" s="104"/>
      <c r="CI371" s="104"/>
      <c r="CJ371" s="104"/>
      <c r="CK371" s="104"/>
      <c r="CL371" s="104"/>
      <c r="CM371" s="104"/>
      <c r="CN371" s="104"/>
      <c r="CO371" s="104"/>
      <c r="CP371" s="98"/>
      <c r="CR371" s="101"/>
      <c r="CS371" s="101"/>
      <c r="CT371" s="101"/>
      <c r="CU371" s="101"/>
      <c r="CV371" s="101"/>
      <c r="FL371" s="103"/>
      <c r="FN371" s="103"/>
      <c r="FP371" s="103"/>
      <c r="FR371" s="103"/>
    </row>
    <row r="372" spans="2:174" x14ac:dyDescent="0.35">
      <c r="B372" s="97"/>
      <c r="G372" s="100"/>
      <c r="K372" s="98"/>
      <c r="L372" s="101"/>
      <c r="M372" s="101"/>
      <c r="N372" s="101"/>
      <c r="O372" s="101"/>
      <c r="P372" s="102"/>
      <c r="Q372" s="101"/>
      <c r="R372" s="98"/>
      <c r="S372" s="98"/>
      <c r="T372" s="98"/>
      <c r="U372" s="98"/>
      <c r="V372" s="98"/>
      <c r="W372" s="98"/>
      <c r="X372" s="98"/>
      <c r="Y372" s="98"/>
      <c r="Z372" s="103"/>
      <c r="AA372" s="103"/>
      <c r="AB372" s="103"/>
      <c r="AC372" s="103"/>
      <c r="AD372" s="103"/>
      <c r="AE372" s="103"/>
      <c r="AF372" s="103"/>
      <c r="AG372" s="101"/>
      <c r="AH372" s="101"/>
      <c r="AI372" s="101"/>
      <c r="AJ372" s="101"/>
      <c r="AK372" s="101"/>
      <c r="AL372" s="101"/>
      <c r="AM372" s="101"/>
      <c r="AN372" s="103"/>
      <c r="AO372" s="103"/>
      <c r="AP372" s="103"/>
      <c r="AQ372" s="103"/>
      <c r="AR372" s="103"/>
      <c r="AS372" s="103"/>
      <c r="AT372" s="103"/>
      <c r="AU372" s="101"/>
      <c r="AV372" s="101"/>
      <c r="AW372" s="101"/>
      <c r="AX372" s="101"/>
      <c r="AY372" s="101"/>
      <c r="AZ372" s="101"/>
      <c r="BA372" s="101"/>
      <c r="BB372" s="103"/>
      <c r="BC372" s="103"/>
      <c r="BD372" s="103"/>
      <c r="BE372" s="101"/>
      <c r="BF372" s="101"/>
      <c r="BG372" s="101"/>
      <c r="BH372" s="101"/>
      <c r="BI372" s="101"/>
      <c r="BM372" s="101"/>
      <c r="BN372" s="101"/>
      <c r="BO372" s="101"/>
      <c r="BP372" s="101"/>
      <c r="BQ372" s="101"/>
      <c r="BR372" s="101"/>
      <c r="BS372" s="101"/>
      <c r="BT372" s="104"/>
      <c r="BU372" s="104"/>
      <c r="BV372" s="104"/>
      <c r="BW372" s="104"/>
      <c r="BX372" s="104"/>
      <c r="BY372" s="104"/>
      <c r="BZ372" s="104"/>
      <c r="CA372" s="104"/>
      <c r="CB372" s="104"/>
      <c r="CC372" s="104"/>
      <c r="CD372" s="104"/>
      <c r="CE372" s="104"/>
      <c r="CF372" s="104"/>
      <c r="CG372" s="104"/>
      <c r="CH372" s="104"/>
      <c r="CI372" s="104"/>
      <c r="CJ372" s="104"/>
      <c r="CK372" s="104"/>
      <c r="CL372" s="104"/>
      <c r="CM372" s="104"/>
      <c r="CN372" s="104"/>
      <c r="CO372" s="104"/>
      <c r="CP372" s="98"/>
      <c r="CR372" s="101"/>
      <c r="CS372" s="101"/>
      <c r="CT372" s="101"/>
      <c r="CU372" s="101"/>
      <c r="CV372" s="101"/>
      <c r="FL372" s="103"/>
      <c r="FN372" s="103"/>
      <c r="FP372" s="103"/>
      <c r="FR372" s="103"/>
    </row>
    <row r="373" spans="2:174" x14ac:dyDescent="0.35">
      <c r="B373" s="97"/>
      <c r="G373" s="100"/>
      <c r="K373" s="98"/>
      <c r="L373" s="101"/>
      <c r="M373" s="101"/>
      <c r="N373" s="101"/>
      <c r="O373" s="101"/>
      <c r="P373" s="102"/>
      <c r="Q373" s="101"/>
      <c r="R373" s="98"/>
      <c r="S373" s="98"/>
      <c r="T373" s="98"/>
      <c r="U373" s="98"/>
      <c r="V373" s="98"/>
      <c r="W373" s="98"/>
      <c r="X373" s="98"/>
      <c r="Y373" s="98"/>
      <c r="Z373" s="103"/>
      <c r="AA373" s="103"/>
      <c r="AB373" s="103"/>
      <c r="AC373" s="103"/>
      <c r="AD373" s="103"/>
      <c r="AE373" s="103"/>
      <c r="AF373" s="103"/>
      <c r="AG373" s="101"/>
      <c r="AH373" s="101"/>
      <c r="AI373" s="101"/>
      <c r="AJ373" s="101"/>
      <c r="AK373" s="101"/>
      <c r="AL373" s="101"/>
      <c r="AM373" s="101"/>
      <c r="AN373" s="103"/>
      <c r="AO373" s="103"/>
      <c r="AP373" s="103"/>
      <c r="AQ373" s="103"/>
      <c r="AR373" s="103"/>
      <c r="AS373" s="103"/>
      <c r="AT373" s="103"/>
      <c r="AU373" s="101"/>
      <c r="AV373" s="101"/>
      <c r="AW373" s="101"/>
      <c r="AX373" s="101"/>
      <c r="AY373" s="101"/>
      <c r="AZ373" s="101"/>
      <c r="BA373" s="101"/>
      <c r="BB373" s="103"/>
      <c r="BC373" s="103"/>
      <c r="BD373" s="103"/>
      <c r="BE373" s="101"/>
      <c r="BF373" s="101"/>
      <c r="BG373" s="101"/>
      <c r="BH373" s="101"/>
      <c r="BI373" s="101"/>
      <c r="BM373" s="101"/>
      <c r="BN373" s="101"/>
      <c r="BO373" s="101"/>
      <c r="BP373" s="101"/>
      <c r="BQ373" s="101"/>
      <c r="BR373" s="101"/>
      <c r="BS373" s="101"/>
      <c r="BT373" s="104"/>
      <c r="BU373" s="104"/>
      <c r="BV373" s="104"/>
      <c r="BW373" s="104"/>
      <c r="BX373" s="104"/>
      <c r="BY373" s="104"/>
      <c r="BZ373" s="104"/>
      <c r="CA373" s="104"/>
      <c r="CB373" s="104"/>
      <c r="CC373" s="104"/>
      <c r="CD373" s="104"/>
      <c r="CE373" s="104"/>
      <c r="CF373" s="104"/>
      <c r="CG373" s="104"/>
      <c r="CH373" s="104"/>
      <c r="CI373" s="104"/>
      <c r="CJ373" s="104"/>
      <c r="CK373" s="104"/>
      <c r="CL373" s="104"/>
      <c r="CM373" s="104"/>
      <c r="CN373" s="104"/>
      <c r="CO373" s="104"/>
      <c r="CP373" s="98"/>
      <c r="CR373" s="101"/>
      <c r="CS373" s="101"/>
      <c r="CT373" s="101"/>
      <c r="CU373" s="101"/>
      <c r="CV373" s="101"/>
      <c r="FL373" s="103"/>
      <c r="FN373" s="103"/>
      <c r="FP373" s="103"/>
      <c r="FR373" s="103"/>
    </row>
    <row r="374" spans="2:174" x14ac:dyDescent="0.35">
      <c r="B374" s="97"/>
      <c r="G374" s="100"/>
      <c r="K374" s="98"/>
      <c r="L374" s="101"/>
      <c r="M374" s="101"/>
      <c r="N374" s="101"/>
      <c r="O374" s="101"/>
      <c r="P374" s="102"/>
      <c r="Q374" s="101"/>
      <c r="R374" s="98"/>
      <c r="S374" s="98"/>
      <c r="T374" s="98"/>
      <c r="U374" s="98"/>
      <c r="V374" s="98"/>
      <c r="W374" s="98"/>
      <c r="X374" s="98"/>
      <c r="Y374" s="98"/>
      <c r="Z374" s="103"/>
      <c r="AA374" s="103"/>
      <c r="AB374" s="103"/>
      <c r="AC374" s="103"/>
      <c r="AD374" s="103"/>
      <c r="AE374" s="103"/>
      <c r="AF374" s="103"/>
      <c r="AG374" s="101"/>
      <c r="AH374" s="101"/>
      <c r="AI374" s="101"/>
      <c r="AJ374" s="101"/>
      <c r="AK374" s="101"/>
      <c r="AL374" s="101"/>
      <c r="AM374" s="101"/>
      <c r="AN374" s="103"/>
      <c r="AO374" s="103"/>
      <c r="AP374" s="103"/>
      <c r="AQ374" s="103"/>
      <c r="AR374" s="103"/>
      <c r="AS374" s="103"/>
      <c r="AT374" s="103"/>
      <c r="AU374" s="101"/>
      <c r="AV374" s="101"/>
      <c r="AW374" s="101"/>
      <c r="AX374" s="101"/>
      <c r="AY374" s="101"/>
      <c r="AZ374" s="101"/>
      <c r="BA374" s="101"/>
      <c r="BB374" s="103"/>
      <c r="BC374" s="103"/>
      <c r="BD374" s="103"/>
      <c r="BE374" s="101"/>
      <c r="BF374" s="101"/>
      <c r="BG374" s="101"/>
      <c r="BH374" s="101"/>
      <c r="BI374" s="101"/>
      <c r="BM374" s="101"/>
      <c r="BN374" s="101"/>
      <c r="BO374" s="101"/>
      <c r="BP374" s="101"/>
      <c r="BQ374" s="101"/>
      <c r="BR374" s="101"/>
      <c r="BS374" s="101"/>
      <c r="BT374" s="104"/>
      <c r="BU374" s="104"/>
      <c r="BV374" s="104"/>
      <c r="BW374" s="104"/>
      <c r="BX374" s="104"/>
      <c r="BY374" s="104"/>
      <c r="BZ374" s="104"/>
      <c r="CA374" s="104"/>
      <c r="CB374" s="104"/>
      <c r="CC374" s="104"/>
      <c r="CD374" s="104"/>
      <c r="CE374" s="104"/>
      <c r="CF374" s="104"/>
      <c r="CG374" s="104"/>
      <c r="CH374" s="104"/>
      <c r="CI374" s="104"/>
      <c r="CJ374" s="104"/>
      <c r="CK374" s="104"/>
      <c r="CL374" s="104"/>
      <c r="CM374" s="104"/>
      <c r="CN374" s="104"/>
      <c r="CO374" s="104"/>
      <c r="CP374" s="98"/>
      <c r="CR374" s="101"/>
      <c r="CS374" s="101"/>
      <c r="CT374" s="101"/>
      <c r="CU374" s="101"/>
      <c r="CV374" s="101"/>
      <c r="FL374" s="103"/>
      <c r="FN374" s="103"/>
      <c r="FP374" s="103"/>
      <c r="FR374" s="103"/>
    </row>
    <row r="375" spans="2:174" x14ac:dyDescent="0.35">
      <c r="B375" s="97"/>
      <c r="G375" s="100"/>
      <c r="K375" s="98"/>
      <c r="L375" s="101"/>
      <c r="M375" s="101"/>
      <c r="N375" s="101"/>
      <c r="O375" s="101"/>
      <c r="P375" s="102"/>
      <c r="Q375" s="101"/>
      <c r="R375" s="98"/>
      <c r="S375" s="98"/>
      <c r="T375" s="98"/>
      <c r="U375" s="98"/>
      <c r="V375" s="98"/>
      <c r="W375" s="98"/>
      <c r="X375" s="98"/>
      <c r="Y375" s="98"/>
      <c r="Z375" s="103"/>
      <c r="AA375" s="103"/>
      <c r="AB375" s="103"/>
      <c r="AC375" s="103"/>
      <c r="AD375" s="103"/>
      <c r="AE375" s="103"/>
      <c r="AF375" s="103"/>
      <c r="AG375" s="101"/>
      <c r="AH375" s="101"/>
      <c r="AI375" s="101"/>
      <c r="AJ375" s="101"/>
      <c r="AK375" s="101"/>
      <c r="AL375" s="101"/>
      <c r="AM375" s="101"/>
      <c r="AN375" s="103"/>
      <c r="AO375" s="103"/>
      <c r="AP375" s="103"/>
      <c r="AQ375" s="103"/>
      <c r="AR375" s="103"/>
      <c r="AS375" s="103"/>
      <c r="AT375" s="103"/>
      <c r="AU375" s="101"/>
      <c r="AV375" s="101"/>
      <c r="AW375" s="101"/>
      <c r="AX375" s="101"/>
      <c r="AY375" s="101"/>
      <c r="AZ375" s="101"/>
      <c r="BA375" s="101"/>
      <c r="BB375" s="103"/>
      <c r="BC375" s="103"/>
      <c r="BD375" s="103"/>
      <c r="BE375" s="101"/>
      <c r="BF375" s="101"/>
      <c r="BG375" s="101"/>
      <c r="BH375" s="101"/>
      <c r="BI375" s="101"/>
      <c r="BM375" s="101"/>
      <c r="BN375" s="101"/>
      <c r="BO375" s="101"/>
      <c r="BP375" s="101"/>
      <c r="BQ375" s="101"/>
      <c r="BR375" s="101"/>
      <c r="BS375" s="101"/>
      <c r="BT375" s="104"/>
      <c r="BU375" s="104"/>
      <c r="BV375" s="104"/>
      <c r="BW375" s="104"/>
      <c r="BX375" s="104"/>
      <c r="BY375" s="104"/>
      <c r="BZ375" s="104"/>
      <c r="CA375" s="104"/>
      <c r="CB375" s="104"/>
      <c r="CC375" s="104"/>
      <c r="CD375" s="104"/>
      <c r="CE375" s="104"/>
      <c r="CF375" s="104"/>
      <c r="CG375" s="104"/>
      <c r="CH375" s="104"/>
      <c r="CI375" s="104"/>
      <c r="CJ375" s="104"/>
      <c r="CK375" s="104"/>
      <c r="CL375" s="104"/>
      <c r="CM375" s="104"/>
      <c r="CN375" s="104"/>
      <c r="CO375" s="104"/>
      <c r="CP375" s="98"/>
      <c r="CR375" s="101"/>
      <c r="CS375" s="101"/>
      <c r="CT375" s="101"/>
      <c r="CU375" s="101"/>
      <c r="CV375" s="101"/>
      <c r="FL375" s="103"/>
      <c r="FN375" s="103"/>
      <c r="FP375" s="103"/>
      <c r="FR375" s="103"/>
    </row>
    <row r="376" spans="2:174" x14ac:dyDescent="0.35">
      <c r="B376" s="97"/>
      <c r="G376" s="100"/>
      <c r="K376" s="98"/>
      <c r="L376" s="101"/>
      <c r="M376" s="101"/>
      <c r="N376" s="101"/>
      <c r="O376" s="101"/>
      <c r="P376" s="102"/>
      <c r="Q376" s="101"/>
      <c r="R376" s="98"/>
      <c r="S376" s="98"/>
      <c r="T376" s="98"/>
      <c r="U376" s="98"/>
      <c r="V376" s="98"/>
      <c r="W376" s="98"/>
      <c r="X376" s="98"/>
      <c r="Y376" s="98"/>
      <c r="Z376" s="103"/>
      <c r="AA376" s="103"/>
      <c r="AB376" s="103"/>
      <c r="AC376" s="103"/>
      <c r="AD376" s="103"/>
      <c r="AE376" s="103"/>
      <c r="AF376" s="103"/>
      <c r="AG376" s="101"/>
      <c r="AH376" s="101"/>
      <c r="AI376" s="101"/>
      <c r="AJ376" s="101"/>
      <c r="AK376" s="101"/>
      <c r="AL376" s="101"/>
      <c r="AM376" s="101"/>
      <c r="AN376" s="103"/>
      <c r="AO376" s="103"/>
      <c r="AP376" s="103"/>
      <c r="AQ376" s="103"/>
      <c r="AR376" s="103"/>
      <c r="AS376" s="103"/>
      <c r="AT376" s="103"/>
      <c r="AU376" s="101"/>
      <c r="AV376" s="101"/>
      <c r="AW376" s="101"/>
      <c r="AX376" s="101"/>
      <c r="AY376" s="101"/>
      <c r="AZ376" s="101"/>
      <c r="BA376" s="101"/>
      <c r="BB376" s="103"/>
      <c r="BC376" s="103"/>
      <c r="BD376" s="103"/>
      <c r="BE376" s="101"/>
      <c r="BF376" s="101"/>
      <c r="BG376" s="101"/>
      <c r="BH376" s="101"/>
      <c r="BI376" s="101"/>
      <c r="BM376" s="101"/>
      <c r="BN376" s="101"/>
      <c r="BO376" s="101"/>
      <c r="BP376" s="101"/>
      <c r="BQ376" s="101"/>
      <c r="BR376" s="101"/>
      <c r="BS376" s="101"/>
      <c r="BT376" s="104"/>
      <c r="BU376" s="104"/>
      <c r="BV376" s="104"/>
      <c r="BW376" s="104"/>
      <c r="BX376" s="104"/>
      <c r="BY376" s="104"/>
      <c r="BZ376" s="104"/>
      <c r="CA376" s="104"/>
      <c r="CB376" s="104"/>
      <c r="CC376" s="104"/>
      <c r="CD376" s="104"/>
      <c r="CE376" s="104"/>
      <c r="CF376" s="104"/>
      <c r="CG376" s="104"/>
      <c r="CH376" s="104"/>
      <c r="CI376" s="104"/>
      <c r="CJ376" s="104"/>
      <c r="CK376" s="104"/>
      <c r="CL376" s="104"/>
      <c r="CM376" s="104"/>
      <c r="CN376" s="104"/>
      <c r="CO376" s="104"/>
      <c r="CP376" s="98"/>
      <c r="CR376" s="101"/>
      <c r="CS376" s="101"/>
      <c r="CT376" s="101"/>
      <c r="CU376" s="101"/>
      <c r="CV376" s="101"/>
      <c r="FL376" s="103"/>
      <c r="FN376" s="103"/>
      <c r="FP376" s="103"/>
      <c r="FR376" s="103"/>
    </row>
    <row r="377" spans="2:174" x14ac:dyDescent="0.35">
      <c r="B377" s="97"/>
      <c r="G377" s="100"/>
      <c r="K377" s="98"/>
      <c r="L377" s="101"/>
      <c r="M377" s="101"/>
      <c r="N377" s="101"/>
      <c r="O377" s="101"/>
      <c r="P377" s="102"/>
      <c r="Q377" s="101"/>
      <c r="R377" s="98"/>
      <c r="S377" s="98"/>
      <c r="T377" s="98"/>
      <c r="U377" s="98"/>
      <c r="V377" s="98"/>
      <c r="W377" s="98"/>
      <c r="X377" s="98"/>
      <c r="Y377" s="98"/>
      <c r="Z377" s="103"/>
      <c r="AA377" s="103"/>
      <c r="AB377" s="103"/>
      <c r="AC377" s="103"/>
      <c r="AD377" s="103"/>
      <c r="AE377" s="103"/>
      <c r="AF377" s="103"/>
      <c r="AG377" s="101"/>
      <c r="AH377" s="101"/>
      <c r="AI377" s="101"/>
      <c r="AJ377" s="101"/>
      <c r="AK377" s="101"/>
      <c r="AL377" s="101"/>
      <c r="AM377" s="101"/>
      <c r="AN377" s="103"/>
      <c r="AO377" s="103"/>
      <c r="AP377" s="103"/>
      <c r="AQ377" s="103"/>
      <c r="AR377" s="103"/>
      <c r="AS377" s="103"/>
      <c r="AT377" s="103"/>
      <c r="AU377" s="101"/>
      <c r="AV377" s="101"/>
      <c r="AW377" s="101"/>
      <c r="AX377" s="101"/>
      <c r="AY377" s="101"/>
      <c r="AZ377" s="101"/>
      <c r="BA377" s="101"/>
      <c r="BB377" s="103"/>
      <c r="BC377" s="103"/>
      <c r="BD377" s="103"/>
      <c r="BE377" s="101"/>
      <c r="BF377" s="101"/>
      <c r="BG377" s="101"/>
      <c r="BH377" s="101"/>
      <c r="BI377" s="101"/>
      <c r="BM377" s="101"/>
      <c r="BN377" s="101"/>
      <c r="BO377" s="101"/>
      <c r="BP377" s="101"/>
      <c r="BQ377" s="101"/>
      <c r="BR377" s="101"/>
      <c r="BS377" s="101"/>
      <c r="BT377" s="104"/>
      <c r="BU377" s="104"/>
      <c r="BV377" s="104"/>
      <c r="BW377" s="104"/>
      <c r="BX377" s="104"/>
      <c r="BY377" s="104"/>
      <c r="BZ377" s="104"/>
      <c r="CA377" s="104"/>
      <c r="CB377" s="104"/>
      <c r="CC377" s="104"/>
      <c r="CD377" s="104"/>
      <c r="CE377" s="104"/>
      <c r="CF377" s="104"/>
      <c r="CG377" s="104"/>
      <c r="CH377" s="104"/>
      <c r="CI377" s="104"/>
      <c r="CJ377" s="104"/>
      <c r="CK377" s="104"/>
      <c r="CL377" s="104"/>
      <c r="CM377" s="104"/>
      <c r="CN377" s="104"/>
      <c r="CO377" s="104"/>
      <c r="CP377" s="98"/>
      <c r="CR377" s="101"/>
      <c r="CS377" s="101"/>
      <c r="CT377" s="101"/>
      <c r="CU377" s="101"/>
      <c r="CV377" s="101"/>
      <c r="FL377" s="103"/>
      <c r="FN377" s="103"/>
      <c r="FP377" s="103"/>
      <c r="FR377" s="103"/>
    </row>
    <row r="378" spans="2:174" x14ac:dyDescent="0.35">
      <c r="B378" s="97"/>
      <c r="G378" s="100"/>
      <c r="K378" s="98"/>
      <c r="L378" s="101"/>
      <c r="M378" s="101"/>
      <c r="N378" s="101"/>
      <c r="O378" s="101"/>
      <c r="P378" s="102"/>
      <c r="Q378" s="101"/>
      <c r="R378" s="98"/>
      <c r="S378" s="98"/>
      <c r="T378" s="98"/>
      <c r="U378" s="98"/>
      <c r="V378" s="98"/>
      <c r="W378" s="98"/>
      <c r="X378" s="98"/>
      <c r="Y378" s="98"/>
      <c r="Z378" s="103"/>
      <c r="AA378" s="103"/>
      <c r="AB378" s="103"/>
      <c r="AC378" s="103"/>
      <c r="AD378" s="103"/>
      <c r="AE378" s="103"/>
      <c r="AF378" s="103"/>
      <c r="AG378" s="101"/>
      <c r="AH378" s="101"/>
      <c r="AI378" s="101"/>
      <c r="AJ378" s="101"/>
      <c r="AK378" s="101"/>
      <c r="AL378" s="101"/>
      <c r="AM378" s="101"/>
      <c r="AN378" s="103"/>
      <c r="AO378" s="103"/>
      <c r="AP378" s="103"/>
      <c r="AQ378" s="103"/>
      <c r="AR378" s="103"/>
      <c r="AS378" s="103"/>
      <c r="AT378" s="103"/>
      <c r="AU378" s="101"/>
      <c r="AV378" s="101"/>
      <c r="AW378" s="101"/>
      <c r="AX378" s="101"/>
      <c r="AY378" s="101"/>
      <c r="AZ378" s="101"/>
      <c r="BA378" s="101"/>
      <c r="BB378" s="103"/>
      <c r="BC378" s="103"/>
      <c r="BD378" s="103"/>
      <c r="BE378" s="101"/>
      <c r="BF378" s="101"/>
      <c r="BG378" s="101"/>
      <c r="BH378" s="101"/>
      <c r="BI378" s="101"/>
      <c r="BM378" s="101"/>
      <c r="BN378" s="101"/>
      <c r="BO378" s="101"/>
      <c r="BP378" s="101"/>
      <c r="BQ378" s="101"/>
      <c r="BR378" s="101"/>
      <c r="BS378" s="101"/>
      <c r="BT378" s="104"/>
      <c r="BU378" s="104"/>
      <c r="BV378" s="104"/>
      <c r="BW378" s="104"/>
      <c r="BX378" s="104"/>
      <c r="BY378" s="104"/>
      <c r="BZ378" s="104"/>
      <c r="CA378" s="104"/>
      <c r="CB378" s="104"/>
      <c r="CC378" s="104"/>
      <c r="CD378" s="104"/>
      <c r="CE378" s="104"/>
      <c r="CF378" s="104"/>
      <c r="CG378" s="104"/>
      <c r="CH378" s="104"/>
      <c r="CI378" s="104"/>
      <c r="CJ378" s="104"/>
      <c r="CK378" s="104"/>
      <c r="CL378" s="104"/>
      <c r="CM378" s="104"/>
      <c r="CN378" s="104"/>
      <c r="CO378" s="104"/>
      <c r="CP378" s="98"/>
      <c r="CR378" s="101"/>
      <c r="CS378" s="101"/>
      <c r="CT378" s="101"/>
      <c r="CU378" s="101"/>
      <c r="CV378" s="101"/>
      <c r="FL378" s="103"/>
      <c r="FN378" s="103"/>
      <c r="FP378" s="103"/>
      <c r="FR378" s="103"/>
    </row>
    <row r="379" spans="2:174" x14ac:dyDescent="0.35">
      <c r="B379" s="97"/>
      <c r="G379" s="100"/>
      <c r="K379" s="98"/>
      <c r="L379" s="101"/>
      <c r="M379" s="101"/>
      <c r="N379" s="101"/>
      <c r="O379" s="101"/>
      <c r="P379" s="102"/>
      <c r="Q379" s="101"/>
      <c r="R379" s="98"/>
      <c r="S379" s="98"/>
      <c r="T379" s="98"/>
      <c r="U379" s="98"/>
      <c r="V379" s="98"/>
      <c r="W379" s="98"/>
      <c r="X379" s="98"/>
      <c r="Y379" s="98"/>
      <c r="Z379" s="103"/>
      <c r="AA379" s="103"/>
      <c r="AB379" s="103"/>
      <c r="AC379" s="103"/>
      <c r="AD379" s="103"/>
      <c r="AE379" s="103"/>
      <c r="AF379" s="103"/>
      <c r="AG379" s="101"/>
      <c r="AH379" s="101"/>
      <c r="AI379" s="101"/>
      <c r="AJ379" s="101"/>
      <c r="AK379" s="101"/>
      <c r="AL379" s="101"/>
      <c r="AM379" s="101"/>
      <c r="AN379" s="103"/>
      <c r="AO379" s="103"/>
      <c r="AP379" s="103"/>
      <c r="AQ379" s="103"/>
      <c r="AR379" s="103"/>
      <c r="AS379" s="103"/>
      <c r="AT379" s="103"/>
      <c r="AU379" s="101"/>
      <c r="AV379" s="101"/>
      <c r="AW379" s="101"/>
      <c r="AX379" s="101"/>
      <c r="AY379" s="101"/>
      <c r="AZ379" s="101"/>
      <c r="BA379" s="101"/>
      <c r="BB379" s="103"/>
      <c r="BC379" s="103"/>
      <c r="BD379" s="103"/>
      <c r="BE379" s="101"/>
      <c r="BF379" s="101"/>
      <c r="BG379" s="101"/>
      <c r="BH379" s="101"/>
      <c r="BI379" s="101"/>
      <c r="BM379" s="101"/>
      <c r="BN379" s="101"/>
      <c r="BO379" s="101"/>
      <c r="BP379" s="101"/>
      <c r="BQ379" s="101"/>
      <c r="BR379" s="101"/>
      <c r="BS379" s="101"/>
      <c r="BT379" s="104"/>
      <c r="BU379" s="104"/>
      <c r="BV379" s="104"/>
      <c r="BW379" s="104"/>
      <c r="BX379" s="104"/>
      <c r="BY379" s="104"/>
      <c r="BZ379" s="104"/>
      <c r="CA379" s="104"/>
      <c r="CB379" s="104"/>
      <c r="CC379" s="104"/>
      <c r="CD379" s="104"/>
      <c r="CE379" s="104"/>
      <c r="CF379" s="104"/>
      <c r="CG379" s="104"/>
      <c r="CH379" s="104"/>
      <c r="CI379" s="104"/>
      <c r="CJ379" s="104"/>
      <c r="CK379" s="104"/>
      <c r="CL379" s="104"/>
      <c r="CM379" s="104"/>
      <c r="CN379" s="104"/>
      <c r="CO379" s="104"/>
      <c r="CP379" s="98"/>
      <c r="CR379" s="101"/>
      <c r="CS379" s="101"/>
      <c r="CT379" s="101"/>
      <c r="CU379" s="101"/>
      <c r="CV379" s="101"/>
      <c r="FL379" s="103"/>
      <c r="FN379" s="103"/>
      <c r="FP379" s="103"/>
      <c r="FR379" s="103"/>
    </row>
    <row r="380" spans="2:174" x14ac:dyDescent="0.35">
      <c r="B380" s="97"/>
      <c r="G380" s="100"/>
      <c r="K380" s="98"/>
      <c r="L380" s="101"/>
      <c r="M380" s="101"/>
      <c r="N380" s="101"/>
      <c r="O380" s="101"/>
      <c r="P380" s="102"/>
      <c r="Q380" s="101"/>
      <c r="R380" s="98"/>
      <c r="S380" s="98"/>
      <c r="T380" s="98"/>
      <c r="U380" s="98"/>
      <c r="V380" s="98"/>
      <c r="W380" s="98"/>
      <c r="X380" s="98"/>
      <c r="Y380" s="98"/>
      <c r="Z380" s="103"/>
      <c r="AA380" s="103"/>
      <c r="AB380" s="103"/>
      <c r="AC380" s="103"/>
      <c r="AD380" s="103"/>
      <c r="AE380" s="103"/>
      <c r="AF380" s="103"/>
      <c r="AG380" s="101"/>
      <c r="AH380" s="101"/>
      <c r="AI380" s="101"/>
      <c r="AJ380" s="101"/>
      <c r="AK380" s="101"/>
      <c r="AL380" s="101"/>
      <c r="AM380" s="101"/>
      <c r="AN380" s="103"/>
      <c r="AO380" s="103"/>
      <c r="AP380" s="103"/>
      <c r="AQ380" s="103"/>
      <c r="AR380" s="103"/>
      <c r="AS380" s="103"/>
      <c r="AT380" s="103"/>
      <c r="AU380" s="101"/>
      <c r="AV380" s="101"/>
      <c r="AW380" s="101"/>
      <c r="AX380" s="101"/>
      <c r="AY380" s="101"/>
      <c r="AZ380" s="101"/>
      <c r="BA380" s="101"/>
      <c r="BB380" s="103"/>
      <c r="BC380" s="103"/>
      <c r="BD380" s="103"/>
      <c r="BE380" s="101"/>
      <c r="BF380" s="101"/>
      <c r="BG380" s="101"/>
      <c r="BH380" s="101"/>
      <c r="BI380" s="101"/>
      <c r="BM380" s="101"/>
      <c r="BN380" s="101"/>
      <c r="BO380" s="101"/>
      <c r="BP380" s="101"/>
      <c r="BQ380" s="101"/>
      <c r="BR380" s="101"/>
      <c r="BS380" s="101"/>
      <c r="BT380" s="104"/>
      <c r="BU380" s="104"/>
      <c r="BV380" s="104"/>
      <c r="BW380" s="104"/>
      <c r="BX380" s="104"/>
      <c r="BY380" s="104"/>
      <c r="BZ380" s="104"/>
      <c r="CA380" s="104"/>
      <c r="CB380" s="104"/>
      <c r="CC380" s="104"/>
      <c r="CD380" s="104"/>
      <c r="CE380" s="104"/>
      <c r="CF380" s="104"/>
      <c r="CG380" s="104"/>
      <c r="CH380" s="104"/>
      <c r="CI380" s="104"/>
      <c r="CJ380" s="104"/>
      <c r="CK380" s="104"/>
      <c r="CL380" s="104"/>
      <c r="CM380" s="104"/>
      <c r="CN380" s="104"/>
      <c r="CO380" s="104"/>
      <c r="CP380" s="98"/>
      <c r="CR380" s="101"/>
      <c r="CS380" s="101"/>
      <c r="CT380" s="101"/>
      <c r="CU380" s="101"/>
      <c r="CV380" s="101"/>
      <c r="FL380" s="103"/>
      <c r="FN380" s="103"/>
      <c r="FP380" s="103"/>
      <c r="FR380" s="103"/>
    </row>
    <row r="381" spans="2:174" x14ac:dyDescent="0.35">
      <c r="B381" s="97"/>
      <c r="G381" s="100"/>
      <c r="K381" s="98"/>
      <c r="L381" s="101"/>
      <c r="M381" s="101"/>
      <c r="N381" s="101"/>
      <c r="O381" s="101"/>
      <c r="P381" s="102"/>
      <c r="Q381" s="101"/>
      <c r="R381" s="98"/>
      <c r="S381" s="98"/>
      <c r="T381" s="98"/>
      <c r="U381" s="98"/>
      <c r="V381" s="98"/>
      <c r="W381" s="98"/>
      <c r="X381" s="98"/>
      <c r="Y381" s="98"/>
      <c r="Z381" s="103"/>
      <c r="AA381" s="103"/>
      <c r="AB381" s="103"/>
      <c r="AC381" s="103"/>
      <c r="AD381" s="103"/>
      <c r="AE381" s="103"/>
      <c r="AF381" s="103"/>
      <c r="AG381" s="101"/>
      <c r="AH381" s="101"/>
      <c r="AI381" s="101"/>
      <c r="AJ381" s="101"/>
      <c r="AK381" s="101"/>
      <c r="AL381" s="101"/>
      <c r="AM381" s="101"/>
      <c r="AN381" s="103"/>
      <c r="AO381" s="103"/>
      <c r="AP381" s="103"/>
      <c r="AQ381" s="103"/>
      <c r="AR381" s="103"/>
      <c r="AS381" s="103"/>
      <c r="AT381" s="103"/>
      <c r="AU381" s="101"/>
      <c r="AV381" s="101"/>
      <c r="AW381" s="101"/>
      <c r="AX381" s="101"/>
      <c r="AY381" s="101"/>
      <c r="AZ381" s="101"/>
      <c r="BA381" s="101"/>
      <c r="BB381" s="103"/>
      <c r="BC381" s="103"/>
      <c r="BD381" s="103"/>
      <c r="BE381" s="101"/>
      <c r="BF381" s="101"/>
      <c r="BG381" s="101"/>
      <c r="BH381" s="101"/>
      <c r="BI381" s="101"/>
      <c r="BM381" s="101"/>
      <c r="BN381" s="101"/>
      <c r="BO381" s="101"/>
      <c r="BP381" s="101"/>
      <c r="BQ381" s="101"/>
      <c r="BR381" s="101"/>
      <c r="BS381" s="101"/>
      <c r="BT381" s="104"/>
      <c r="BU381" s="104"/>
      <c r="BV381" s="104"/>
      <c r="BW381" s="104"/>
      <c r="BX381" s="104"/>
      <c r="BY381" s="104"/>
      <c r="BZ381" s="104"/>
      <c r="CA381" s="104"/>
      <c r="CB381" s="104"/>
      <c r="CC381" s="104"/>
      <c r="CD381" s="104"/>
      <c r="CE381" s="104"/>
      <c r="CF381" s="104"/>
      <c r="CG381" s="104"/>
      <c r="CH381" s="104"/>
      <c r="CI381" s="104"/>
      <c r="CJ381" s="104"/>
      <c r="CK381" s="104"/>
      <c r="CL381" s="104"/>
      <c r="CM381" s="104"/>
      <c r="CN381" s="104"/>
      <c r="CO381" s="104"/>
      <c r="CP381" s="98"/>
      <c r="CR381" s="101"/>
      <c r="CS381" s="101"/>
      <c r="CT381" s="101"/>
      <c r="CU381" s="101"/>
      <c r="CV381" s="101"/>
      <c r="FL381" s="103"/>
      <c r="FN381" s="103"/>
      <c r="FP381" s="103"/>
      <c r="FR381" s="103"/>
    </row>
    <row r="382" spans="2:174" x14ac:dyDescent="0.35">
      <c r="B382" s="97"/>
      <c r="G382" s="100"/>
      <c r="K382" s="98"/>
      <c r="L382" s="101"/>
      <c r="M382" s="101"/>
      <c r="N382" s="101"/>
      <c r="O382" s="101"/>
      <c r="P382" s="102"/>
      <c r="Q382" s="101"/>
      <c r="R382" s="98"/>
      <c r="S382" s="98"/>
      <c r="T382" s="98"/>
      <c r="U382" s="98"/>
      <c r="V382" s="98"/>
      <c r="W382" s="98"/>
      <c r="X382" s="98"/>
      <c r="Y382" s="98"/>
      <c r="Z382" s="103"/>
      <c r="AA382" s="103"/>
      <c r="AB382" s="103"/>
      <c r="AC382" s="103"/>
      <c r="AD382" s="103"/>
      <c r="AE382" s="103"/>
      <c r="AF382" s="103"/>
      <c r="AG382" s="101"/>
      <c r="AH382" s="101"/>
      <c r="AI382" s="101"/>
      <c r="AJ382" s="101"/>
      <c r="AK382" s="101"/>
      <c r="AL382" s="101"/>
      <c r="AM382" s="101"/>
      <c r="AN382" s="103"/>
      <c r="AO382" s="103"/>
      <c r="AP382" s="103"/>
      <c r="AQ382" s="103"/>
      <c r="AR382" s="103"/>
      <c r="AS382" s="103"/>
      <c r="AT382" s="103"/>
      <c r="AU382" s="101"/>
      <c r="AV382" s="101"/>
      <c r="AW382" s="101"/>
      <c r="AX382" s="101"/>
      <c r="AY382" s="101"/>
      <c r="AZ382" s="101"/>
      <c r="BA382" s="101"/>
      <c r="BB382" s="103"/>
      <c r="BC382" s="103"/>
      <c r="BD382" s="103"/>
      <c r="BE382" s="101"/>
      <c r="BF382" s="101"/>
      <c r="BG382" s="101"/>
      <c r="BH382" s="101"/>
      <c r="BI382" s="101"/>
      <c r="BM382" s="101"/>
      <c r="BN382" s="101"/>
      <c r="BO382" s="101"/>
      <c r="BP382" s="101"/>
      <c r="BQ382" s="101"/>
      <c r="BR382" s="101"/>
      <c r="BS382" s="101"/>
      <c r="BT382" s="104"/>
      <c r="BU382" s="104"/>
      <c r="BV382" s="104"/>
      <c r="BW382" s="104"/>
      <c r="BX382" s="104"/>
      <c r="BY382" s="104"/>
      <c r="BZ382" s="104"/>
      <c r="CA382" s="104"/>
      <c r="CB382" s="104"/>
      <c r="CC382" s="104"/>
      <c r="CD382" s="104"/>
      <c r="CE382" s="104"/>
      <c r="CF382" s="104"/>
      <c r="CG382" s="104"/>
      <c r="CH382" s="104"/>
      <c r="CI382" s="104"/>
      <c r="CJ382" s="104"/>
      <c r="CK382" s="104"/>
      <c r="CL382" s="104"/>
      <c r="CM382" s="104"/>
      <c r="CN382" s="104"/>
      <c r="CO382" s="104"/>
      <c r="CP382" s="98"/>
      <c r="CR382" s="101"/>
      <c r="CS382" s="101"/>
      <c r="CT382" s="101"/>
      <c r="CU382" s="101"/>
      <c r="CV382" s="101"/>
      <c r="FL382" s="103"/>
      <c r="FN382" s="103"/>
      <c r="FP382" s="103"/>
      <c r="FR382" s="103"/>
    </row>
    <row r="383" spans="2:174" x14ac:dyDescent="0.35">
      <c r="B383" s="97"/>
      <c r="G383" s="100"/>
      <c r="K383" s="98"/>
      <c r="L383" s="101"/>
      <c r="M383" s="101"/>
      <c r="N383" s="101"/>
      <c r="O383" s="101"/>
      <c r="P383" s="102"/>
      <c r="Q383" s="101"/>
      <c r="R383" s="98"/>
      <c r="S383" s="98"/>
      <c r="T383" s="98"/>
      <c r="U383" s="98"/>
      <c r="V383" s="98"/>
      <c r="W383" s="98"/>
      <c r="X383" s="98"/>
      <c r="Y383" s="98"/>
      <c r="Z383" s="103"/>
      <c r="AA383" s="103"/>
      <c r="AB383" s="103"/>
      <c r="AC383" s="103"/>
      <c r="AD383" s="103"/>
      <c r="AE383" s="103"/>
      <c r="AF383" s="103"/>
      <c r="AG383" s="101"/>
      <c r="AH383" s="101"/>
      <c r="AI383" s="101"/>
      <c r="AJ383" s="101"/>
      <c r="AK383" s="101"/>
      <c r="AL383" s="101"/>
      <c r="AM383" s="101"/>
      <c r="AN383" s="103"/>
      <c r="AO383" s="103"/>
      <c r="AP383" s="103"/>
      <c r="AQ383" s="103"/>
      <c r="AR383" s="103"/>
      <c r="AS383" s="103"/>
      <c r="AT383" s="103"/>
      <c r="AU383" s="101"/>
      <c r="AV383" s="101"/>
      <c r="AW383" s="101"/>
      <c r="AX383" s="101"/>
      <c r="AY383" s="101"/>
      <c r="AZ383" s="101"/>
      <c r="BA383" s="101"/>
      <c r="BB383" s="103"/>
      <c r="BC383" s="103"/>
      <c r="BD383" s="103"/>
      <c r="BE383" s="101"/>
      <c r="BF383" s="101"/>
      <c r="BG383" s="101"/>
      <c r="BH383" s="101"/>
      <c r="BI383" s="101"/>
      <c r="BM383" s="101"/>
      <c r="BN383" s="101"/>
      <c r="BO383" s="101"/>
      <c r="BP383" s="101"/>
      <c r="BQ383" s="101"/>
      <c r="BR383" s="101"/>
      <c r="BS383" s="101"/>
      <c r="BT383" s="104"/>
      <c r="BU383" s="104"/>
      <c r="BV383" s="104"/>
      <c r="BW383" s="104"/>
      <c r="BX383" s="104"/>
      <c r="BY383" s="104"/>
      <c r="BZ383" s="104"/>
      <c r="CA383" s="104"/>
      <c r="CB383" s="104"/>
      <c r="CC383" s="104"/>
      <c r="CD383" s="104"/>
      <c r="CE383" s="104"/>
      <c r="CF383" s="104"/>
      <c r="CG383" s="104"/>
      <c r="CH383" s="104"/>
      <c r="CI383" s="104"/>
      <c r="CJ383" s="104"/>
      <c r="CK383" s="104"/>
      <c r="CL383" s="104"/>
      <c r="CM383" s="104"/>
      <c r="CN383" s="104"/>
      <c r="CO383" s="104"/>
      <c r="CP383" s="98"/>
      <c r="CR383" s="101"/>
      <c r="CS383" s="101"/>
      <c r="CT383" s="101"/>
      <c r="CU383" s="101"/>
      <c r="CV383" s="101"/>
      <c r="FL383" s="103"/>
      <c r="FN383" s="103"/>
      <c r="FP383" s="103"/>
      <c r="FR383" s="103"/>
    </row>
    <row r="384" spans="2:174" x14ac:dyDescent="0.35">
      <c r="B384" s="97"/>
      <c r="G384" s="100"/>
      <c r="K384" s="98"/>
      <c r="L384" s="101"/>
      <c r="M384" s="101"/>
      <c r="N384" s="101"/>
      <c r="O384" s="101"/>
      <c r="P384" s="102"/>
      <c r="Q384" s="101"/>
      <c r="R384" s="98"/>
      <c r="S384" s="98"/>
      <c r="T384" s="98"/>
      <c r="U384" s="98"/>
      <c r="V384" s="98"/>
      <c r="W384" s="98"/>
      <c r="X384" s="98"/>
      <c r="Y384" s="98"/>
      <c r="Z384" s="103"/>
      <c r="AA384" s="103"/>
      <c r="AB384" s="103"/>
      <c r="AC384" s="103"/>
      <c r="AD384" s="103"/>
      <c r="AE384" s="103"/>
      <c r="AF384" s="103"/>
      <c r="AG384" s="101"/>
      <c r="AH384" s="101"/>
      <c r="AI384" s="101"/>
      <c r="AJ384" s="101"/>
      <c r="AK384" s="101"/>
      <c r="AL384" s="101"/>
      <c r="AM384" s="101"/>
      <c r="AN384" s="103"/>
      <c r="AO384" s="103"/>
      <c r="AP384" s="103"/>
      <c r="AQ384" s="103"/>
      <c r="AR384" s="103"/>
      <c r="AS384" s="103"/>
      <c r="AT384" s="103"/>
      <c r="AU384" s="101"/>
      <c r="AV384" s="101"/>
      <c r="AW384" s="101"/>
      <c r="AX384" s="101"/>
      <c r="AY384" s="101"/>
      <c r="AZ384" s="101"/>
      <c r="BA384" s="101"/>
      <c r="BB384" s="103"/>
      <c r="BC384" s="103"/>
      <c r="BD384" s="103"/>
      <c r="BE384" s="101"/>
      <c r="BF384" s="101"/>
      <c r="BG384" s="101"/>
      <c r="BH384" s="101"/>
      <c r="BI384" s="101"/>
      <c r="BM384" s="101"/>
      <c r="BN384" s="101"/>
      <c r="BO384" s="101"/>
      <c r="BP384" s="101"/>
      <c r="BQ384" s="101"/>
      <c r="BR384" s="101"/>
      <c r="BS384" s="101"/>
      <c r="BT384" s="104"/>
      <c r="BU384" s="104"/>
      <c r="BV384" s="104"/>
      <c r="BW384" s="104"/>
      <c r="BX384" s="104"/>
      <c r="BY384" s="104"/>
      <c r="BZ384" s="104"/>
      <c r="CA384" s="104"/>
      <c r="CB384" s="104"/>
      <c r="CC384" s="104"/>
      <c r="CD384" s="104"/>
      <c r="CE384" s="104"/>
      <c r="CF384" s="104"/>
      <c r="CG384" s="104"/>
      <c r="CH384" s="104"/>
      <c r="CI384" s="104"/>
      <c r="CJ384" s="104"/>
      <c r="CK384" s="104"/>
      <c r="CL384" s="104"/>
      <c r="CM384" s="104"/>
      <c r="CN384" s="104"/>
      <c r="CO384" s="104"/>
      <c r="CP384" s="98"/>
      <c r="CR384" s="101"/>
      <c r="CS384" s="101"/>
      <c r="CT384" s="101"/>
      <c r="CU384" s="101"/>
      <c r="CV384" s="101"/>
      <c r="FL384" s="103"/>
      <c r="FN384" s="103"/>
      <c r="FP384" s="103"/>
      <c r="FR384" s="103"/>
    </row>
    <row r="385" spans="2:174" x14ac:dyDescent="0.35">
      <c r="B385" s="97"/>
      <c r="G385" s="100"/>
      <c r="K385" s="98"/>
      <c r="L385" s="101"/>
      <c r="M385" s="101"/>
      <c r="N385" s="101"/>
      <c r="O385" s="101"/>
      <c r="P385" s="102"/>
      <c r="Q385" s="101"/>
      <c r="R385" s="98"/>
      <c r="S385" s="98"/>
      <c r="T385" s="98"/>
      <c r="U385" s="98"/>
      <c r="V385" s="98"/>
      <c r="W385" s="98"/>
      <c r="X385" s="98"/>
      <c r="Y385" s="98"/>
      <c r="Z385" s="103"/>
      <c r="AA385" s="103"/>
      <c r="AB385" s="103"/>
      <c r="AC385" s="103"/>
      <c r="AD385" s="103"/>
      <c r="AE385" s="103"/>
      <c r="AF385" s="103"/>
      <c r="AG385" s="101"/>
      <c r="AH385" s="101"/>
      <c r="AI385" s="101"/>
      <c r="AJ385" s="101"/>
      <c r="AK385" s="101"/>
      <c r="AL385" s="101"/>
      <c r="AM385" s="101"/>
      <c r="AN385" s="103"/>
      <c r="AO385" s="103"/>
      <c r="AP385" s="103"/>
      <c r="AQ385" s="103"/>
      <c r="AR385" s="103"/>
      <c r="AS385" s="103"/>
      <c r="AT385" s="103"/>
      <c r="AU385" s="101"/>
      <c r="AV385" s="101"/>
      <c r="AW385" s="101"/>
      <c r="AX385" s="101"/>
      <c r="AY385" s="101"/>
      <c r="AZ385" s="101"/>
      <c r="BA385" s="101"/>
      <c r="BB385" s="103"/>
      <c r="BC385" s="103"/>
      <c r="BD385" s="103"/>
      <c r="BE385" s="101"/>
      <c r="BF385" s="101"/>
      <c r="BG385" s="101"/>
      <c r="BH385" s="101"/>
      <c r="BI385" s="101"/>
      <c r="BM385" s="101"/>
      <c r="BN385" s="101"/>
      <c r="BO385" s="101"/>
      <c r="BP385" s="101"/>
      <c r="BQ385" s="101"/>
      <c r="BR385" s="101"/>
      <c r="BS385" s="101"/>
      <c r="BT385" s="104"/>
      <c r="BU385" s="104"/>
      <c r="BV385" s="104"/>
      <c r="BW385" s="104"/>
      <c r="BX385" s="104"/>
      <c r="BY385" s="104"/>
      <c r="BZ385" s="104"/>
      <c r="CA385" s="104"/>
      <c r="CB385" s="104"/>
      <c r="CC385" s="104"/>
      <c r="CD385" s="104"/>
      <c r="CE385" s="104"/>
      <c r="CF385" s="104"/>
      <c r="CG385" s="104"/>
      <c r="CH385" s="104"/>
      <c r="CI385" s="104"/>
      <c r="CJ385" s="104"/>
      <c r="CK385" s="104"/>
      <c r="CL385" s="104"/>
      <c r="CM385" s="104"/>
      <c r="CN385" s="104"/>
      <c r="CO385" s="104"/>
      <c r="CP385" s="98"/>
      <c r="CR385" s="101"/>
      <c r="CS385" s="101"/>
      <c r="CT385" s="101"/>
      <c r="CU385" s="101"/>
      <c r="CV385" s="101"/>
      <c r="FL385" s="103"/>
      <c r="FN385" s="103"/>
      <c r="FP385" s="103"/>
      <c r="FR385" s="103"/>
    </row>
    <row r="386" spans="2:174" x14ac:dyDescent="0.35">
      <c r="B386" s="97"/>
      <c r="G386" s="100"/>
      <c r="K386" s="98"/>
      <c r="L386" s="101"/>
      <c r="M386" s="101"/>
      <c r="N386" s="101"/>
      <c r="O386" s="101"/>
      <c r="P386" s="102"/>
      <c r="Q386" s="101"/>
      <c r="R386" s="98"/>
      <c r="S386" s="98"/>
      <c r="T386" s="98"/>
      <c r="U386" s="98"/>
      <c r="V386" s="98"/>
      <c r="W386" s="98"/>
      <c r="X386" s="98"/>
      <c r="Y386" s="98"/>
      <c r="Z386" s="103"/>
      <c r="AA386" s="103"/>
      <c r="AB386" s="103"/>
      <c r="AC386" s="103"/>
      <c r="AD386" s="103"/>
      <c r="AE386" s="103"/>
      <c r="AF386" s="103"/>
      <c r="AG386" s="101"/>
      <c r="AH386" s="101"/>
      <c r="AI386" s="101"/>
      <c r="AJ386" s="101"/>
      <c r="AK386" s="101"/>
      <c r="AL386" s="101"/>
      <c r="AM386" s="101"/>
      <c r="AN386" s="103"/>
      <c r="AO386" s="103"/>
      <c r="AP386" s="103"/>
      <c r="AQ386" s="103"/>
      <c r="AR386" s="103"/>
      <c r="AS386" s="103"/>
      <c r="AT386" s="103"/>
      <c r="AU386" s="101"/>
      <c r="AV386" s="101"/>
      <c r="AW386" s="101"/>
      <c r="AX386" s="101"/>
      <c r="AY386" s="101"/>
      <c r="AZ386" s="101"/>
      <c r="BA386" s="101"/>
      <c r="BB386" s="103"/>
      <c r="BC386" s="103"/>
      <c r="BD386" s="103"/>
      <c r="BE386" s="101"/>
      <c r="BF386" s="101"/>
      <c r="BG386" s="101"/>
      <c r="BH386" s="101"/>
      <c r="BI386" s="101"/>
      <c r="BM386" s="101"/>
      <c r="BN386" s="101"/>
      <c r="BO386" s="101"/>
      <c r="BP386" s="101"/>
      <c r="BQ386" s="101"/>
      <c r="BR386" s="101"/>
      <c r="BS386" s="101"/>
      <c r="BT386" s="104"/>
      <c r="BU386" s="104"/>
      <c r="BV386" s="104"/>
      <c r="BW386" s="104"/>
      <c r="BX386" s="104"/>
      <c r="BY386" s="104"/>
      <c r="BZ386" s="104"/>
      <c r="CA386" s="104"/>
      <c r="CB386" s="104"/>
      <c r="CC386" s="104"/>
      <c r="CD386" s="104"/>
      <c r="CE386" s="104"/>
      <c r="CF386" s="104"/>
      <c r="CG386" s="104"/>
      <c r="CH386" s="104"/>
      <c r="CI386" s="104"/>
      <c r="CJ386" s="104"/>
      <c r="CK386" s="104"/>
      <c r="CL386" s="104"/>
      <c r="CM386" s="104"/>
      <c r="CN386" s="104"/>
      <c r="CO386" s="104"/>
      <c r="CP386" s="98"/>
      <c r="CR386" s="101"/>
      <c r="CS386" s="101"/>
      <c r="CT386" s="101"/>
      <c r="CU386" s="101"/>
      <c r="CV386" s="101"/>
      <c r="FL386" s="103"/>
      <c r="FN386" s="103"/>
      <c r="FP386" s="103"/>
      <c r="FR386" s="103"/>
    </row>
    <row r="387" spans="2:174" x14ac:dyDescent="0.35">
      <c r="B387" s="97"/>
      <c r="G387" s="100"/>
      <c r="K387" s="98"/>
      <c r="L387" s="101"/>
      <c r="M387" s="101"/>
      <c r="N387" s="101"/>
      <c r="O387" s="101"/>
      <c r="P387" s="102"/>
      <c r="Q387" s="101"/>
      <c r="R387" s="98"/>
      <c r="S387" s="98"/>
      <c r="T387" s="98"/>
      <c r="U387" s="98"/>
      <c r="V387" s="98"/>
      <c r="W387" s="98"/>
      <c r="X387" s="98"/>
      <c r="Y387" s="98"/>
      <c r="Z387" s="103"/>
      <c r="AA387" s="103"/>
      <c r="AB387" s="103"/>
      <c r="AC387" s="103"/>
      <c r="AD387" s="103"/>
      <c r="AE387" s="103"/>
      <c r="AF387" s="103"/>
      <c r="AG387" s="101"/>
      <c r="AH387" s="101"/>
      <c r="AI387" s="101"/>
      <c r="AJ387" s="101"/>
      <c r="AK387" s="101"/>
      <c r="AL387" s="101"/>
      <c r="AM387" s="101"/>
      <c r="AN387" s="103"/>
      <c r="AO387" s="103"/>
      <c r="AP387" s="103"/>
      <c r="AQ387" s="103"/>
      <c r="AR387" s="103"/>
      <c r="AS387" s="103"/>
      <c r="AT387" s="103"/>
      <c r="AU387" s="101"/>
      <c r="AV387" s="101"/>
      <c r="AW387" s="101"/>
      <c r="AX387" s="101"/>
      <c r="AY387" s="101"/>
      <c r="AZ387" s="101"/>
      <c r="BA387" s="101"/>
      <c r="BB387" s="103"/>
      <c r="BC387" s="103"/>
      <c r="BD387" s="103"/>
      <c r="BE387" s="101"/>
      <c r="BF387" s="101"/>
      <c r="BG387" s="101"/>
      <c r="BH387" s="101"/>
      <c r="BI387" s="101"/>
      <c r="BM387" s="101"/>
      <c r="BN387" s="101"/>
      <c r="BO387" s="101"/>
      <c r="BP387" s="101"/>
      <c r="BQ387" s="101"/>
      <c r="BR387" s="101"/>
      <c r="BS387" s="101"/>
      <c r="BT387" s="104"/>
      <c r="BU387" s="104"/>
      <c r="BV387" s="104"/>
      <c r="BW387" s="104"/>
      <c r="BX387" s="104"/>
      <c r="BY387" s="104"/>
      <c r="BZ387" s="104"/>
      <c r="CA387" s="104"/>
      <c r="CB387" s="104"/>
      <c r="CC387" s="104"/>
      <c r="CD387" s="104"/>
      <c r="CE387" s="104"/>
      <c r="CF387" s="104"/>
      <c r="CG387" s="104"/>
      <c r="CH387" s="104"/>
      <c r="CI387" s="104"/>
      <c r="CJ387" s="104"/>
      <c r="CK387" s="104"/>
      <c r="CL387" s="104"/>
      <c r="CM387" s="104"/>
      <c r="CN387" s="104"/>
      <c r="CO387" s="104"/>
      <c r="CP387" s="98"/>
      <c r="CR387" s="101"/>
      <c r="CS387" s="101"/>
      <c r="CT387" s="101"/>
      <c r="CU387" s="101"/>
      <c r="CV387" s="101"/>
      <c r="FL387" s="103"/>
      <c r="FN387" s="103"/>
      <c r="FP387" s="103"/>
      <c r="FR387" s="103"/>
    </row>
    <row r="388" spans="2:174" x14ac:dyDescent="0.35">
      <c r="B388" s="97"/>
      <c r="G388" s="100"/>
      <c r="K388" s="98"/>
      <c r="L388" s="101"/>
      <c r="M388" s="101"/>
      <c r="N388" s="101"/>
      <c r="O388" s="101"/>
      <c r="P388" s="102"/>
      <c r="Q388" s="101"/>
      <c r="R388" s="98"/>
      <c r="S388" s="98"/>
      <c r="T388" s="98"/>
      <c r="U388" s="98"/>
      <c r="V388" s="98"/>
      <c r="W388" s="98"/>
      <c r="X388" s="98"/>
      <c r="Y388" s="98"/>
      <c r="Z388" s="103"/>
      <c r="AA388" s="103"/>
      <c r="AB388" s="103"/>
      <c r="AC388" s="103"/>
      <c r="AD388" s="103"/>
      <c r="AE388" s="103"/>
      <c r="AF388" s="103"/>
      <c r="AG388" s="101"/>
      <c r="AH388" s="101"/>
      <c r="AI388" s="101"/>
      <c r="AJ388" s="101"/>
      <c r="AK388" s="101"/>
      <c r="AL388" s="101"/>
      <c r="AM388" s="101"/>
      <c r="AN388" s="103"/>
      <c r="AO388" s="103"/>
      <c r="AP388" s="103"/>
      <c r="AQ388" s="103"/>
      <c r="AR388" s="103"/>
      <c r="AS388" s="103"/>
      <c r="AT388" s="103"/>
      <c r="AU388" s="101"/>
      <c r="AV388" s="101"/>
      <c r="AW388" s="101"/>
      <c r="AX388" s="101"/>
      <c r="AY388" s="101"/>
      <c r="AZ388" s="101"/>
      <c r="BA388" s="101"/>
      <c r="BB388" s="103"/>
      <c r="BC388" s="103"/>
      <c r="BD388" s="103"/>
      <c r="BE388" s="101"/>
      <c r="BF388" s="101"/>
      <c r="BG388" s="101"/>
      <c r="BH388" s="101"/>
      <c r="BI388" s="101"/>
      <c r="BM388" s="101"/>
      <c r="BN388" s="101"/>
      <c r="BO388" s="101"/>
      <c r="BP388" s="101"/>
      <c r="BQ388" s="101"/>
      <c r="BR388" s="101"/>
      <c r="BS388" s="101"/>
      <c r="BT388" s="104"/>
      <c r="BU388" s="104"/>
      <c r="BV388" s="104"/>
      <c r="BW388" s="104"/>
      <c r="BX388" s="104"/>
      <c r="BY388" s="104"/>
      <c r="BZ388" s="104"/>
      <c r="CA388" s="104"/>
      <c r="CB388" s="104"/>
      <c r="CC388" s="104"/>
      <c r="CD388" s="104"/>
      <c r="CE388" s="104"/>
      <c r="CF388" s="104"/>
      <c r="CG388" s="104"/>
      <c r="CH388" s="104"/>
      <c r="CI388" s="104"/>
      <c r="CJ388" s="104"/>
      <c r="CK388" s="104"/>
      <c r="CL388" s="104"/>
      <c r="CM388" s="104"/>
      <c r="CN388" s="104"/>
      <c r="CO388" s="104"/>
      <c r="CP388" s="98"/>
      <c r="CR388" s="101"/>
      <c r="CS388" s="101"/>
      <c r="CT388" s="101"/>
      <c r="CU388" s="101"/>
      <c r="CV388" s="101"/>
      <c r="FL388" s="103"/>
      <c r="FN388" s="103"/>
      <c r="FP388" s="103"/>
      <c r="FR388" s="103"/>
    </row>
    <row r="389" spans="2:174" x14ac:dyDescent="0.35">
      <c r="B389" s="97"/>
      <c r="G389" s="100"/>
      <c r="K389" s="98"/>
      <c r="L389" s="101"/>
      <c r="M389" s="101"/>
      <c r="N389" s="101"/>
      <c r="O389" s="101"/>
      <c r="P389" s="102"/>
      <c r="Q389" s="101"/>
      <c r="R389" s="98"/>
      <c r="S389" s="98"/>
      <c r="T389" s="98"/>
      <c r="U389" s="98"/>
      <c r="V389" s="98"/>
      <c r="W389" s="98"/>
      <c r="X389" s="98"/>
      <c r="Y389" s="98"/>
      <c r="Z389" s="103"/>
      <c r="AA389" s="103"/>
      <c r="AB389" s="103"/>
      <c r="AC389" s="103"/>
      <c r="AD389" s="103"/>
      <c r="AE389" s="103"/>
      <c r="AF389" s="103"/>
      <c r="AG389" s="101"/>
      <c r="AH389" s="101"/>
      <c r="AI389" s="101"/>
      <c r="AJ389" s="101"/>
      <c r="AK389" s="101"/>
      <c r="AL389" s="101"/>
      <c r="AM389" s="101"/>
      <c r="AN389" s="103"/>
      <c r="AO389" s="103"/>
      <c r="AP389" s="103"/>
      <c r="AQ389" s="103"/>
      <c r="AR389" s="103"/>
      <c r="AS389" s="103"/>
      <c r="AT389" s="103"/>
      <c r="AU389" s="101"/>
      <c r="AV389" s="101"/>
      <c r="AW389" s="101"/>
      <c r="AX389" s="101"/>
      <c r="AY389" s="101"/>
      <c r="AZ389" s="101"/>
      <c r="BA389" s="101"/>
      <c r="BB389" s="103"/>
      <c r="BC389" s="103"/>
      <c r="BD389" s="103"/>
      <c r="BE389" s="101"/>
      <c r="BF389" s="101"/>
      <c r="BG389" s="101"/>
      <c r="BH389" s="101"/>
      <c r="BI389" s="101"/>
      <c r="BM389" s="101"/>
      <c r="BN389" s="101"/>
      <c r="BO389" s="101"/>
      <c r="BP389" s="101"/>
      <c r="BQ389" s="101"/>
      <c r="BR389" s="101"/>
      <c r="BS389" s="101"/>
      <c r="BT389" s="104"/>
      <c r="BU389" s="104"/>
      <c r="BV389" s="104"/>
      <c r="BW389" s="104"/>
      <c r="BX389" s="104"/>
      <c r="BY389" s="104"/>
      <c r="BZ389" s="104"/>
      <c r="CA389" s="104"/>
      <c r="CB389" s="104"/>
      <c r="CC389" s="104"/>
      <c r="CD389" s="104"/>
      <c r="CE389" s="104"/>
      <c r="CF389" s="104"/>
      <c r="CG389" s="104"/>
      <c r="CH389" s="104"/>
      <c r="CI389" s="104"/>
      <c r="CJ389" s="104"/>
      <c r="CK389" s="104"/>
      <c r="CL389" s="104"/>
      <c r="CM389" s="104"/>
      <c r="CN389" s="104"/>
      <c r="CO389" s="104"/>
      <c r="CP389" s="98"/>
      <c r="CR389" s="101"/>
      <c r="CS389" s="101"/>
      <c r="CT389" s="101"/>
      <c r="CU389" s="101"/>
      <c r="CV389" s="101"/>
      <c r="FL389" s="103"/>
      <c r="FN389" s="103"/>
      <c r="FP389" s="103"/>
      <c r="FR389" s="103"/>
    </row>
    <row r="390" spans="2:174" x14ac:dyDescent="0.35">
      <c r="B390" s="97"/>
      <c r="G390" s="100"/>
      <c r="K390" s="98"/>
      <c r="L390" s="101"/>
      <c r="M390" s="101"/>
      <c r="N390" s="101"/>
      <c r="O390" s="101"/>
      <c r="P390" s="102"/>
      <c r="Q390" s="101"/>
      <c r="R390" s="98"/>
      <c r="S390" s="98"/>
      <c r="T390" s="98"/>
      <c r="U390" s="98"/>
      <c r="V390" s="98"/>
      <c r="W390" s="98"/>
      <c r="X390" s="98"/>
      <c r="Y390" s="98"/>
      <c r="Z390" s="103"/>
      <c r="AA390" s="103"/>
      <c r="AB390" s="103"/>
      <c r="AC390" s="103"/>
      <c r="AD390" s="103"/>
      <c r="AE390" s="103"/>
      <c r="AF390" s="103"/>
      <c r="AG390" s="101"/>
      <c r="AH390" s="101"/>
      <c r="AI390" s="101"/>
      <c r="AJ390" s="101"/>
      <c r="AK390" s="101"/>
      <c r="AL390" s="101"/>
      <c r="AM390" s="101"/>
      <c r="AN390" s="103"/>
      <c r="AO390" s="103"/>
      <c r="AP390" s="103"/>
      <c r="AQ390" s="103"/>
      <c r="AR390" s="103"/>
      <c r="AS390" s="103"/>
      <c r="AT390" s="103"/>
      <c r="AU390" s="101"/>
      <c r="AV390" s="101"/>
      <c r="AW390" s="101"/>
      <c r="AX390" s="101"/>
      <c r="AY390" s="101"/>
      <c r="AZ390" s="101"/>
      <c r="BA390" s="101"/>
      <c r="BB390" s="103"/>
      <c r="BC390" s="103"/>
      <c r="BD390" s="103"/>
      <c r="BE390" s="101"/>
      <c r="BF390" s="101"/>
      <c r="BG390" s="101"/>
      <c r="BH390" s="101"/>
      <c r="BI390" s="101"/>
      <c r="BM390" s="101"/>
      <c r="BN390" s="101"/>
      <c r="BO390" s="101"/>
      <c r="BP390" s="101"/>
      <c r="BQ390" s="101"/>
      <c r="BR390" s="101"/>
      <c r="BS390" s="101"/>
      <c r="BT390" s="104"/>
      <c r="BU390" s="104"/>
      <c r="BV390" s="104"/>
      <c r="BW390" s="104"/>
      <c r="BX390" s="104"/>
      <c r="BY390" s="104"/>
      <c r="BZ390" s="104"/>
      <c r="CA390" s="104"/>
      <c r="CB390" s="104"/>
      <c r="CC390" s="104"/>
      <c r="CD390" s="104"/>
      <c r="CE390" s="104"/>
      <c r="CF390" s="104"/>
      <c r="CG390" s="104"/>
      <c r="CH390" s="104"/>
      <c r="CI390" s="104"/>
      <c r="CJ390" s="104"/>
      <c r="CK390" s="104"/>
      <c r="CL390" s="104"/>
      <c r="CM390" s="104"/>
      <c r="CN390" s="104"/>
      <c r="CO390" s="104"/>
      <c r="CP390" s="98"/>
      <c r="CR390" s="101"/>
      <c r="CS390" s="101"/>
      <c r="CT390" s="101"/>
      <c r="CU390" s="101"/>
      <c r="CV390" s="101"/>
      <c r="FL390" s="103"/>
      <c r="FN390" s="103"/>
      <c r="FP390" s="103"/>
      <c r="FR390" s="103"/>
    </row>
    <row r="391" spans="2:174" x14ac:dyDescent="0.35">
      <c r="B391" s="97"/>
      <c r="G391" s="100"/>
      <c r="K391" s="98"/>
      <c r="L391" s="101"/>
      <c r="M391" s="101"/>
      <c r="N391" s="101"/>
      <c r="O391" s="101"/>
      <c r="P391" s="102"/>
      <c r="Q391" s="101"/>
      <c r="R391" s="98"/>
      <c r="S391" s="98"/>
      <c r="T391" s="98"/>
      <c r="U391" s="98"/>
      <c r="V391" s="98"/>
      <c r="W391" s="98"/>
      <c r="X391" s="98"/>
      <c r="Y391" s="98"/>
      <c r="Z391" s="103"/>
      <c r="AA391" s="103"/>
      <c r="AB391" s="103"/>
      <c r="AC391" s="103"/>
      <c r="AD391" s="103"/>
      <c r="AE391" s="103"/>
      <c r="AF391" s="103"/>
      <c r="AG391" s="101"/>
      <c r="AH391" s="101"/>
      <c r="AI391" s="101"/>
      <c r="AJ391" s="101"/>
      <c r="AK391" s="101"/>
      <c r="AL391" s="101"/>
      <c r="AM391" s="101"/>
      <c r="AN391" s="103"/>
      <c r="AO391" s="103"/>
      <c r="AP391" s="103"/>
      <c r="AQ391" s="103"/>
      <c r="AR391" s="103"/>
      <c r="AS391" s="103"/>
      <c r="AT391" s="103"/>
      <c r="AU391" s="101"/>
      <c r="AV391" s="101"/>
      <c r="AW391" s="101"/>
      <c r="AX391" s="101"/>
      <c r="AY391" s="101"/>
      <c r="AZ391" s="101"/>
      <c r="BA391" s="101"/>
      <c r="BB391" s="103"/>
      <c r="BC391" s="103"/>
      <c r="BD391" s="103"/>
      <c r="BE391" s="101"/>
      <c r="BF391" s="101"/>
      <c r="BG391" s="101"/>
      <c r="BH391" s="101"/>
      <c r="BI391" s="101"/>
      <c r="BM391" s="101"/>
      <c r="BN391" s="101"/>
      <c r="BO391" s="101"/>
      <c r="BP391" s="101"/>
      <c r="BQ391" s="101"/>
      <c r="BR391" s="101"/>
      <c r="BS391" s="101"/>
      <c r="BT391" s="104"/>
      <c r="BU391" s="104"/>
      <c r="BV391" s="104"/>
      <c r="BW391" s="104"/>
      <c r="BX391" s="104"/>
      <c r="BY391" s="104"/>
      <c r="BZ391" s="104"/>
      <c r="CA391" s="104"/>
      <c r="CB391" s="104"/>
      <c r="CC391" s="104"/>
      <c r="CD391" s="104"/>
      <c r="CE391" s="104"/>
      <c r="CF391" s="104"/>
      <c r="CG391" s="104"/>
      <c r="CH391" s="104"/>
      <c r="CI391" s="104"/>
      <c r="CJ391" s="104"/>
      <c r="CK391" s="104"/>
      <c r="CL391" s="104"/>
      <c r="CM391" s="104"/>
      <c r="CN391" s="104"/>
      <c r="CO391" s="104"/>
      <c r="CP391" s="98"/>
      <c r="CR391" s="101"/>
      <c r="CS391" s="101"/>
      <c r="CT391" s="101"/>
      <c r="CU391" s="101"/>
      <c r="CV391" s="101"/>
      <c r="FL391" s="103"/>
      <c r="FN391" s="103"/>
      <c r="FP391" s="103"/>
      <c r="FR391" s="103"/>
    </row>
    <row r="392" spans="2:174" x14ac:dyDescent="0.35">
      <c r="B392" s="97"/>
      <c r="G392" s="100"/>
      <c r="K392" s="98"/>
      <c r="L392" s="101"/>
      <c r="M392" s="101"/>
      <c r="N392" s="101"/>
      <c r="O392" s="101"/>
      <c r="P392" s="102"/>
      <c r="Q392" s="101"/>
      <c r="R392" s="98"/>
      <c r="S392" s="98"/>
      <c r="T392" s="98"/>
      <c r="U392" s="98"/>
      <c r="V392" s="98"/>
      <c r="W392" s="98"/>
      <c r="X392" s="98"/>
      <c r="Y392" s="98"/>
      <c r="Z392" s="103"/>
      <c r="AA392" s="103"/>
      <c r="AB392" s="103"/>
      <c r="AC392" s="103"/>
      <c r="AD392" s="103"/>
      <c r="AE392" s="103"/>
      <c r="AF392" s="103"/>
      <c r="AG392" s="101"/>
      <c r="AH392" s="101"/>
      <c r="AI392" s="101"/>
      <c r="AJ392" s="101"/>
      <c r="AK392" s="101"/>
      <c r="AL392" s="101"/>
      <c r="AM392" s="101"/>
      <c r="AN392" s="103"/>
      <c r="AO392" s="103"/>
      <c r="AP392" s="103"/>
      <c r="AQ392" s="103"/>
      <c r="AR392" s="103"/>
      <c r="AS392" s="103"/>
      <c r="AT392" s="103"/>
      <c r="AU392" s="101"/>
      <c r="AV392" s="101"/>
      <c r="AW392" s="101"/>
      <c r="AX392" s="101"/>
      <c r="AY392" s="101"/>
      <c r="AZ392" s="101"/>
      <c r="BA392" s="101"/>
      <c r="BB392" s="103"/>
      <c r="BC392" s="103"/>
      <c r="BD392" s="103"/>
      <c r="BE392" s="101"/>
      <c r="BF392" s="101"/>
      <c r="BG392" s="101"/>
      <c r="BH392" s="101"/>
      <c r="BI392" s="101"/>
      <c r="BM392" s="101"/>
      <c r="BN392" s="101"/>
      <c r="BO392" s="101"/>
      <c r="BP392" s="101"/>
      <c r="BQ392" s="101"/>
      <c r="BR392" s="101"/>
      <c r="BS392" s="101"/>
      <c r="BT392" s="104"/>
      <c r="BU392" s="104"/>
      <c r="BV392" s="104"/>
      <c r="BW392" s="104"/>
      <c r="BX392" s="104"/>
      <c r="BY392" s="104"/>
      <c r="BZ392" s="104"/>
      <c r="CA392" s="104"/>
      <c r="CB392" s="104"/>
      <c r="CC392" s="104"/>
      <c r="CD392" s="104"/>
      <c r="CE392" s="104"/>
      <c r="CF392" s="104"/>
      <c r="CG392" s="104"/>
      <c r="CH392" s="104"/>
      <c r="CI392" s="104"/>
      <c r="CJ392" s="104"/>
      <c r="CK392" s="104"/>
      <c r="CL392" s="104"/>
      <c r="CM392" s="104"/>
      <c r="CN392" s="104"/>
      <c r="CO392" s="104"/>
      <c r="CP392" s="98"/>
      <c r="CR392" s="101"/>
      <c r="CS392" s="101"/>
      <c r="CT392" s="101"/>
      <c r="CU392" s="101"/>
      <c r="CV392" s="101"/>
      <c r="FL392" s="103"/>
      <c r="FN392" s="103"/>
      <c r="FP392" s="103"/>
      <c r="FR392" s="103"/>
    </row>
    <row r="393" spans="2:174" x14ac:dyDescent="0.35">
      <c r="B393" s="97"/>
      <c r="G393" s="100"/>
      <c r="K393" s="98"/>
      <c r="L393" s="101"/>
      <c r="M393" s="101"/>
      <c r="N393" s="101"/>
      <c r="O393" s="101"/>
      <c r="P393" s="102"/>
      <c r="Q393" s="101"/>
      <c r="R393" s="98"/>
      <c r="S393" s="98"/>
      <c r="T393" s="98"/>
      <c r="U393" s="98"/>
      <c r="V393" s="98"/>
      <c r="W393" s="98"/>
      <c r="X393" s="98"/>
      <c r="Y393" s="98"/>
      <c r="Z393" s="103"/>
      <c r="AA393" s="103"/>
      <c r="AB393" s="103"/>
      <c r="AC393" s="103"/>
      <c r="AD393" s="103"/>
      <c r="AE393" s="103"/>
      <c r="AF393" s="103"/>
      <c r="AG393" s="101"/>
      <c r="AH393" s="101"/>
      <c r="AI393" s="101"/>
      <c r="AJ393" s="101"/>
      <c r="AK393" s="101"/>
      <c r="AL393" s="101"/>
      <c r="AM393" s="101"/>
      <c r="AN393" s="103"/>
      <c r="AO393" s="103"/>
      <c r="AP393" s="103"/>
      <c r="AQ393" s="103"/>
      <c r="AR393" s="103"/>
      <c r="AS393" s="103"/>
      <c r="AT393" s="103"/>
      <c r="AU393" s="101"/>
      <c r="AV393" s="101"/>
      <c r="AW393" s="101"/>
      <c r="AX393" s="101"/>
      <c r="AY393" s="101"/>
      <c r="AZ393" s="101"/>
      <c r="BA393" s="101"/>
      <c r="BB393" s="103"/>
      <c r="BC393" s="103"/>
      <c r="BD393" s="103"/>
      <c r="BE393" s="101"/>
      <c r="BF393" s="101"/>
      <c r="BG393" s="101"/>
      <c r="BH393" s="101"/>
      <c r="BI393" s="101"/>
      <c r="BM393" s="101"/>
      <c r="BN393" s="101"/>
      <c r="BO393" s="101"/>
      <c r="BP393" s="101"/>
      <c r="BQ393" s="101"/>
      <c r="BR393" s="101"/>
      <c r="BS393" s="101"/>
      <c r="BT393" s="104"/>
      <c r="BU393" s="104"/>
      <c r="BV393" s="104"/>
      <c r="BW393" s="104"/>
      <c r="BX393" s="104"/>
      <c r="BY393" s="104"/>
      <c r="BZ393" s="104"/>
      <c r="CA393" s="104"/>
      <c r="CB393" s="104"/>
      <c r="CC393" s="104"/>
      <c r="CD393" s="104"/>
      <c r="CE393" s="104"/>
      <c r="CF393" s="104"/>
      <c r="CG393" s="104"/>
      <c r="CH393" s="104"/>
      <c r="CI393" s="104"/>
      <c r="CJ393" s="104"/>
      <c r="CK393" s="104"/>
      <c r="CL393" s="104"/>
      <c r="CM393" s="104"/>
      <c r="CN393" s="104"/>
      <c r="CO393" s="104"/>
      <c r="CP393" s="98"/>
      <c r="CR393" s="101"/>
      <c r="CS393" s="101"/>
      <c r="CT393" s="101"/>
      <c r="CU393" s="101"/>
      <c r="CV393" s="101"/>
      <c r="FL393" s="103"/>
      <c r="FN393" s="103"/>
      <c r="FP393" s="103"/>
      <c r="FR393" s="103"/>
    </row>
    <row r="394" spans="2:174" x14ac:dyDescent="0.35">
      <c r="B394" s="97"/>
      <c r="G394" s="100"/>
      <c r="K394" s="98"/>
      <c r="L394" s="101"/>
      <c r="M394" s="101"/>
      <c r="N394" s="101"/>
      <c r="O394" s="101"/>
      <c r="P394" s="102"/>
      <c r="Q394" s="101"/>
      <c r="R394" s="98"/>
      <c r="S394" s="98"/>
      <c r="T394" s="98"/>
      <c r="U394" s="98"/>
      <c r="V394" s="98"/>
      <c r="W394" s="98"/>
      <c r="X394" s="98"/>
      <c r="Y394" s="98"/>
      <c r="Z394" s="103"/>
      <c r="AA394" s="103"/>
      <c r="AB394" s="103"/>
      <c r="AC394" s="103"/>
      <c r="AD394" s="103"/>
      <c r="AE394" s="103"/>
      <c r="AF394" s="103"/>
      <c r="AG394" s="101"/>
      <c r="AH394" s="101"/>
      <c r="AI394" s="101"/>
      <c r="AJ394" s="101"/>
      <c r="AK394" s="101"/>
      <c r="AL394" s="101"/>
      <c r="AM394" s="101"/>
      <c r="AN394" s="103"/>
      <c r="AO394" s="103"/>
      <c r="AP394" s="103"/>
      <c r="AQ394" s="103"/>
      <c r="AR394" s="103"/>
      <c r="AS394" s="103"/>
      <c r="AT394" s="103"/>
      <c r="AU394" s="101"/>
      <c r="AV394" s="101"/>
      <c r="AW394" s="101"/>
      <c r="AX394" s="101"/>
      <c r="AY394" s="101"/>
      <c r="AZ394" s="101"/>
      <c r="BA394" s="101"/>
      <c r="BB394" s="103"/>
      <c r="BC394" s="103"/>
      <c r="BD394" s="103"/>
      <c r="BE394" s="101"/>
      <c r="BF394" s="101"/>
      <c r="BG394" s="101"/>
      <c r="BH394" s="101"/>
      <c r="BI394" s="101"/>
      <c r="BM394" s="101"/>
      <c r="BN394" s="101"/>
      <c r="BO394" s="101"/>
      <c r="BP394" s="101"/>
      <c r="BQ394" s="101"/>
      <c r="BR394" s="101"/>
      <c r="BS394" s="101"/>
      <c r="BT394" s="104"/>
      <c r="BU394" s="104"/>
      <c r="BV394" s="104"/>
      <c r="BW394" s="104"/>
      <c r="BX394" s="104"/>
      <c r="BY394" s="104"/>
      <c r="BZ394" s="104"/>
      <c r="CA394" s="104"/>
      <c r="CB394" s="104"/>
      <c r="CC394" s="104"/>
      <c r="CD394" s="104"/>
      <c r="CE394" s="104"/>
      <c r="CF394" s="104"/>
      <c r="CG394" s="104"/>
      <c r="CH394" s="104"/>
      <c r="CI394" s="104"/>
      <c r="CJ394" s="104"/>
      <c r="CK394" s="104"/>
      <c r="CL394" s="104"/>
      <c r="CM394" s="104"/>
      <c r="CN394" s="104"/>
      <c r="CO394" s="104"/>
      <c r="CP394" s="98"/>
      <c r="CR394" s="101"/>
      <c r="CS394" s="101"/>
      <c r="CT394" s="101"/>
      <c r="CU394" s="101"/>
      <c r="CV394" s="101"/>
      <c r="FL394" s="103"/>
      <c r="FN394" s="103"/>
      <c r="FP394" s="103"/>
      <c r="FR394" s="103"/>
    </row>
    <row r="395" spans="2:174" x14ac:dyDescent="0.35">
      <c r="B395" s="97"/>
      <c r="G395" s="100"/>
      <c r="K395" s="98"/>
      <c r="L395" s="101"/>
      <c r="M395" s="101"/>
      <c r="N395" s="101"/>
      <c r="O395" s="101"/>
      <c r="P395" s="102"/>
      <c r="Q395" s="101"/>
      <c r="R395" s="98"/>
      <c r="S395" s="98"/>
      <c r="T395" s="98"/>
      <c r="U395" s="98"/>
      <c r="V395" s="98"/>
      <c r="W395" s="98"/>
      <c r="X395" s="98"/>
      <c r="Y395" s="98"/>
      <c r="Z395" s="103"/>
      <c r="AA395" s="103"/>
      <c r="AB395" s="103"/>
      <c r="AC395" s="103"/>
      <c r="AD395" s="103"/>
      <c r="AE395" s="103"/>
      <c r="AF395" s="103"/>
      <c r="AG395" s="101"/>
      <c r="AH395" s="101"/>
      <c r="AI395" s="101"/>
      <c r="AJ395" s="101"/>
      <c r="AK395" s="101"/>
      <c r="AL395" s="101"/>
      <c r="AM395" s="101"/>
      <c r="AN395" s="103"/>
      <c r="AO395" s="103"/>
      <c r="AP395" s="103"/>
      <c r="AQ395" s="103"/>
      <c r="AR395" s="103"/>
      <c r="AS395" s="103"/>
      <c r="AT395" s="103"/>
      <c r="AU395" s="101"/>
      <c r="AV395" s="101"/>
      <c r="AW395" s="101"/>
      <c r="AX395" s="101"/>
      <c r="AY395" s="101"/>
      <c r="AZ395" s="101"/>
      <c r="BA395" s="101"/>
      <c r="BB395" s="103"/>
      <c r="BC395" s="103"/>
      <c r="BD395" s="103"/>
      <c r="BE395" s="101"/>
      <c r="BF395" s="101"/>
      <c r="BG395" s="101"/>
      <c r="BH395" s="101"/>
      <c r="BI395" s="101"/>
      <c r="BM395" s="101"/>
      <c r="BN395" s="101"/>
      <c r="BO395" s="101"/>
      <c r="BP395" s="101"/>
      <c r="BQ395" s="101"/>
      <c r="BR395" s="101"/>
      <c r="BS395" s="101"/>
      <c r="BT395" s="104"/>
      <c r="BU395" s="104"/>
      <c r="BV395" s="104"/>
      <c r="BW395" s="104"/>
      <c r="BX395" s="104"/>
      <c r="BY395" s="104"/>
      <c r="BZ395" s="104"/>
      <c r="CA395" s="104"/>
      <c r="CB395" s="104"/>
      <c r="CC395" s="104"/>
      <c r="CD395" s="104"/>
      <c r="CE395" s="104"/>
      <c r="CF395" s="104"/>
      <c r="CG395" s="104"/>
      <c r="CH395" s="104"/>
      <c r="CI395" s="104"/>
      <c r="CJ395" s="104"/>
      <c r="CK395" s="104"/>
      <c r="CL395" s="104"/>
      <c r="CM395" s="104"/>
      <c r="CN395" s="104"/>
      <c r="CO395" s="104"/>
      <c r="CP395" s="98"/>
      <c r="CR395" s="101"/>
      <c r="CS395" s="101"/>
      <c r="CT395" s="101"/>
      <c r="CU395" s="101"/>
      <c r="CV395" s="101"/>
      <c r="FL395" s="103"/>
      <c r="FN395" s="103"/>
      <c r="FP395" s="103"/>
      <c r="FR395" s="103"/>
    </row>
    <row r="396" spans="2:174" x14ac:dyDescent="0.35">
      <c r="B396" s="97"/>
      <c r="G396" s="100"/>
      <c r="K396" s="98"/>
      <c r="L396" s="101"/>
      <c r="M396" s="101"/>
      <c r="N396" s="101"/>
      <c r="O396" s="101"/>
      <c r="P396" s="102"/>
      <c r="Q396" s="101"/>
      <c r="R396" s="98"/>
      <c r="S396" s="98"/>
      <c r="T396" s="98"/>
      <c r="U396" s="98"/>
      <c r="V396" s="98"/>
      <c r="W396" s="98"/>
      <c r="X396" s="98"/>
      <c r="Y396" s="98"/>
      <c r="Z396" s="103"/>
      <c r="AA396" s="103"/>
      <c r="AB396" s="103"/>
      <c r="AC396" s="103"/>
      <c r="AD396" s="103"/>
      <c r="AE396" s="103"/>
      <c r="AF396" s="103"/>
      <c r="AG396" s="101"/>
      <c r="AH396" s="101"/>
      <c r="AI396" s="101"/>
      <c r="AJ396" s="101"/>
      <c r="AK396" s="101"/>
      <c r="AL396" s="101"/>
      <c r="AM396" s="101"/>
      <c r="AN396" s="103"/>
      <c r="AO396" s="103"/>
      <c r="AP396" s="103"/>
      <c r="AQ396" s="103"/>
      <c r="AR396" s="103"/>
      <c r="AS396" s="103"/>
      <c r="AT396" s="103"/>
      <c r="AU396" s="101"/>
      <c r="AV396" s="101"/>
      <c r="AW396" s="101"/>
      <c r="AX396" s="101"/>
      <c r="AY396" s="101"/>
      <c r="AZ396" s="101"/>
      <c r="BA396" s="101"/>
      <c r="BB396" s="103"/>
      <c r="BC396" s="103"/>
      <c r="BD396" s="103"/>
      <c r="BE396" s="101"/>
      <c r="BF396" s="101"/>
      <c r="BG396" s="101"/>
      <c r="BH396" s="101"/>
      <c r="BI396" s="101"/>
      <c r="BM396" s="101"/>
      <c r="BN396" s="101"/>
      <c r="BO396" s="101"/>
      <c r="BP396" s="101"/>
      <c r="BQ396" s="101"/>
      <c r="BR396" s="101"/>
      <c r="BS396" s="101"/>
      <c r="BT396" s="104"/>
      <c r="BU396" s="104"/>
      <c r="BV396" s="104"/>
      <c r="BW396" s="104"/>
      <c r="BX396" s="104"/>
      <c r="BY396" s="104"/>
      <c r="BZ396" s="104"/>
      <c r="CA396" s="104"/>
      <c r="CB396" s="104"/>
      <c r="CC396" s="104"/>
      <c r="CD396" s="104"/>
      <c r="CE396" s="104"/>
      <c r="CF396" s="104"/>
      <c r="CG396" s="104"/>
      <c r="CH396" s="104"/>
      <c r="CI396" s="104"/>
      <c r="CJ396" s="104"/>
      <c r="CK396" s="104"/>
      <c r="CL396" s="104"/>
      <c r="CM396" s="104"/>
      <c r="CN396" s="104"/>
      <c r="CO396" s="104"/>
      <c r="CP396" s="98"/>
      <c r="CR396" s="101"/>
      <c r="CS396" s="101"/>
      <c r="CT396" s="101"/>
      <c r="CU396" s="101"/>
      <c r="CV396" s="101"/>
      <c r="FL396" s="103"/>
      <c r="FN396" s="103"/>
      <c r="FP396" s="103"/>
      <c r="FR396" s="103"/>
    </row>
    <row r="397" spans="2:174" x14ac:dyDescent="0.35">
      <c r="B397" s="97"/>
      <c r="G397" s="100"/>
      <c r="K397" s="98"/>
      <c r="L397" s="101"/>
      <c r="M397" s="101"/>
      <c r="N397" s="101"/>
      <c r="O397" s="101"/>
      <c r="P397" s="102"/>
      <c r="Q397" s="101"/>
      <c r="R397" s="98"/>
      <c r="S397" s="98"/>
      <c r="T397" s="98"/>
      <c r="U397" s="98"/>
      <c r="V397" s="98"/>
      <c r="W397" s="98"/>
      <c r="X397" s="98"/>
      <c r="Y397" s="98"/>
      <c r="Z397" s="103"/>
      <c r="AA397" s="103"/>
      <c r="AB397" s="103"/>
      <c r="AC397" s="103"/>
      <c r="AD397" s="103"/>
      <c r="AE397" s="103"/>
      <c r="AF397" s="103"/>
      <c r="AG397" s="101"/>
      <c r="AH397" s="101"/>
      <c r="AI397" s="101"/>
      <c r="AJ397" s="101"/>
      <c r="AK397" s="101"/>
      <c r="AL397" s="101"/>
      <c r="AM397" s="101"/>
      <c r="AN397" s="103"/>
      <c r="AO397" s="103"/>
      <c r="AP397" s="103"/>
      <c r="AQ397" s="103"/>
      <c r="AR397" s="103"/>
      <c r="AS397" s="103"/>
      <c r="AT397" s="103"/>
      <c r="AU397" s="101"/>
      <c r="AV397" s="101"/>
      <c r="AW397" s="101"/>
      <c r="AX397" s="101"/>
      <c r="AY397" s="101"/>
      <c r="AZ397" s="101"/>
      <c r="BA397" s="101"/>
      <c r="BB397" s="103"/>
      <c r="BC397" s="103"/>
      <c r="BD397" s="103"/>
      <c r="BE397" s="101"/>
      <c r="BF397" s="101"/>
      <c r="BG397" s="101"/>
      <c r="BH397" s="101"/>
      <c r="BI397" s="101"/>
      <c r="BM397" s="101"/>
      <c r="BN397" s="101"/>
      <c r="BO397" s="101"/>
      <c r="BP397" s="101"/>
      <c r="BQ397" s="101"/>
      <c r="BR397" s="101"/>
      <c r="BS397" s="101"/>
      <c r="BT397" s="104"/>
      <c r="BU397" s="104"/>
      <c r="BV397" s="104"/>
      <c r="BW397" s="104"/>
      <c r="BX397" s="104"/>
      <c r="BY397" s="104"/>
      <c r="BZ397" s="104"/>
      <c r="CA397" s="104"/>
      <c r="CB397" s="104"/>
      <c r="CC397" s="104"/>
      <c r="CD397" s="104"/>
      <c r="CE397" s="104"/>
      <c r="CF397" s="104"/>
      <c r="CG397" s="104"/>
      <c r="CH397" s="104"/>
      <c r="CI397" s="104"/>
      <c r="CJ397" s="104"/>
      <c r="CK397" s="104"/>
      <c r="CL397" s="104"/>
      <c r="CM397" s="104"/>
      <c r="CN397" s="104"/>
      <c r="CO397" s="104"/>
      <c r="CP397" s="98"/>
      <c r="CR397" s="101"/>
      <c r="CS397" s="101"/>
      <c r="CT397" s="101"/>
      <c r="CU397" s="101"/>
      <c r="CV397" s="101"/>
      <c r="FL397" s="103"/>
      <c r="FN397" s="103"/>
      <c r="FP397" s="103"/>
      <c r="FR397" s="103"/>
    </row>
    <row r="398" spans="2:174" x14ac:dyDescent="0.35">
      <c r="B398" s="97"/>
      <c r="G398" s="100"/>
      <c r="K398" s="98"/>
      <c r="L398" s="101"/>
      <c r="M398" s="101"/>
      <c r="N398" s="101"/>
      <c r="O398" s="101"/>
      <c r="P398" s="102"/>
      <c r="Q398" s="101"/>
      <c r="R398" s="98"/>
      <c r="S398" s="98"/>
      <c r="T398" s="98"/>
      <c r="U398" s="98"/>
      <c r="V398" s="98"/>
      <c r="W398" s="98"/>
      <c r="X398" s="98"/>
      <c r="Y398" s="98"/>
      <c r="Z398" s="103"/>
      <c r="AA398" s="103"/>
      <c r="AB398" s="103"/>
      <c r="AC398" s="103"/>
      <c r="AD398" s="103"/>
      <c r="AE398" s="103"/>
      <c r="AF398" s="103"/>
      <c r="AG398" s="101"/>
      <c r="AH398" s="101"/>
      <c r="AI398" s="101"/>
      <c r="AJ398" s="101"/>
      <c r="AK398" s="101"/>
      <c r="AL398" s="101"/>
      <c r="AM398" s="101"/>
      <c r="AN398" s="103"/>
      <c r="AO398" s="103"/>
      <c r="AP398" s="103"/>
      <c r="AQ398" s="103"/>
      <c r="AR398" s="103"/>
      <c r="AS398" s="103"/>
      <c r="AT398" s="103"/>
      <c r="AU398" s="101"/>
      <c r="AV398" s="101"/>
      <c r="AW398" s="101"/>
      <c r="AX398" s="101"/>
      <c r="AY398" s="101"/>
      <c r="AZ398" s="101"/>
      <c r="BA398" s="101"/>
      <c r="BB398" s="103"/>
      <c r="BC398" s="103"/>
      <c r="BD398" s="103"/>
      <c r="BE398" s="101"/>
      <c r="BF398" s="101"/>
      <c r="BG398" s="101"/>
      <c r="BH398" s="101"/>
      <c r="BI398" s="101"/>
      <c r="BM398" s="101"/>
      <c r="BN398" s="101"/>
      <c r="BO398" s="101"/>
      <c r="BP398" s="101"/>
      <c r="BQ398" s="101"/>
      <c r="BR398" s="101"/>
      <c r="BS398" s="101"/>
      <c r="BT398" s="104"/>
      <c r="BU398" s="104"/>
      <c r="BV398" s="104"/>
      <c r="BW398" s="104"/>
      <c r="BX398" s="104"/>
      <c r="BY398" s="104"/>
      <c r="BZ398" s="104"/>
      <c r="CA398" s="104"/>
      <c r="CB398" s="104"/>
      <c r="CC398" s="104"/>
      <c r="CD398" s="104"/>
      <c r="CE398" s="104"/>
      <c r="CF398" s="104"/>
      <c r="CG398" s="104"/>
      <c r="CH398" s="104"/>
      <c r="CI398" s="104"/>
      <c r="CJ398" s="104"/>
      <c r="CK398" s="104"/>
      <c r="CL398" s="104"/>
      <c r="CM398" s="104"/>
      <c r="CN398" s="104"/>
      <c r="CO398" s="104"/>
      <c r="CP398" s="98"/>
      <c r="CR398" s="101"/>
      <c r="CS398" s="101"/>
      <c r="CT398" s="101"/>
      <c r="CU398" s="101"/>
      <c r="CV398" s="101"/>
      <c r="FL398" s="103"/>
      <c r="FN398" s="103"/>
      <c r="FP398" s="103"/>
      <c r="FR398" s="103"/>
    </row>
    <row r="399" spans="2:174" x14ac:dyDescent="0.35">
      <c r="B399" s="97"/>
      <c r="G399" s="100"/>
      <c r="K399" s="98"/>
      <c r="L399" s="101"/>
      <c r="M399" s="101"/>
      <c r="N399" s="101"/>
      <c r="O399" s="101"/>
      <c r="P399" s="102"/>
      <c r="Q399" s="101"/>
      <c r="R399" s="98"/>
      <c r="S399" s="98"/>
      <c r="T399" s="98"/>
      <c r="U399" s="98"/>
      <c r="V399" s="98"/>
      <c r="W399" s="98"/>
      <c r="X399" s="98"/>
      <c r="Y399" s="98"/>
      <c r="Z399" s="103"/>
      <c r="AA399" s="103"/>
      <c r="AB399" s="103"/>
      <c r="AC399" s="103"/>
      <c r="AD399" s="103"/>
      <c r="AE399" s="103"/>
      <c r="AF399" s="103"/>
      <c r="AG399" s="101"/>
      <c r="AH399" s="101"/>
      <c r="AI399" s="101"/>
      <c r="AJ399" s="101"/>
      <c r="AK399" s="101"/>
      <c r="AL399" s="101"/>
      <c r="AM399" s="101"/>
      <c r="AN399" s="103"/>
      <c r="AO399" s="103"/>
      <c r="AP399" s="103"/>
      <c r="AQ399" s="103"/>
      <c r="AR399" s="103"/>
      <c r="AS399" s="103"/>
      <c r="AT399" s="103"/>
      <c r="AU399" s="101"/>
      <c r="AV399" s="101"/>
      <c r="AW399" s="101"/>
      <c r="AX399" s="101"/>
      <c r="AY399" s="101"/>
      <c r="AZ399" s="101"/>
      <c r="BA399" s="101"/>
      <c r="BB399" s="103"/>
      <c r="BC399" s="103"/>
      <c r="BD399" s="103"/>
      <c r="BE399" s="101"/>
      <c r="BF399" s="101"/>
      <c r="BG399" s="101"/>
      <c r="BH399" s="101"/>
      <c r="BI399" s="101"/>
      <c r="BM399" s="101"/>
      <c r="BN399" s="101"/>
      <c r="BO399" s="101"/>
      <c r="BP399" s="101"/>
      <c r="BQ399" s="101"/>
      <c r="BR399" s="101"/>
      <c r="BS399" s="101"/>
      <c r="BT399" s="104"/>
      <c r="BU399" s="104"/>
      <c r="BV399" s="104"/>
      <c r="BW399" s="104"/>
      <c r="BX399" s="104"/>
      <c r="BY399" s="104"/>
      <c r="BZ399" s="104"/>
      <c r="CA399" s="104"/>
      <c r="CB399" s="104"/>
      <c r="CC399" s="104"/>
      <c r="CD399" s="104"/>
      <c r="CE399" s="104"/>
      <c r="CF399" s="104"/>
      <c r="CG399" s="104"/>
      <c r="CH399" s="104"/>
      <c r="CI399" s="104"/>
      <c r="CJ399" s="104"/>
      <c r="CK399" s="104"/>
      <c r="CL399" s="104"/>
      <c r="CM399" s="104"/>
      <c r="CN399" s="104"/>
      <c r="CO399" s="104"/>
      <c r="CP399" s="98"/>
      <c r="CR399" s="101"/>
      <c r="CS399" s="101"/>
      <c r="CT399" s="101"/>
      <c r="CU399" s="101"/>
      <c r="CV399" s="101"/>
      <c r="FL399" s="103"/>
      <c r="FN399" s="103"/>
      <c r="FP399" s="103"/>
      <c r="FR399" s="103"/>
    </row>
    <row r="400" spans="2:174" x14ac:dyDescent="0.35">
      <c r="B400" s="97"/>
      <c r="G400" s="100"/>
      <c r="K400" s="98"/>
      <c r="L400" s="101"/>
      <c r="M400" s="101"/>
      <c r="N400" s="101"/>
      <c r="O400" s="101"/>
      <c r="P400" s="102"/>
      <c r="Q400" s="101"/>
      <c r="R400" s="98"/>
      <c r="S400" s="98"/>
      <c r="T400" s="98"/>
      <c r="U400" s="98"/>
      <c r="V400" s="98"/>
      <c r="W400" s="98"/>
      <c r="X400" s="98"/>
      <c r="Y400" s="98"/>
      <c r="Z400" s="103"/>
      <c r="AA400" s="103"/>
      <c r="AB400" s="103"/>
      <c r="AC400" s="103"/>
      <c r="AD400" s="103"/>
      <c r="AE400" s="103"/>
      <c r="AF400" s="103"/>
      <c r="AG400" s="101"/>
      <c r="AH400" s="101"/>
      <c r="AI400" s="101"/>
      <c r="AJ400" s="101"/>
      <c r="AK400" s="101"/>
      <c r="AL400" s="101"/>
      <c r="AM400" s="101"/>
      <c r="AN400" s="103"/>
      <c r="AO400" s="103"/>
      <c r="AP400" s="103"/>
      <c r="AQ400" s="103"/>
      <c r="AR400" s="103"/>
      <c r="AS400" s="103"/>
      <c r="AT400" s="103"/>
      <c r="AU400" s="101"/>
      <c r="AV400" s="101"/>
      <c r="AW400" s="101"/>
      <c r="AX400" s="101"/>
      <c r="AY400" s="101"/>
      <c r="AZ400" s="101"/>
      <c r="BA400" s="101"/>
      <c r="BB400" s="103"/>
      <c r="BC400" s="103"/>
      <c r="BD400" s="103"/>
      <c r="BE400" s="101"/>
      <c r="BF400" s="101"/>
      <c r="BG400" s="101"/>
      <c r="BH400" s="101"/>
      <c r="BI400" s="101"/>
      <c r="BM400" s="101"/>
      <c r="BN400" s="101"/>
      <c r="BO400" s="101"/>
      <c r="BP400" s="101"/>
      <c r="BQ400" s="101"/>
      <c r="BR400" s="101"/>
      <c r="BS400" s="101"/>
      <c r="BT400" s="104"/>
      <c r="BU400" s="104"/>
      <c r="BV400" s="104"/>
      <c r="BW400" s="104"/>
      <c r="BX400" s="104"/>
      <c r="BY400" s="104"/>
      <c r="BZ400" s="104"/>
      <c r="CA400" s="104"/>
      <c r="CB400" s="104"/>
      <c r="CC400" s="104"/>
      <c r="CD400" s="104"/>
      <c r="CE400" s="104"/>
      <c r="CF400" s="104"/>
      <c r="CG400" s="104"/>
      <c r="CH400" s="104"/>
      <c r="CI400" s="104"/>
      <c r="CJ400" s="104"/>
      <c r="CK400" s="104"/>
      <c r="CL400" s="104"/>
      <c r="CM400" s="104"/>
      <c r="CN400" s="104"/>
      <c r="CO400" s="104"/>
      <c r="CP400" s="98"/>
      <c r="CR400" s="101"/>
      <c r="CS400" s="101"/>
      <c r="CT400" s="101"/>
      <c r="CU400" s="101"/>
      <c r="CV400" s="101"/>
      <c r="FL400" s="103"/>
      <c r="FN400" s="103"/>
      <c r="FP400" s="103"/>
      <c r="FR400" s="103"/>
    </row>
    <row r="401" spans="2:174" x14ac:dyDescent="0.35">
      <c r="B401" s="97"/>
      <c r="G401" s="100"/>
      <c r="K401" s="98"/>
      <c r="L401" s="101"/>
      <c r="M401" s="101"/>
      <c r="N401" s="101"/>
      <c r="O401" s="101"/>
      <c r="P401" s="102"/>
      <c r="Q401" s="101"/>
      <c r="R401" s="98"/>
      <c r="S401" s="98"/>
      <c r="T401" s="98"/>
      <c r="U401" s="98"/>
      <c r="V401" s="98"/>
      <c r="W401" s="98"/>
      <c r="X401" s="98"/>
      <c r="Y401" s="98"/>
      <c r="Z401" s="103"/>
      <c r="AA401" s="103"/>
      <c r="AB401" s="103"/>
      <c r="AC401" s="103"/>
      <c r="AD401" s="103"/>
      <c r="AE401" s="103"/>
      <c r="AF401" s="103"/>
      <c r="AG401" s="101"/>
      <c r="AH401" s="101"/>
      <c r="AI401" s="101"/>
      <c r="AJ401" s="101"/>
      <c r="AK401" s="101"/>
      <c r="AL401" s="101"/>
      <c r="AM401" s="101"/>
      <c r="AN401" s="103"/>
      <c r="AO401" s="103"/>
      <c r="AP401" s="103"/>
      <c r="AQ401" s="103"/>
      <c r="AR401" s="103"/>
      <c r="AS401" s="103"/>
      <c r="AT401" s="103"/>
      <c r="AU401" s="101"/>
      <c r="AV401" s="101"/>
      <c r="AW401" s="101"/>
      <c r="AX401" s="101"/>
      <c r="AY401" s="101"/>
      <c r="AZ401" s="101"/>
      <c r="BA401" s="101"/>
      <c r="BB401" s="103"/>
      <c r="BC401" s="103"/>
      <c r="BD401" s="103"/>
      <c r="BE401" s="101"/>
      <c r="BF401" s="101"/>
      <c r="BG401" s="101"/>
      <c r="BH401" s="101"/>
      <c r="BI401" s="101"/>
      <c r="BM401" s="101"/>
      <c r="BN401" s="101"/>
      <c r="BO401" s="101"/>
      <c r="BP401" s="101"/>
      <c r="BQ401" s="101"/>
      <c r="BR401" s="101"/>
      <c r="BS401" s="101"/>
      <c r="BT401" s="104"/>
      <c r="BU401" s="104"/>
      <c r="BV401" s="104"/>
      <c r="BW401" s="104"/>
      <c r="BX401" s="104"/>
      <c r="BY401" s="104"/>
      <c r="BZ401" s="104"/>
      <c r="CA401" s="104"/>
      <c r="CB401" s="104"/>
      <c r="CC401" s="104"/>
      <c r="CD401" s="104"/>
      <c r="CE401" s="104"/>
      <c r="CF401" s="104"/>
      <c r="CG401" s="104"/>
      <c r="CH401" s="104"/>
      <c r="CI401" s="104"/>
      <c r="CJ401" s="104"/>
      <c r="CK401" s="104"/>
      <c r="CL401" s="104"/>
      <c r="CM401" s="104"/>
      <c r="CN401" s="104"/>
      <c r="CO401" s="104"/>
      <c r="CP401" s="98"/>
      <c r="CR401" s="101"/>
      <c r="CS401" s="101"/>
      <c r="CT401" s="101"/>
      <c r="CU401" s="101"/>
      <c r="CV401" s="101"/>
      <c r="FL401" s="103"/>
      <c r="FN401" s="103"/>
      <c r="FP401" s="103"/>
      <c r="FR401" s="103"/>
    </row>
    <row r="402" spans="2:174" x14ac:dyDescent="0.35">
      <c r="B402" s="97"/>
      <c r="G402" s="100"/>
      <c r="K402" s="98"/>
      <c r="L402" s="101"/>
      <c r="M402" s="101"/>
      <c r="N402" s="101"/>
      <c r="O402" s="101"/>
      <c r="P402" s="102"/>
      <c r="Q402" s="101"/>
      <c r="R402" s="98"/>
      <c r="S402" s="98"/>
      <c r="T402" s="98"/>
      <c r="U402" s="98"/>
      <c r="V402" s="98"/>
      <c r="W402" s="98"/>
      <c r="X402" s="98"/>
      <c r="Y402" s="98"/>
      <c r="Z402" s="103"/>
      <c r="AA402" s="103"/>
      <c r="AB402" s="103"/>
      <c r="AC402" s="103"/>
      <c r="AD402" s="103"/>
      <c r="AE402" s="103"/>
      <c r="AF402" s="103"/>
      <c r="AG402" s="101"/>
      <c r="AH402" s="101"/>
      <c r="AI402" s="101"/>
      <c r="AJ402" s="101"/>
      <c r="AK402" s="101"/>
      <c r="AL402" s="101"/>
      <c r="AM402" s="101"/>
      <c r="AN402" s="103"/>
      <c r="AO402" s="103"/>
      <c r="AP402" s="103"/>
      <c r="AQ402" s="103"/>
      <c r="AR402" s="103"/>
      <c r="AS402" s="103"/>
      <c r="AT402" s="103"/>
      <c r="AU402" s="101"/>
      <c r="AV402" s="101"/>
      <c r="AW402" s="101"/>
      <c r="AX402" s="101"/>
      <c r="AY402" s="101"/>
      <c r="AZ402" s="101"/>
      <c r="BA402" s="101"/>
      <c r="BB402" s="103"/>
      <c r="BC402" s="103"/>
      <c r="BD402" s="103"/>
      <c r="BE402" s="101"/>
      <c r="BF402" s="101"/>
      <c r="BG402" s="101"/>
      <c r="BH402" s="101"/>
      <c r="BI402" s="101"/>
      <c r="BM402" s="101"/>
      <c r="BN402" s="101"/>
      <c r="BO402" s="101"/>
      <c r="BP402" s="101"/>
      <c r="BQ402" s="101"/>
      <c r="BR402" s="101"/>
      <c r="BS402" s="101"/>
      <c r="BT402" s="104"/>
      <c r="BU402" s="104"/>
      <c r="BV402" s="104"/>
      <c r="BW402" s="104"/>
      <c r="BX402" s="104"/>
      <c r="BY402" s="104"/>
      <c r="BZ402" s="104"/>
      <c r="CA402" s="104"/>
      <c r="CB402" s="104"/>
      <c r="CC402" s="104"/>
      <c r="CD402" s="104"/>
      <c r="CE402" s="104"/>
      <c r="CF402" s="104"/>
      <c r="CG402" s="104"/>
      <c r="CH402" s="104"/>
      <c r="CI402" s="104"/>
      <c r="CJ402" s="104"/>
      <c r="CK402" s="104"/>
      <c r="CL402" s="104"/>
      <c r="CM402" s="104"/>
      <c r="CN402" s="104"/>
      <c r="CO402" s="104"/>
      <c r="CP402" s="98"/>
      <c r="CR402" s="101"/>
      <c r="CS402" s="101"/>
      <c r="CT402" s="101"/>
      <c r="CU402" s="101"/>
      <c r="CV402" s="101"/>
      <c r="FL402" s="103"/>
      <c r="FN402" s="103"/>
      <c r="FP402" s="103"/>
      <c r="FR402" s="103"/>
    </row>
    <row r="403" spans="2:174" x14ac:dyDescent="0.35">
      <c r="B403" s="97"/>
      <c r="G403" s="100"/>
      <c r="K403" s="98"/>
      <c r="L403" s="101"/>
      <c r="M403" s="101"/>
      <c r="N403" s="101"/>
      <c r="O403" s="101"/>
      <c r="P403" s="102"/>
      <c r="Q403" s="101"/>
      <c r="R403" s="98"/>
      <c r="S403" s="98"/>
      <c r="T403" s="98"/>
      <c r="U403" s="98"/>
      <c r="V403" s="98"/>
      <c r="W403" s="98"/>
      <c r="X403" s="98"/>
      <c r="Y403" s="98"/>
      <c r="Z403" s="103"/>
      <c r="AA403" s="103"/>
      <c r="AB403" s="103"/>
      <c r="AC403" s="103"/>
      <c r="AD403" s="103"/>
      <c r="AE403" s="103"/>
      <c r="AF403" s="103"/>
      <c r="AG403" s="101"/>
      <c r="AH403" s="101"/>
      <c r="AI403" s="101"/>
      <c r="AJ403" s="101"/>
      <c r="AK403" s="101"/>
      <c r="AL403" s="101"/>
      <c r="AM403" s="101"/>
      <c r="AN403" s="103"/>
      <c r="AO403" s="103"/>
      <c r="AP403" s="103"/>
      <c r="AQ403" s="103"/>
      <c r="AR403" s="103"/>
      <c r="AS403" s="103"/>
      <c r="AT403" s="103"/>
      <c r="AU403" s="101"/>
      <c r="AV403" s="101"/>
      <c r="AW403" s="101"/>
      <c r="AX403" s="101"/>
      <c r="AY403" s="101"/>
      <c r="AZ403" s="101"/>
      <c r="BA403" s="101"/>
      <c r="BB403" s="103"/>
      <c r="BC403" s="103"/>
      <c r="BD403" s="103"/>
      <c r="BE403" s="101"/>
      <c r="BF403" s="101"/>
      <c r="BG403" s="101"/>
      <c r="BH403" s="101"/>
      <c r="BI403" s="101"/>
      <c r="BM403" s="101"/>
      <c r="BN403" s="101"/>
      <c r="BO403" s="101"/>
      <c r="BP403" s="101"/>
      <c r="BQ403" s="101"/>
      <c r="BR403" s="101"/>
      <c r="BS403" s="101"/>
      <c r="BT403" s="104"/>
      <c r="BU403" s="104"/>
      <c r="BV403" s="104"/>
      <c r="BW403" s="104"/>
      <c r="BX403" s="104"/>
      <c r="BY403" s="104"/>
      <c r="BZ403" s="104"/>
      <c r="CA403" s="104"/>
      <c r="CB403" s="104"/>
      <c r="CC403" s="104"/>
      <c r="CD403" s="104"/>
      <c r="CE403" s="104"/>
      <c r="CF403" s="104"/>
      <c r="CG403" s="104"/>
      <c r="CH403" s="104"/>
      <c r="CI403" s="104"/>
      <c r="CJ403" s="104"/>
      <c r="CK403" s="104"/>
      <c r="CL403" s="104"/>
      <c r="CM403" s="104"/>
      <c r="CN403" s="104"/>
      <c r="CO403" s="104"/>
      <c r="CP403" s="98"/>
      <c r="CR403" s="101"/>
      <c r="CS403" s="101"/>
      <c r="CT403" s="101"/>
      <c r="CU403" s="101"/>
      <c r="CV403" s="101"/>
      <c r="FL403" s="103"/>
      <c r="FN403" s="103"/>
      <c r="FP403" s="103"/>
      <c r="FR403" s="103"/>
    </row>
    <row r="404" spans="2:174" x14ac:dyDescent="0.35">
      <c r="B404" s="97"/>
      <c r="G404" s="100"/>
      <c r="K404" s="98"/>
      <c r="L404" s="101"/>
      <c r="M404" s="101"/>
      <c r="N404" s="101"/>
      <c r="O404" s="101"/>
      <c r="P404" s="102"/>
      <c r="Q404" s="101"/>
      <c r="R404" s="98"/>
      <c r="S404" s="98"/>
      <c r="T404" s="98"/>
      <c r="U404" s="98"/>
      <c r="V404" s="98"/>
      <c r="W404" s="98"/>
      <c r="X404" s="98"/>
      <c r="Y404" s="98"/>
      <c r="Z404" s="103"/>
      <c r="AA404" s="103"/>
      <c r="AB404" s="103"/>
      <c r="AC404" s="103"/>
      <c r="AD404" s="103"/>
      <c r="AE404" s="103"/>
      <c r="AF404" s="103"/>
      <c r="AG404" s="101"/>
      <c r="AH404" s="101"/>
      <c r="AI404" s="101"/>
      <c r="AJ404" s="101"/>
      <c r="AK404" s="101"/>
      <c r="AL404" s="101"/>
      <c r="AM404" s="101"/>
      <c r="AN404" s="103"/>
      <c r="AO404" s="103"/>
      <c r="AP404" s="103"/>
      <c r="AQ404" s="103"/>
      <c r="AR404" s="103"/>
      <c r="AS404" s="103"/>
      <c r="AT404" s="103"/>
      <c r="AU404" s="101"/>
      <c r="AV404" s="101"/>
      <c r="AW404" s="101"/>
      <c r="AX404" s="101"/>
      <c r="AY404" s="101"/>
      <c r="AZ404" s="101"/>
      <c r="BA404" s="101"/>
      <c r="BB404" s="103"/>
      <c r="BC404" s="103"/>
      <c r="BD404" s="103"/>
      <c r="BE404" s="101"/>
      <c r="BF404" s="101"/>
      <c r="BG404" s="101"/>
      <c r="BH404" s="101"/>
      <c r="BI404" s="101"/>
      <c r="BM404" s="101"/>
      <c r="BN404" s="101"/>
      <c r="BO404" s="101"/>
      <c r="BP404" s="101"/>
      <c r="BQ404" s="101"/>
      <c r="BR404" s="101"/>
      <c r="BS404" s="101"/>
      <c r="BT404" s="104"/>
      <c r="BU404" s="104"/>
      <c r="BV404" s="104"/>
      <c r="BW404" s="104"/>
      <c r="BX404" s="104"/>
      <c r="BY404" s="104"/>
      <c r="BZ404" s="104"/>
      <c r="CA404" s="104"/>
      <c r="CB404" s="104"/>
      <c r="CC404" s="104"/>
      <c r="CD404" s="104"/>
      <c r="CE404" s="104"/>
      <c r="CF404" s="104"/>
      <c r="CG404" s="104"/>
      <c r="CH404" s="104"/>
      <c r="CI404" s="104"/>
      <c r="CJ404" s="104"/>
      <c r="CK404" s="104"/>
      <c r="CL404" s="104"/>
      <c r="CM404" s="104"/>
      <c r="CN404" s="104"/>
      <c r="CO404" s="104"/>
      <c r="CP404" s="98"/>
      <c r="CR404" s="101"/>
      <c r="CS404" s="101"/>
      <c r="CT404" s="101"/>
      <c r="CU404" s="101"/>
      <c r="CV404" s="101"/>
      <c r="FL404" s="103"/>
      <c r="FN404" s="103"/>
      <c r="FP404" s="103"/>
      <c r="FR404" s="103"/>
    </row>
    <row r="405" spans="2:174" x14ac:dyDescent="0.35">
      <c r="B405" s="97"/>
      <c r="G405" s="100"/>
      <c r="K405" s="98"/>
      <c r="L405" s="101"/>
      <c r="M405" s="101"/>
      <c r="N405" s="101"/>
      <c r="O405" s="101"/>
      <c r="P405" s="102"/>
      <c r="Q405" s="101"/>
      <c r="R405" s="98"/>
      <c r="S405" s="98"/>
      <c r="T405" s="98"/>
      <c r="U405" s="98"/>
      <c r="V405" s="98"/>
      <c r="W405" s="98"/>
      <c r="X405" s="98"/>
      <c r="Y405" s="98"/>
      <c r="Z405" s="103"/>
      <c r="AA405" s="103"/>
      <c r="AB405" s="103"/>
      <c r="AC405" s="103"/>
      <c r="AD405" s="103"/>
      <c r="AE405" s="103"/>
      <c r="AF405" s="103"/>
      <c r="AG405" s="101"/>
      <c r="AH405" s="101"/>
      <c r="AI405" s="101"/>
      <c r="AJ405" s="101"/>
      <c r="AK405" s="101"/>
      <c r="AL405" s="101"/>
      <c r="AM405" s="101"/>
      <c r="AN405" s="103"/>
      <c r="AO405" s="103"/>
      <c r="AP405" s="103"/>
      <c r="AQ405" s="103"/>
      <c r="AR405" s="103"/>
      <c r="AS405" s="103"/>
      <c r="AT405" s="103"/>
      <c r="AU405" s="101"/>
      <c r="AV405" s="101"/>
      <c r="AW405" s="101"/>
      <c r="AX405" s="101"/>
      <c r="AY405" s="101"/>
      <c r="AZ405" s="101"/>
      <c r="BA405" s="101"/>
      <c r="BB405" s="103"/>
      <c r="BC405" s="103"/>
      <c r="BD405" s="103"/>
      <c r="BE405" s="101"/>
      <c r="BF405" s="101"/>
      <c r="BG405" s="101"/>
      <c r="BH405" s="101"/>
      <c r="BI405" s="101"/>
      <c r="BM405" s="101"/>
      <c r="BN405" s="101"/>
      <c r="BO405" s="101"/>
      <c r="BP405" s="101"/>
      <c r="BQ405" s="101"/>
      <c r="BR405" s="101"/>
      <c r="BS405" s="101"/>
      <c r="BT405" s="104"/>
      <c r="BU405" s="104"/>
      <c r="BV405" s="104"/>
      <c r="BW405" s="104"/>
      <c r="BX405" s="104"/>
      <c r="BY405" s="104"/>
      <c r="BZ405" s="104"/>
      <c r="CA405" s="104"/>
      <c r="CB405" s="104"/>
      <c r="CC405" s="104"/>
      <c r="CD405" s="104"/>
      <c r="CE405" s="104"/>
      <c r="CF405" s="104"/>
      <c r="CG405" s="104"/>
      <c r="CH405" s="104"/>
      <c r="CI405" s="104"/>
      <c r="CJ405" s="104"/>
      <c r="CK405" s="104"/>
      <c r="CL405" s="104"/>
      <c r="CM405" s="104"/>
      <c r="CN405" s="104"/>
      <c r="CO405" s="104"/>
      <c r="CP405" s="98"/>
      <c r="CR405" s="101"/>
      <c r="CS405" s="101"/>
      <c r="CT405" s="101"/>
      <c r="CU405" s="101"/>
      <c r="CV405" s="101"/>
      <c r="FL405" s="103"/>
      <c r="FN405" s="103"/>
      <c r="FP405" s="103"/>
      <c r="FR405" s="103"/>
    </row>
    <row r="406" spans="2:174" x14ac:dyDescent="0.35">
      <c r="B406" s="97"/>
      <c r="G406" s="100"/>
      <c r="K406" s="98"/>
      <c r="L406" s="101"/>
      <c r="M406" s="101"/>
      <c r="N406" s="101"/>
      <c r="O406" s="101"/>
      <c r="P406" s="102"/>
      <c r="Q406" s="101"/>
      <c r="R406" s="98"/>
      <c r="S406" s="98"/>
      <c r="T406" s="98"/>
      <c r="U406" s="98"/>
      <c r="V406" s="98"/>
      <c r="W406" s="98"/>
      <c r="X406" s="98"/>
      <c r="Y406" s="98"/>
      <c r="Z406" s="103"/>
      <c r="AA406" s="103"/>
      <c r="AB406" s="103"/>
      <c r="AC406" s="103"/>
      <c r="AD406" s="103"/>
      <c r="AE406" s="103"/>
      <c r="AF406" s="103"/>
      <c r="AG406" s="101"/>
      <c r="AH406" s="101"/>
      <c r="AI406" s="101"/>
      <c r="AJ406" s="101"/>
      <c r="AK406" s="101"/>
      <c r="AL406" s="101"/>
      <c r="AM406" s="101"/>
      <c r="AN406" s="103"/>
      <c r="AO406" s="103"/>
      <c r="AP406" s="103"/>
      <c r="AQ406" s="103"/>
      <c r="AR406" s="103"/>
      <c r="AS406" s="103"/>
      <c r="AT406" s="103"/>
      <c r="AU406" s="101"/>
      <c r="AV406" s="101"/>
      <c r="AW406" s="101"/>
      <c r="AX406" s="101"/>
      <c r="AY406" s="101"/>
      <c r="AZ406" s="101"/>
      <c r="BA406" s="101"/>
      <c r="BB406" s="103"/>
      <c r="BC406" s="103"/>
      <c r="BD406" s="103"/>
      <c r="BE406" s="101"/>
      <c r="BF406" s="101"/>
      <c r="BG406" s="101"/>
      <c r="BH406" s="101"/>
      <c r="BI406" s="101"/>
      <c r="BM406" s="101"/>
      <c r="BN406" s="101"/>
      <c r="BO406" s="101"/>
      <c r="BP406" s="101"/>
      <c r="BQ406" s="101"/>
      <c r="BR406" s="101"/>
      <c r="BS406" s="101"/>
      <c r="BT406" s="104"/>
      <c r="BU406" s="104"/>
      <c r="BV406" s="104"/>
      <c r="BW406" s="104"/>
      <c r="BX406" s="104"/>
      <c r="BY406" s="104"/>
      <c r="BZ406" s="104"/>
      <c r="CA406" s="104"/>
      <c r="CB406" s="104"/>
      <c r="CC406" s="104"/>
      <c r="CD406" s="104"/>
      <c r="CE406" s="104"/>
      <c r="CF406" s="104"/>
      <c r="CG406" s="104"/>
      <c r="CH406" s="104"/>
      <c r="CI406" s="104"/>
      <c r="CJ406" s="104"/>
      <c r="CK406" s="104"/>
      <c r="CL406" s="104"/>
      <c r="CM406" s="104"/>
      <c r="CN406" s="104"/>
      <c r="CO406" s="104"/>
      <c r="CP406" s="98"/>
      <c r="CR406" s="101"/>
      <c r="CS406" s="101"/>
      <c r="CT406" s="101"/>
      <c r="CU406" s="101"/>
      <c r="CV406" s="101"/>
      <c r="FL406" s="103"/>
      <c r="FN406" s="103"/>
      <c r="FP406" s="103"/>
      <c r="FR406" s="103"/>
    </row>
    <row r="407" spans="2:174" x14ac:dyDescent="0.35">
      <c r="B407" s="97"/>
      <c r="G407" s="100"/>
      <c r="K407" s="98"/>
      <c r="L407" s="101"/>
      <c r="M407" s="101"/>
      <c r="N407" s="101"/>
      <c r="O407" s="101"/>
      <c r="P407" s="102"/>
      <c r="Q407" s="101"/>
      <c r="R407" s="98"/>
      <c r="S407" s="98"/>
      <c r="T407" s="98"/>
      <c r="U407" s="98"/>
      <c r="V407" s="98"/>
      <c r="W407" s="98"/>
      <c r="X407" s="98"/>
      <c r="Y407" s="98"/>
      <c r="Z407" s="103"/>
      <c r="AA407" s="103"/>
      <c r="AB407" s="103"/>
      <c r="AC407" s="103"/>
      <c r="AD407" s="103"/>
      <c r="AE407" s="103"/>
      <c r="AF407" s="103"/>
      <c r="AG407" s="101"/>
      <c r="AH407" s="101"/>
      <c r="AI407" s="101"/>
      <c r="AJ407" s="101"/>
      <c r="AK407" s="101"/>
      <c r="AL407" s="101"/>
      <c r="AM407" s="101"/>
      <c r="AN407" s="103"/>
      <c r="AO407" s="103"/>
      <c r="AP407" s="103"/>
      <c r="AQ407" s="103"/>
      <c r="AR407" s="103"/>
      <c r="AS407" s="103"/>
      <c r="AT407" s="103"/>
      <c r="AU407" s="101"/>
      <c r="AV407" s="101"/>
      <c r="AW407" s="101"/>
      <c r="AX407" s="101"/>
      <c r="AY407" s="101"/>
      <c r="AZ407" s="101"/>
      <c r="BA407" s="101"/>
      <c r="BB407" s="103"/>
      <c r="BC407" s="103"/>
      <c r="BD407" s="103"/>
      <c r="BE407" s="101"/>
      <c r="BF407" s="101"/>
      <c r="BG407" s="101"/>
      <c r="BH407" s="101"/>
      <c r="BI407" s="101"/>
      <c r="BM407" s="101"/>
      <c r="BN407" s="101"/>
      <c r="BO407" s="101"/>
      <c r="BP407" s="101"/>
      <c r="BQ407" s="101"/>
      <c r="BR407" s="101"/>
      <c r="BS407" s="101"/>
      <c r="BT407" s="104"/>
      <c r="BU407" s="104"/>
      <c r="BV407" s="104"/>
      <c r="BW407" s="104"/>
      <c r="BX407" s="104"/>
      <c r="BY407" s="104"/>
      <c r="BZ407" s="104"/>
      <c r="CA407" s="104"/>
      <c r="CB407" s="104"/>
      <c r="CC407" s="104"/>
      <c r="CD407" s="104"/>
      <c r="CE407" s="104"/>
      <c r="CF407" s="104"/>
      <c r="CG407" s="104"/>
      <c r="CH407" s="104"/>
      <c r="CI407" s="104"/>
      <c r="CJ407" s="104"/>
      <c r="CK407" s="104"/>
      <c r="CL407" s="104"/>
      <c r="CM407" s="104"/>
      <c r="CN407" s="104"/>
      <c r="CO407" s="104"/>
      <c r="CP407" s="98"/>
      <c r="CR407" s="101"/>
      <c r="CS407" s="101"/>
      <c r="CT407" s="101"/>
      <c r="CU407" s="101"/>
      <c r="CV407" s="101"/>
      <c r="FL407" s="103"/>
      <c r="FN407" s="103"/>
      <c r="FP407" s="103"/>
      <c r="FR407" s="103"/>
    </row>
    <row r="408" spans="2:174" x14ac:dyDescent="0.35">
      <c r="B408" s="97"/>
      <c r="G408" s="100"/>
      <c r="K408" s="98"/>
      <c r="L408" s="101"/>
      <c r="M408" s="101"/>
      <c r="N408" s="101"/>
      <c r="O408" s="101"/>
      <c r="P408" s="102"/>
      <c r="Q408" s="101"/>
      <c r="R408" s="98"/>
      <c r="S408" s="98"/>
      <c r="T408" s="98"/>
      <c r="U408" s="98"/>
      <c r="V408" s="98"/>
      <c r="W408" s="98"/>
      <c r="X408" s="98"/>
      <c r="Y408" s="98"/>
      <c r="Z408" s="103"/>
      <c r="AA408" s="103"/>
      <c r="AB408" s="103"/>
      <c r="AC408" s="103"/>
      <c r="AD408" s="103"/>
      <c r="AE408" s="103"/>
      <c r="AF408" s="103"/>
      <c r="AG408" s="101"/>
      <c r="AH408" s="101"/>
      <c r="AI408" s="101"/>
      <c r="AJ408" s="101"/>
      <c r="AK408" s="101"/>
      <c r="AL408" s="101"/>
      <c r="AM408" s="101"/>
      <c r="AN408" s="103"/>
      <c r="AO408" s="103"/>
      <c r="AP408" s="103"/>
      <c r="AQ408" s="103"/>
      <c r="AR408" s="103"/>
      <c r="AS408" s="103"/>
      <c r="AT408" s="103"/>
      <c r="AU408" s="101"/>
      <c r="AV408" s="101"/>
      <c r="AW408" s="101"/>
      <c r="AX408" s="101"/>
      <c r="AY408" s="101"/>
      <c r="AZ408" s="101"/>
      <c r="BA408" s="101"/>
      <c r="BB408" s="103"/>
      <c r="BC408" s="103"/>
      <c r="BD408" s="103"/>
      <c r="BE408" s="101"/>
      <c r="BF408" s="101"/>
      <c r="BG408" s="101"/>
      <c r="BH408" s="101"/>
      <c r="BI408" s="101"/>
      <c r="BM408" s="101"/>
      <c r="BN408" s="101"/>
      <c r="BO408" s="101"/>
      <c r="BP408" s="101"/>
      <c r="BQ408" s="101"/>
      <c r="BR408" s="101"/>
      <c r="BS408" s="101"/>
      <c r="BT408" s="104"/>
      <c r="BU408" s="104"/>
      <c r="BV408" s="104"/>
      <c r="BW408" s="104"/>
      <c r="BX408" s="104"/>
      <c r="BY408" s="104"/>
      <c r="BZ408" s="104"/>
      <c r="CA408" s="104"/>
      <c r="CB408" s="104"/>
      <c r="CC408" s="104"/>
      <c r="CD408" s="104"/>
      <c r="CE408" s="104"/>
      <c r="CF408" s="104"/>
      <c r="CG408" s="104"/>
      <c r="CH408" s="104"/>
      <c r="CI408" s="104"/>
      <c r="CJ408" s="104"/>
      <c r="CK408" s="104"/>
      <c r="CL408" s="104"/>
      <c r="CM408" s="104"/>
      <c r="CN408" s="104"/>
      <c r="CO408" s="104"/>
      <c r="CP408" s="98"/>
      <c r="CR408" s="101"/>
      <c r="CS408" s="101"/>
      <c r="CT408" s="101"/>
      <c r="CU408" s="101"/>
      <c r="CV408" s="101"/>
      <c r="FL408" s="103"/>
      <c r="FN408" s="103"/>
      <c r="FP408" s="103"/>
      <c r="FR408" s="103"/>
    </row>
    <row r="409" spans="2:174" x14ac:dyDescent="0.35">
      <c r="B409" s="97"/>
      <c r="G409" s="100"/>
      <c r="K409" s="98"/>
      <c r="L409" s="101"/>
      <c r="M409" s="101"/>
      <c r="N409" s="101"/>
      <c r="O409" s="101"/>
      <c r="P409" s="102"/>
      <c r="Q409" s="101"/>
      <c r="R409" s="98"/>
      <c r="S409" s="98"/>
      <c r="T409" s="98"/>
      <c r="U409" s="98"/>
      <c r="V409" s="98"/>
      <c r="W409" s="98"/>
      <c r="X409" s="98"/>
      <c r="Y409" s="98"/>
      <c r="Z409" s="103"/>
      <c r="AA409" s="103"/>
      <c r="AB409" s="103"/>
      <c r="AC409" s="103"/>
      <c r="AD409" s="103"/>
      <c r="AE409" s="103"/>
      <c r="AF409" s="103"/>
      <c r="AG409" s="101"/>
      <c r="AH409" s="101"/>
      <c r="AI409" s="101"/>
      <c r="AJ409" s="101"/>
      <c r="AK409" s="101"/>
      <c r="AL409" s="101"/>
      <c r="AM409" s="101"/>
      <c r="AN409" s="103"/>
      <c r="AO409" s="103"/>
      <c r="AP409" s="103"/>
      <c r="AQ409" s="103"/>
      <c r="AR409" s="103"/>
      <c r="AS409" s="103"/>
      <c r="AT409" s="103"/>
      <c r="AU409" s="101"/>
      <c r="AV409" s="101"/>
      <c r="AW409" s="101"/>
      <c r="AX409" s="101"/>
      <c r="AY409" s="101"/>
      <c r="AZ409" s="101"/>
      <c r="BA409" s="101"/>
      <c r="BB409" s="103"/>
      <c r="BC409" s="103"/>
      <c r="BD409" s="103"/>
      <c r="BE409" s="101"/>
      <c r="BF409" s="101"/>
      <c r="BG409" s="101"/>
      <c r="BH409" s="101"/>
      <c r="BI409" s="101"/>
      <c r="BM409" s="101"/>
      <c r="BN409" s="101"/>
      <c r="BO409" s="101"/>
      <c r="BP409" s="101"/>
      <c r="BQ409" s="101"/>
      <c r="BR409" s="101"/>
      <c r="BS409" s="101"/>
      <c r="BT409" s="104"/>
      <c r="BU409" s="104"/>
      <c r="BV409" s="104"/>
      <c r="BW409" s="104"/>
      <c r="BX409" s="104"/>
      <c r="BY409" s="104"/>
      <c r="BZ409" s="104"/>
      <c r="CA409" s="104"/>
      <c r="CB409" s="104"/>
      <c r="CC409" s="104"/>
      <c r="CD409" s="104"/>
      <c r="CE409" s="104"/>
      <c r="CF409" s="104"/>
      <c r="CG409" s="104"/>
      <c r="CH409" s="104"/>
      <c r="CI409" s="104"/>
      <c r="CJ409" s="104"/>
      <c r="CK409" s="104"/>
      <c r="CL409" s="104"/>
      <c r="CM409" s="104"/>
      <c r="CN409" s="104"/>
      <c r="CO409" s="104"/>
      <c r="CP409" s="98"/>
      <c r="CR409" s="101"/>
      <c r="CS409" s="101"/>
      <c r="CT409" s="101"/>
      <c r="CU409" s="101"/>
      <c r="CV409" s="101"/>
      <c r="FL409" s="103"/>
      <c r="FN409" s="103"/>
      <c r="FP409" s="103"/>
      <c r="FR409" s="103"/>
    </row>
    <row r="410" spans="2:174" x14ac:dyDescent="0.35">
      <c r="B410" s="97"/>
      <c r="G410" s="100"/>
      <c r="K410" s="98"/>
      <c r="L410" s="101"/>
      <c r="M410" s="101"/>
      <c r="N410" s="101"/>
      <c r="O410" s="101"/>
      <c r="P410" s="102"/>
      <c r="Q410" s="101"/>
      <c r="R410" s="98"/>
      <c r="S410" s="98"/>
      <c r="T410" s="98"/>
      <c r="U410" s="98"/>
      <c r="V410" s="98"/>
      <c r="W410" s="98"/>
      <c r="X410" s="98"/>
      <c r="Y410" s="98"/>
      <c r="Z410" s="103"/>
      <c r="AA410" s="103"/>
      <c r="AB410" s="103"/>
      <c r="AC410" s="103"/>
      <c r="AD410" s="103"/>
      <c r="AE410" s="103"/>
      <c r="AF410" s="103"/>
      <c r="AG410" s="101"/>
      <c r="AH410" s="101"/>
      <c r="AI410" s="101"/>
      <c r="AJ410" s="101"/>
      <c r="AK410" s="101"/>
      <c r="AL410" s="101"/>
      <c r="AM410" s="101"/>
      <c r="AN410" s="103"/>
      <c r="AO410" s="103"/>
      <c r="AP410" s="103"/>
      <c r="AQ410" s="103"/>
      <c r="AR410" s="103"/>
      <c r="AS410" s="103"/>
      <c r="AT410" s="103"/>
      <c r="AU410" s="101"/>
      <c r="AV410" s="101"/>
      <c r="AW410" s="101"/>
      <c r="AX410" s="101"/>
      <c r="AY410" s="101"/>
      <c r="AZ410" s="101"/>
      <c r="BA410" s="101"/>
      <c r="BB410" s="103"/>
      <c r="BC410" s="103"/>
      <c r="BD410" s="103"/>
      <c r="BE410" s="101"/>
      <c r="BF410" s="101"/>
      <c r="BG410" s="101"/>
      <c r="BH410" s="101"/>
      <c r="BI410" s="101"/>
      <c r="BM410" s="101"/>
      <c r="BN410" s="101"/>
      <c r="BO410" s="101"/>
      <c r="BP410" s="101"/>
      <c r="BQ410" s="101"/>
      <c r="BR410" s="101"/>
      <c r="BS410" s="101"/>
      <c r="BT410" s="104"/>
      <c r="BU410" s="104"/>
      <c r="BV410" s="104"/>
      <c r="BW410" s="104"/>
      <c r="BX410" s="104"/>
      <c r="BY410" s="104"/>
      <c r="BZ410" s="104"/>
      <c r="CA410" s="104"/>
      <c r="CB410" s="104"/>
      <c r="CC410" s="104"/>
      <c r="CD410" s="104"/>
      <c r="CE410" s="104"/>
      <c r="CF410" s="104"/>
      <c r="CG410" s="104"/>
      <c r="CH410" s="104"/>
      <c r="CI410" s="104"/>
      <c r="CJ410" s="104"/>
      <c r="CK410" s="104"/>
      <c r="CL410" s="104"/>
      <c r="CM410" s="104"/>
      <c r="CN410" s="104"/>
      <c r="CO410" s="104"/>
      <c r="CP410" s="98"/>
      <c r="CR410" s="101"/>
      <c r="CS410" s="101"/>
      <c r="CT410" s="101"/>
      <c r="CU410" s="101"/>
      <c r="CV410" s="101"/>
      <c r="FL410" s="103"/>
      <c r="FN410" s="103"/>
      <c r="FP410" s="103"/>
      <c r="FR410" s="103"/>
    </row>
    <row r="411" spans="2:174" x14ac:dyDescent="0.35">
      <c r="B411" s="97"/>
      <c r="G411" s="100"/>
      <c r="K411" s="98"/>
      <c r="L411" s="101"/>
      <c r="M411" s="101"/>
      <c r="N411" s="101"/>
      <c r="O411" s="101"/>
      <c r="P411" s="102"/>
      <c r="Q411" s="101"/>
      <c r="R411" s="98"/>
      <c r="S411" s="98"/>
      <c r="T411" s="98"/>
      <c r="U411" s="98"/>
      <c r="V411" s="98"/>
      <c r="W411" s="98"/>
      <c r="X411" s="98"/>
      <c r="Y411" s="98"/>
      <c r="Z411" s="103"/>
      <c r="AA411" s="103"/>
      <c r="AB411" s="103"/>
      <c r="AC411" s="103"/>
      <c r="AD411" s="103"/>
      <c r="AE411" s="103"/>
      <c r="AF411" s="103"/>
      <c r="AG411" s="101"/>
      <c r="AH411" s="101"/>
      <c r="AI411" s="101"/>
      <c r="AJ411" s="101"/>
      <c r="AK411" s="101"/>
      <c r="AL411" s="101"/>
      <c r="AM411" s="101"/>
      <c r="AN411" s="103"/>
      <c r="AO411" s="103"/>
      <c r="AP411" s="103"/>
      <c r="AQ411" s="103"/>
      <c r="AR411" s="103"/>
      <c r="AS411" s="103"/>
      <c r="AT411" s="103"/>
      <c r="AU411" s="101"/>
      <c r="AV411" s="101"/>
      <c r="AW411" s="101"/>
      <c r="AX411" s="101"/>
      <c r="AY411" s="101"/>
      <c r="AZ411" s="101"/>
      <c r="BA411" s="101"/>
      <c r="BB411" s="103"/>
      <c r="BC411" s="103"/>
      <c r="BD411" s="103"/>
      <c r="BE411" s="101"/>
      <c r="BF411" s="101"/>
      <c r="BG411" s="101"/>
      <c r="BH411" s="101"/>
      <c r="BI411" s="101"/>
      <c r="BM411" s="101"/>
      <c r="BN411" s="101"/>
      <c r="BO411" s="101"/>
      <c r="BP411" s="101"/>
      <c r="BQ411" s="101"/>
      <c r="BR411" s="101"/>
      <c r="BS411" s="101"/>
      <c r="BT411" s="104"/>
      <c r="BU411" s="104"/>
      <c r="BV411" s="104"/>
      <c r="BW411" s="104"/>
      <c r="BX411" s="104"/>
      <c r="BY411" s="104"/>
      <c r="BZ411" s="104"/>
      <c r="CA411" s="104"/>
      <c r="CB411" s="104"/>
      <c r="CC411" s="104"/>
      <c r="CD411" s="104"/>
      <c r="CE411" s="104"/>
      <c r="CF411" s="104"/>
      <c r="CG411" s="104"/>
      <c r="CH411" s="104"/>
      <c r="CI411" s="104"/>
      <c r="CJ411" s="104"/>
      <c r="CK411" s="104"/>
      <c r="CL411" s="104"/>
      <c r="CM411" s="104"/>
      <c r="CN411" s="104"/>
      <c r="CO411" s="104"/>
      <c r="CP411" s="98"/>
      <c r="CR411" s="101"/>
      <c r="CS411" s="101"/>
      <c r="CT411" s="101"/>
      <c r="CU411" s="101"/>
      <c r="CV411" s="101"/>
      <c r="FL411" s="103"/>
      <c r="FN411" s="103"/>
      <c r="FP411" s="103"/>
      <c r="FR411" s="103"/>
    </row>
    <row r="412" spans="2:174" x14ac:dyDescent="0.35">
      <c r="B412" s="97"/>
      <c r="G412" s="100"/>
      <c r="K412" s="98"/>
      <c r="L412" s="101"/>
      <c r="M412" s="101"/>
      <c r="N412" s="101"/>
      <c r="O412" s="101"/>
      <c r="P412" s="102"/>
      <c r="Q412" s="101"/>
      <c r="R412" s="98"/>
      <c r="S412" s="98"/>
      <c r="T412" s="98"/>
      <c r="U412" s="98"/>
      <c r="V412" s="98"/>
      <c r="W412" s="98"/>
      <c r="X412" s="98"/>
      <c r="Y412" s="98"/>
      <c r="Z412" s="103"/>
      <c r="AA412" s="103"/>
      <c r="AB412" s="103"/>
      <c r="AC412" s="103"/>
      <c r="AD412" s="103"/>
      <c r="AE412" s="103"/>
      <c r="AF412" s="103"/>
      <c r="AG412" s="101"/>
      <c r="AH412" s="101"/>
      <c r="AI412" s="101"/>
      <c r="AJ412" s="101"/>
      <c r="AK412" s="101"/>
      <c r="AL412" s="101"/>
      <c r="AM412" s="101"/>
      <c r="AN412" s="103"/>
      <c r="AO412" s="103"/>
      <c r="AP412" s="103"/>
      <c r="AQ412" s="103"/>
      <c r="AR412" s="103"/>
      <c r="AS412" s="103"/>
      <c r="AT412" s="103"/>
      <c r="AU412" s="101"/>
      <c r="AV412" s="101"/>
      <c r="AW412" s="101"/>
      <c r="AX412" s="101"/>
      <c r="AY412" s="101"/>
      <c r="AZ412" s="101"/>
      <c r="BA412" s="101"/>
      <c r="BB412" s="103"/>
      <c r="BC412" s="103"/>
      <c r="BD412" s="103"/>
      <c r="BE412" s="101"/>
      <c r="BF412" s="101"/>
      <c r="BG412" s="101"/>
      <c r="BH412" s="101"/>
      <c r="BI412" s="101"/>
      <c r="BM412" s="101"/>
      <c r="BN412" s="101"/>
      <c r="BO412" s="101"/>
      <c r="BP412" s="101"/>
      <c r="BQ412" s="101"/>
      <c r="BR412" s="101"/>
      <c r="BS412" s="101"/>
      <c r="BT412" s="104"/>
      <c r="BU412" s="104"/>
      <c r="BV412" s="104"/>
      <c r="BW412" s="104"/>
      <c r="BX412" s="104"/>
      <c r="BY412" s="104"/>
      <c r="BZ412" s="104"/>
      <c r="CA412" s="104"/>
      <c r="CB412" s="104"/>
      <c r="CC412" s="104"/>
      <c r="CD412" s="104"/>
      <c r="CE412" s="104"/>
      <c r="CF412" s="104"/>
      <c r="CG412" s="104"/>
      <c r="CH412" s="104"/>
      <c r="CI412" s="104"/>
      <c r="CJ412" s="104"/>
      <c r="CK412" s="104"/>
      <c r="CL412" s="104"/>
      <c r="CM412" s="104"/>
      <c r="CN412" s="104"/>
      <c r="CO412" s="104"/>
      <c r="CP412" s="98"/>
      <c r="CR412" s="101"/>
      <c r="CS412" s="101"/>
      <c r="CT412" s="101"/>
      <c r="CU412" s="101"/>
      <c r="CV412" s="101"/>
      <c r="FL412" s="103"/>
      <c r="FN412" s="103"/>
      <c r="FP412" s="103"/>
      <c r="FR412" s="103"/>
    </row>
    <row r="413" spans="2:174" x14ac:dyDescent="0.35">
      <c r="B413" s="97"/>
      <c r="G413" s="100"/>
      <c r="K413" s="98"/>
      <c r="L413" s="101"/>
      <c r="M413" s="101"/>
      <c r="N413" s="101"/>
      <c r="O413" s="101"/>
      <c r="P413" s="102"/>
      <c r="Q413" s="101"/>
      <c r="R413" s="98"/>
      <c r="S413" s="98"/>
      <c r="T413" s="98"/>
      <c r="U413" s="98"/>
      <c r="V413" s="98"/>
      <c r="W413" s="98"/>
      <c r="X413" s="98"/>
      <c r="Y413" s="98"/>
      <c r="Z413" s="103"/>
      <c r="AA413" s="103"/>
      <c r="AB413" s="103"/>
      <c r="AC413" s="103"/>
      <c r="AD413" s="103"/>
      <c r="AE413" s="103"/>
      <c r="AF413" s="103"/>
      <c r="AG413" s="101"/>
      <c r="AH413" s="101"/>
      <c r="AI413" s="101"/>
      <c r="AJ413" s="101"/>
      <c r="AK413" s="101"/>
      <c r="AL413" s="101"/>
      <c r="AM413" s="101"/>
      <c r="AN413" s="103"/>
      <c r="AO413" s="103"/>
      <c r="AP413" s="103"/>
      <c r="AQ413" s="103"/>
      <c r="AR413" s="103"/>
      <c r="AS413" s="103"/>
      <c r="AT413" s="103"/>
      <c r="AU413" s="101"/>
      <c r="AV413" s="101"/>
      <c r="AW413" s="101"/>
      <c r="AX413" s="101"/>
      <c r="AY413" s="101"/>
      <c r="AZ413" s="101"/>
      <c r="BA413" s="101"/>
      <c r="BB413" s="103"/>
      <c r="BC413" s="103"/>
      <c r="BD413" s="103"/>
      <c r="BE413" s="101"/>
      <c r="BF413" s="101"/>
      <c r="BG413" s="101"/>
      <c r="BH413" s="101"/>
      <c r="BI413" s="101"/>
      <c r="BM413" s="101"/>
      <c r="BN413" s="101"/>
      <c r="BO413" s="101"/>
      <c r="BP413" s="101"/>
      <c r="BQ413" s="101"/>
      <c r="BR413" s="101"/>
      <c r="BS413" s="101"/>
      <c r="BT413" s="104"/>
      <c r="BU413" s="104"/>
      <c r="BV413" s="104"/>
      <c r="BW413" s="104"/>
      <c r="BX413" s="104"/>
      <c r="BY413" s="104"/>
      <c r="BZ413" s="104"/>
      <c r="CA413" s="104"/>
      <c r="CB413" s="104"/>
      <c r="CC413" s="104"/>
      <c r="CD413" s="104"/>
      <c r="CE413" s="104"/>
      <c r="CF413" s="104"/>
      <c r="CG413" s="104"/>
      <c r="CH413" s="104"/>
      <c r="CI413" s="104"/>
      <c r="CJ413" s="104"/>
      <c r="CK413" s="104"/>
      <c r="CL413" s="104"/>
      <c r="CM413" s="104"/>
      <c r="CN413" s="104"/>
      <c r="CO413" s="104"/>
      <c r="CP413" s="98"/>
      <c r="CR413" s="101"/>
      <c r="CS413" s="101"/>
      <c r="CT413" s="101"/>
      <c r="CU413" s="101"/>
      <c r="CV413" s="101"/>
      <c r="FL413" s="103"/>
      <c r="FN413" s="103"/>
      <c r="FP413" s="103"/>
      <c r="FR413" s="103"/>
    </row>
    <row r="414" spans="2:174" x14ac:dyDescent="0.35">
      <c r="B414" s="97"/>
      <c r="G414" s="100"/>
      <c r="K414" s="98"/>
      <c r="L414" s="101"/>
      <c r="M414" s="101"/>
      <c r="N414" s="101"/>
      <c r="O414" s="101"/>
      <c r="P414" s="102"/>
      <c r="Q414" s="101"/>
      <c r="R414" s="98"/>
      <c r="S414" s="98"/>
      <c r="T414" s="98"/>
      <c r="U414" s="98"/>
      <c r="V414" s="98"/>
      <c r="W414" s="98"/>
      <c r="X414" s="98"/>
      <c r="Y414" s="98"/>
      <c r="Z414" s="103"/>
      <c r="AA414" s="103"/>
      <c r="AB414" s="103"/>
      <c r="AC414" s="103"/>
      <c r="AD414" s="103"/>
      <c r="AE414" s="103"/>
      <c r="AF414" s="103"/>
      <c r="AG414" s="101"/>
      <c r="AH414" s="101"/>
      <c r="AI414" s="101"/>
      <c r="AJ414" s="101"/>
      <c r="AK414" s="101"/>
      <c r="AL414" s="101"/>
      <c r="AM414" s="101"/>
      <c r="AN414" s="103"/>
      <c r="AO414" s="103"/>
      <c r="AP414" s="103"/>
      <c r="AQ414" s="103"/>
      <c r="AR414" s="103"/>
      <c r="AS414" s="103"/>
      <c r="AT414" s="103"/>
      <c r="AU414" s="101"/>
      <c r="AV414" s="101"/>
      <c r="AW414" s="101"/>
      <c r="AX414" s="101"/>
      <c r="AY414" s="101"/>
      <c r="AZ414" s="101"/>
      <c r="BA414" s="101"/>
      <c r="BB414" s="103"/>
      <c r="BC414" s="103"/>
      <c r="BD414" s="103"/>
      <c r="BE414" s="101"/>
      <c r="BF414" s="101"/>
      <c r="BG414" s="101"/>
      <c r="BH414" s="101"/>
      <c r="BI414" s="101"/>
      <c r="BM414" s="101"/>
      <c r="BN414" s="101"/>
      <c r="BO414" s="101"/>
      <c r="BP414" s="101"/>
      <c r="BQ414" s="101"/>
      <c r="BR414" s="101"/>
      <c r="BS414" s="101"/>
      <c r="BT414" s="104"/>
      <c r="BU414" s="104"/>
      <c r="BV414" s="104"/>
      <c r="BW414" s="104"/>
      <c r="BX414" s="104"/>
      <c r="BY414" s="104"/>
      <c r="BZ414" s="104"/>
      <c r="CA414" s="104"/>
      <c r="CB414" s="104"/>
      <c r="CC414" s="104"/>
      <c r="CD414" s="104"/>
      <c r="CE414" s="104"/>
      <c r="CF414" s="104"/>
      <c r="CG414" s="104"/>
      <c r="CH414" s="104"/>
      <c r="CI414" s="104"/>
      <c r="CJ414" s="104"/>
      <c r="CK414" s="104"/>
      <c r="CL414" s="104"/>
      <c r="CM414" s="104"/>
      <c r="CN414" s="104"/>
      <c r="CO414" s="104"/>
      <c r="CP414" s="98"/>
      <c r="CR414" s="101"/>
      <c r="CS414" s="101"/>
      <c r="CT414" s="101"/>
      <c r="CU414" s="101"/>
      <c r="CV414" s="101"/>
      <c r="FL414" s="103"/>
      <c r="FN414" s="103"/>
      <c r="FP414" s="103"/>
      <c r="FR414" s="103"/>
    </row>
    <row r="415" spans="2:174" x14ac:dyDescent="0.35">
      <c r="B415" s="97"/>
      <c r="G415" s="100"/>
      <c r="K415" s="98"/>
      <c r="L415" s="101"/>
      <c r="M415" s="101"/>
      <c r="N415" s="101"/>
      <c r="O415" s="101"/>
      <c r="P415" s="102"/>
      <c r="Q415" s="101"/>
      <c r="R415" s="98"/>
      <c r="S415" s="98"/>
      <c r="T415" s="98"/>
      <c r="U415" s="98"/>
      <c r="V415" s="98"/>
      <c r="W415" s="98"/>
      <c r="X415" s="98"/>
      <c r="Y415" s="98"/>
      <c r="Z415" s="103"/>
      <c r="AA415" s="103"/>
      <c r="AB415" s="103"/>
      <c r="AC415" s="103"/>
      <c r="AD415" s="103"/>
      <c r="AE415" s="103"/>
      <c r="AF415" s="103"/>
      <c r="AG415" s="101"/>
      <c r="AH415" s="101"/>
      <c r="AI415" s="101"/>
      <c r="AJ415" s="101"/>
      <c r="AK415" s="101"/>
      <c r="AL415" s="101"/>
      <c r="AM415" s="101"/>
      <c r="AN415" s="103"/>
      <c r="AO415" s="103"/>
      <c r="AP415" s="103"/>
      <c r="AQ415" s="103"/>
      <c r="AR415" s="103"/>
      <c r="AS415" s="103"/>
      <c r="AT415" s="103"/>
      <c r="AU415" s="101"/>
      <c r="AV415" s="101"/>
      <c r="AW415" s="101"/>
      <c r="AX415" s="101"/>
      <c r="AY415" s="101"/>
      <c r="AZ415" s="101"/>
      <c r="BA415" s="101"/>
      <c r="BB415" s="103"/>
      <c r="BC415" s="103"/>
      <c r="BD415" s="103"/>
      <c r="BE415" s="101"/>
      <c r="BF415" s="101"/>
      <c r="BG415" s="101"/>
      <c r="BH415" s="101"/>
      <c r="BI415" s="101"/>
      <c r="BM415" s="101"/>
      <c r="BN415" s="101"/>
      <c r="BO415" s="101"/>
      <c r="BP415" s="101"/>
      <c r="BQ415" s="101"/>
      <c r="BR415" s="101"/>
      <c r="BS415" s="101"/>
      <c r="BT415" s="104"/>
      <c r="BU415" s="104"/>
      <c r="BV415" s="104"/>
      <c r="BW415" s="104"/>
      <c r="BX415" s="104"/>
      <c r="BY415" s="104"/>
      <c r="BZ415" s="104"/>
      <c r="CA415" s="104"/>
      <c r="CB415" s="104"/>
      <c r="CC415" s="104"/>
      <c r="CD415" s="104"/>
      <c r="CE415" s="104"/>
      <c r="CF415" s="104"/>
      <c r="CG415" s="104"/>
      <c r="CH415" s="104"/>
      <c r="CI415" s="104"/>
      <c r="CJ415" s="104"/>
      <c r="CK415" s="104"/>
      <c r="CL415" s="104"/>
      <c r="CM415" s="104"/>
      <c r="CN415" s="104"/>
      <c r="CO415" s="104"/>
      <c r="CP415" s="98"/>
      <c r="CR415" s="101"/>
      <c r="CS415" s="101"/>
      <c r="CT415" s="101"/>
      <c r="CU415" s="101"/>
      <c r="CV415" s="101"/>
      <c r="FL415" s="103"/>
      <c r="FN415" s="103"/>
      <c r="FP415" s="103"/>
      <c r="FR415" s="103"/>
    </row>
    <row r="416" spans="2:174" x14ac:dyDescent="0.35">
      <c r="B416" s="97"/>
      <c r="G416" s="100"/>
      <c r="K416" s="98"/>
      <c r="L416" s="101"/>
      <c r="M416" s="101"/>
      <c r="N416" s="101"/>
      <c r="O416" s="101"/>
      <c r="P416" s="102"/>
      <c r="Q416" s="101"/>
      <c r="R416" s="98"/>
      <c r="S416" s="98"/>
      <c r="T416" s="98"/>
      <c r="U416" s="98"/>
      <c r="V416" s="98"/>
      <c r="W416" s="98"/>
      <c r="X416" s="98"/>
      <c r="Y416" s="98"/>
      <c r="Z416" s="103"/>
      <c r="AA416" s="103"/>
      <c r="AB416" s="103"/>
      <c r="AC416" s="103"/>
      <c r="AD416" s="103"/>
      <c r="AE416" s="103"/>
      <c r="AF416" s="103"/>
      <c r="AG416" s="101"/>
      <c r="AH416" s="101"/>
      <c r="AI416" s="101"/>
      <c r="AJ416" s="101"/>
      <c r="AK416" s="101"/>
      <c r="AL416" s="101"/>
      <c r="AM416" s="101"/>
      <c r="AN416" s="103"/>
      <c r="AO416" s="103"/>
      <c r="AP416" s="103"/>
      <c r="AQ416" s="103"/>
      <c r="AR416" s="103"/>
      <c r="AS416" s="103"/>
      <c r="AT416" s="103"/>
      <c r="AU416" s="101"/>
      <c r="AV416" s="101"/>
      <c r="AW416" s="101"/>
      <c r="AX416" s="101"/>
      <c r="AY416" s="101"/>
      <c r="AZ416" s="101"/>
      <c r="BA416" s="101"/>
      <c r="BB416" s="103"/>
      <c r="BC416" s="103"/>
      <c r="BD416" s="103"/>
      <c r="BE416" s="101"/>
      <c r="BF416" s="101"/>
      <c r="BG416" s="101"/>
      <c r="BH416" s="101"/>
      <c r="BI416" s="101"/>
      <c r="BM416" s="101"/>
      <c r="BN416" s="101"/>
      <c r="BO416" s="101"/>
      <c r="BP416" s="101"/>
      <c r="BQ416" s="101"/>
      <c r="BR416" s="101"/>
      <c r="BS416" s="101"/>
      <c r="BT416" s="104"/>
      <c r="BU416" s="104"/>
      <c r="BV416" s="104"/>
      <c r="BW416" s="104"/>
      <c r="BX416" s="104"/>
      <c r="BY416" s="104"/>
      <c r="BZ416" s="104"/>
      <c r="CA416" s="104"/>
      <c r="CB416" s="104"/>
      <c r="CC416" s="104"/>
      <c r="CD416" s="104"/>
      <c r="CE416" s="104"/>
      <c r="CF416" s="104"/>
      <c r="CG416" s="104"/>
      <c r="CH416" s="104"/>
      <c r="CI416" s="104"/>
      <c r="CJ416" s="104"/>
      <c r="CK416" s="104"/>
      <c r="CL416" s="104"/>
      <c r="CM416" s="104"/>
      <c r="CN416" s="104"/>
      <c r="CO416" s="104"/>
      <c r="CP416" s="98"/>
      <c r="CR416" s="101"/>
      <c r="CS416" s="101"/>
      <c r="CT416" s="101"/>
      <c r="CU416" s="101"/>
      <c r="CV416" s="101"/>
      <c r="FL416" s="103"/>
      <c r="FN416" s="103"/>
      <c r="FP416" s="103"/>
      <c r="FR416" s="103"/>
    </row>
    <row r="417" spans="2:174" x14ac:dyDescent="0.35">
      <c r="B417" s="97"/>
      <c r="G417" s="100"/>
      <c r="K417" s="98"/>
      <c r="L417" s="101"/>
      <c r="M417" s="101"/>
      <c r="N417" s="101"/>
      <c r="O417" s="101"/>
      <c r="P417" s="102"/>
      <c r="Q417" s="101"/>
      <c r="R417" s="98"/>
      <c r="S417" s="98"/>
      <c r="T417" s="98"/>
      <c r="U417" s="98"/>
      <c r="V417" s="98"/>
      <c r="W417" s="98"/>
      <c r="X417" s="98"/>
      <c r="Y417" s="98"/>
      <c r="Z417" s="103"/>
      <c r="AA417" s="103"/>
      <c r="AB417" s="103"/>
      <c r="AC417" s="103"/>
      <c r="AD417" s="103"/>
      <c r="AE417" s="103"/>
      <c r="AF417" s="103"/>
      <c r="AG417" s="101"/>
      <c r="AH417" s="101"/>
      <c r="AI417" s="101"/>
      <c r="AJ417" s="101"/>
      <c r="AK417" s="101"/>
      <c r="AL417" s="101"/>
      <c r="AM417" s="101"/>
      <c r="AN417" s="103"/>
      <c r="AO417" s="103"/>
      <c r="AP417" s="103"/>
      <c r="AQ417" s="103"/>
      <c r="AR417" s="103"/>
      <c r="AS417" s="103"/>
      <c r="AT417" s="103"/>
      <c r="AU417" s="101"/>
      <c r="AV417" s="101"/>
      <c r="AW417" s="101"/>
      <c r="AX417" s="101"/>
      <c r="AY417" s="101"/>
      <c r="AZ417" s="101"/>
      <c r="BA417" s="101"/>
      <c r="BB417" s="103"/>
      <c r="BC417" s="103"/>
      <c r="BD417" s="103"/>
      <c r="BE417" s="101"/>
      <c r="BF417" s="101"/>
      <c r="BG417" s="101"/>
      <c r="BH417" s="101"/>
      <c r="BI417" s="101"/>
      <c r="BM417" s="101"/>
      <c r="BN417" s="101"/>
      <c r="BO417" s="101"/>
      <c r="BP417" s="101"/>
      <c r="BQ417" s="101"/>
      <c r="BR417" s="101"/>
      <c r="BS417" s="101"/>
      <c r="BT417" s="104"/>
      <c r="BU417" s="104"/>
      <c r="BV417" s="104"/>
      <c r="BW417" s="104"/>
      <c r="BX417" s="104"/>
      <c r="BY417" s="104"/>
      <c r="BZ417" s="104"/>
      <c r="CA417" s="104"/>
      <c r="CB417" s="104"/>
      <c r="CC417" s="104"/>
      <c r="CD417" s="104"/>
      <c r="CE417" s="104"/>
      <c r="CF417" s="104"/>
      <c r="CG417" s="104"/>
      <c r="CH417" s="104"/>
      <c r="CI417" s="104"/>
      <c r="CJ417" s="104"/>
      <c r="CK417" s="104"/>
      <c r="CL417" s="104"/>
      <c r="CM417" s="104"/>
      <c r="CN417" s="104"/>
      <c r="CO417" s="104"/>
      <c r="CP417" s="98"/>
      <c r="CR417" s="101"/>
      <c r="CS417" s="101"/>
      <c r="CT417" s="101"/>
      <c r="CU417" s="101"/>
      <c r="CV417" s="101"/>
      <c r="FL417" s="103"/>
      <c r="FN417" s="103"/>
      <c r="FP417" s="103"/>
      <c r="FR417" s="103"/>
    </row>
    <row r="418" spans="2:174" x14ac:dyDescent="0.35">
      <c r="B418" s="97"/>
      <c r="G418" s="100"/>
      <c r="K418" s="98"/>
      <c r="L418" s="101"/>
      <c r="M418" s="101"/>
      <c r="N418" s="101"/>
      <c r="O418" s="101"/>
      <c r="P418" s="102"/>
      <c r="Q418" s="101"/>
      <c r="R418" s="98"/>
      <c r="S418" s="98"/>
      <c r="T418" s="98"/>
      <c r="U418" s="98"/>
      <c r="V418" s="98"/>
      <c r="W418" s="98"/>
      <c r="X418" s="98"/>
      <c r="Y418" s="98"/>
      <c r="Z418" s="103"/>
      <c r="AA418" s="103"/>
      <c r="AB418" s="103"/>
      <c r="AC418" s="103"/>
      <c r="AD418" s="103"/>
      <c r="AE418" s="103"/>
      <c r="AF418" s="103"/>
      <c r="AG418" s="101"/>
      <c r="AH418" s="101"/>
      <c r="AI418" s="101"/>
      <c r="AJ418" s="101"/>
      <c r="AK418" s="101"/>
      <c r="AL418" s="101"/>
      <c r="AM418" s="101"/>
      <c r="AN418" s="103"/>
      <c r="AO418" s="103"/>
      <c r="AP418" s="103"/>
      <c r="AQ418" s="103"/>
      <c r="AR418" s="103"/>
      <c r="AS418" s="103"/>
      <c r="AT418" s="103"/>
      <c r="AU418" s="101"/>
      <c r="AV418" s="101"/>
      <c r="AW418" s="101"/>
      <c r="AX418" s="101"/>
      <c r="AY418" s="101"/>
      <c r="AZ418" s="101"/>
      <c r="BA418" s="101"/>
      <c r="BB418" s="103"/>
      <c r="BC418" s="103"/>
      <c r="BD418" s="103"/>
      <c r="BE418" s="101"/>
      <c r="BF418" s="101"/>
      <c r="BG418" s="101"/>
      <c r="BH418" s="101"/>
      <c r="BI418" s="101"/>
      <c r="BM418" s="101"/>
      <c r="BN418" s="101"/>
      <c r="BO418" s="101"/>
      <c r="BP418" s="101"/>
      <c r="BQ418" s="101"/>
      <c r="BR418" s="101"/>
      <c r="BS418" s="101"/>
      <c r="BT418" s="104"/>
      <c r="BU418" s="104"/>
      <c r="BV418" s="104"/>
      <c r="BW418" s="104"/>
      <c r="BX418" s="104"/>
      <c r="BY418" s="104"/>
      <c r="BZ418" s="104"/>
      <c r="CA418" s="104"/>
      <c r="CB418" s="104"/>
      <c r="CC418" s="104"/>
      <c r="CD418" s="104"/>
      <c r="CE418" s="104"/>
      <c r="CF418" s="104"/>
      <c r="CG418" s="104"/>
      <c r="CH418" s="104"/>
      <c r="CI418" s="104"/>
      <c r="CJ418" s="104"/>
      <c r="CK418" s="104"/>
      <c r="CL418" s="104"/>
      <c r="CM418" s="104"/>
      <c r="CN418" s="104"/>
      <c r="CO418" s="104"/>
      <c r="CP418" s="98"/>
      <c r="CR418" s="101"/>
      <c r="CS418" s="101"/>
      <c r="CT418" s="101"/>
      <c r="CU418" s="101"/>
      <c r="CV418" s="101"/>
      <c r="FL418" s="103"/>
      <c r="FN418" s="103"/>
      <c r="FP418" s="103"/>
      <c r="FR418" s="103"/>
    </row>
    <row r="419" spans="2:174" x14ac:dyDescent="0.35">
      <c r="B419" s="97"/>
      <c r="G419" s="100"/>
      <c r="K419" s="98"/>
      <c r="L419" s="101"/>
      <c r="M419" s="101"/>
      <c r="N419" s="101"/>
      <c r="O419" s="101"/>
      <c r="P419" s="102"/>
      <c r="Q419" s="101"/>
      <c r="R419" s="98"/>
      <c r="S419" s="98"/>
      <c r="T419" s="98"/>
      <c r="U419" s="98"/>
      <c r="V419" s="98"/>
      <c r="W419" s="98"/>
      <c r="X419" s="98"/>
      <c r="Y419" s="98"/>
      <c r="Z419" s="103"/>
      <c r="AA419" s="103"/>
      <c r="AB419" s="103"/>
      <c r="AC419" s="103"/>
      <c r="AD419" s="103"/>
      <c r="AE419" s="103"/>
      <c r="AF419" s="103"/>
      <c r="AG419" s="101"/>
      <c r="AH419" s="101"/>
      <c r="AI419" s="101"/>
      <c r="AJ419" s="101"/>
      <c r="AK419" s="101"/>
      <c r="AL419" s="101"/>
      <c r="AM419" s="101"/>
      <c r="AN419" s="103"/>
      <c r="AO419" s="103"/>
      <c r="AP419" s="103"/>
      <c r="AQ419" s="103"/>
      <c r="AR419" s="103"/>
      <c r="AS419" s="103"/>
      <c r="AT419" s="103"/>
      <c r="AU419" s="101"/>
      <c r="AV419" s="101"/>
      <c r="AW419" s="101"/>
      <c r="AX419" s="101"/>
      <c r="AY419" s="101"/>
      <c r="AZ419" s="101"/>
      <c r="BA419" s="101"/>
      <c r="BB419" s="103"/>
      <c r="BC419" s="103"/>
      <c r="BD419" s="103"/>
      <c r="BE419" s="101"/>
      <c r="BF419" s="101"/>
      <c r="BG419" s="101"/>
      <c r="BH419" s="101"/>
      <c r="BI419" s="101"/>
      <c r="BM419" s="101"/>
      <c r="BN419" s="101"/>
      <c r="BO419" s="101"/>
      <c r="BP419" s="101"/>
      <c r="BQ419" s="101"/>
      <c r="BR419" s="101"/>
      <c r="BS419" s="101"/>
      <c r="BT419" s="104"/>
      <c r="BU419" s="104"/>
      <c r="BV419" s="104"/>
      <c r="BW419" s="104"/>
      <c r="BX419" s="104"/>
      <c r="BY419" s="104"/>
      <c r="BZ419" s="104"/>
      <c r="CA419" s="104"/>
      <c r="CB419" s="104"/>
      <c r="CC419" s="104"/>
      <c r="CD419" s="104"/>
      <c r="CE419" s="104"/>
      <c r="CF419" s="104"/>
      <c r="CG419" s="104"/>
      <c r="CH419" s="104"/>
      <c r="CI419" s="104"/>
      <c r="CJ419" s="104"/>
      <c r="CK419" s="104"/>
      <c r="CL419" s="104"/>
      <c r="CM419" s="104"/>
      <c r="CN419" s="104"/>
      <c r="CO419" s="104"/>
      <c r="CP419" s="98"/>
      <c r="CR419" s="101"/>
      <c r="CS419" s="101"/>
      <c r="CT419" s="101"/>
      <c r="CU419" s="101"/>
      <c r="CV419" s="101"/>
      <c r="FL419" s="103"/>
      <c r="FN419" s="103"/>
      <c r="FP419" s="103"/>
      <c r="FR419" s="103"/>
    </row>
    <row r="420" spans="2:174" x14ac:dyDescent="0.35">
      <c r="B420" s="97"/>
      <c r="G420" s="100"/>
      <c r="K420" s="98"/>
      <c r="L420" s="101"/>
      <c r="M420" s="101"/>
      <c r="N420" s="101"/>
      <c r="O420" s="101"/>
      <c r="P420" s="102"/>
      <c r="Q420" s="101"/>
      <c r="R420" s="98"/>
      <c r="S420" s="98"/>
      <c r="T420" s="98"/>
      <c r="U420" s="98"/>
      <c r="V420" s="98"/>
      <c r="W420" s="98"/>
      <c r="X420" s="98"/>
      <c r="Y420" s="98"/>
      <c r="Z420" s="103"/>
      <c r="AA420" s="103"/>
      <c r="AB420" s="103"/>
      <c r="AC420" s="103"/>
      <c r="AD420" s="103"/>
      <c r="AE420" s="103"/>
      <c r="AF420" s="103"/>
      <c r="AG420" s="101"/>
      <c r="AH420" s="101"/>
      <c r="AI420" s="101"/>
      <c r="AJ420" s="101"/>
      <c r="AK420" s="101"/>
      <c r="AL420" s="101"/>
      <c r="AM420" s="101"/>
      <c r="AN420" s="103"/>
      <c r="AO420" s="103"/>
      <c r="AP420" s="103"/>
      <c r="AQ420" s="103"/>
      <c r="AR420" s="103"/>
      <c r="AS420" s="103"/>
      <c r="AT420" s="103"/>
      <c r="AU420" s="101"/>
      <c r="AV420" s="101"/>
      <c r="AW420" s="101"/>
      <c r="AX420" s="101"/>
      <c r="AY420" s="101"/>
      <c r="AZ420" s="101"/>
      <c r="BA420" s="101"/>
      <c r="BB420" s="103"/>
      <c r="BC420" s="103"/>
      <c r="BD420" s="103"/>
      <c r="BE420" s="101"/>
      <c r="BF420" s="101"/>
      <c r="BG420" s="101"/>
      <c r="BH420" s="101"/>
      <c r="BI420" s="101"/>
      <c r="BM420" s="101"/>
      <c r="BN420" s="101"/>
      <c r="BO420" s="101"/>
      <c r="BP420" s="101"/>
      <c r="BQ420" s="101"/>
      <c r="BR420" s="101"/>
      <c r="BS420" s="101"/>
      <c r="BT420" s="104"/>
      <c r="BU420" s="104"/>
      <c r="BV420" s="104"/>
      <c r="BW420" s="104"/>
      <c r="BX420" s="104"/>
      <c r="BY420" s="104"/>
      <c r="BZ420" s="104"/>
      <c r="CA420" s="104"/>
      <c r="CB420" s="104"/>
      <c r="CC420" s="104"/>
      <c r="CD420" s="104"/>
      <c r="CE420" s="104"/>
      <c r="CF420" s="104"/>
      <c r="CG420" s="104"/>
      <c r="CH420" s="104"/>
      <c r="CI420" s="104"/>
      <c r="CJ420" s="104"/>
      <c r="CK420" s="104"/>
      <c r="CL420" s="104"/>
      <c r="CM420" s="104"/>
      <c r="CN420" s="104"/>
      <c r="CO420" s="104"/>
      <c r="CP420" s="98"/>
      <c r="CR420" s="101"/>
      <c r="CS420" s="101"/>
      <c r="CT420" s="101"/>
      <c r="CU420" s="101"/>
      <c r="CV420" s="101"/>
      <c r="FL420" s="103"/>
      <c r="FN420" s="103"/>
      <c r="FP420" s="103"/>
      <c r="FR420" s="103"/>
    </row>
    <row r="421" spans="2:174" x14ac:dyDescent="0.35">
      <c r="B421" s="97"/>
      <c r="G421" s="100"/>
      <c r="K421" s="98"/>
      <c r="L421" s="101"/>
      <c r="M421" s="101"/>
      <c r="N421" s="101"/>
      <c r="O421" s="101"/>
      <c r="P421" s="102"/>
      <c r="Q421" s="101"/>
      <c r="R421" s="98"/>
      <c r="S421" s="98"/>
      <c r="T421" s="98"/>
      <c r="U421" s="98"/>
      <c r="V421" s="98"/>
      <c r="W421" s="98"/>
      <c r="X421" s="98"/>
      <c r="Y421" s="98"/>
      <c r="Z421" s="103"/>
      <c r="AA421" s="103"/>
      <c r="AB421" s="103"/>
      <c r="AC421" s="103"/>
      <c r="AD421" s="103"/>
      <c r="AE421" s="103"/>
      <c r="AF421" s="103"/>
      <c r="AG421" s="101"/>
      <c r="AH421" s="101"/>
      <c r="AI421" s="101"/>
      <c r="AJ421" s="101"/>
      <c r="AK421" s="101"/>
      <c r="AL421" s="101"/>
      <c r="AM421" s="101"/>
      <c r="AN421" s="103"/>
      <c r="AO421" s="103"/>
      <c r="AP421" s="103"/>
      <c r="AQ421" s="103"/>
      <c r="AR421" s="103"/>
      <c r="AS421" s="103"/>
      <c r="AT421" s="103"/>
      <c r="AU421" s="101"/>
      <c r="AV421" s="101"/>
      <c r="AW421" s="101"/>
      <c r="AX421" s="101"/>
      <c r="AY421" s="101"/>
      <c r="AZ421" s="101"/>
      <c r="BA421" s="101"/>
      <c r="BB421" s="103"/>
      <c r="BC421" s="103"/>
      <c r="BD421" s="103"/>
      <c r="BE421" s="101"/>
      <c r="BF421" s="101"/>
      <c r="BG421" s="101"/>
      <c r="BH421" s="101"/>
      <c r="BI421" s="101"/>
      <c r="BM421" s="101"/>
      <c r="BN421" s="101"/>
      <c r="BO421" s="101"/>
      <c r="BP421" s="101"/>
      <c r="BQ421" s="101"/>
      <c r="BR421" s="101"/>
      <c r="BS421" s="101"/>
      <c r="BT421" s="104"/>
      <c r="BU421" s="104"/>
      <c r="BV421" s="104"/>
      <c r="BW421" s="104"/>
      <c r="BX421" s="104"/>
      <c r="BY421" s="104"/>
      <c r="BZ421" s="104"/>
      <c r="CA421" s="104"/>
      <c r="CB421" s="104"/>
      <c r="CC421" s="104"/>
      <c r="CD421" s="104"/>
      <c r="CE421" s="104"/>
      <c r="CF421" s="104"/>
      <c r="CG421" s="104"/>
      <c r="CH421" s="104"/>
      <c r="CI421" s="104"/>
      <c r="CJ421" s="104"/>
      <c r="CK421" s="104"/>
      <c r="CL421" s="104"/>
      <c r="CM421" s="104"/>
      <c r="CN421" s="104"/>
      <c r="CO421" s="104"/>
      <c r="CP421" s="98"/>
      <c r="CR421" s="101"/>
      <c r="CS421" s="101"/>
      <c r="CT421" s="101"/>
      <c r="CU421" s="101"/>
      <c r="CV421" s="101"/>
      <c r="FL421" s="103"/>
      <c r="FN421" s="103"/>
      <c r="FP421" s="103"/>
      <c r="FR421" s="103"/>
    </row>
    <row r="422" spans="2:174" x14ac:dyDescent="0.35">
      <c r="B422" s="97"/>
      <c r="G422" s="100"/>
      <c r="K422" s="98"/>
      <c r="L422" s="101"/>
      <c r="M422" s="101"/>
      <c r="N422" s="101"/>
      <c r="O422" s="101"/>
      <c r="P422" s="102"/>
      <c r="Q422" s="101"/>
      <c r="R422" s="98"/>
      <c r="S422" s="98"/>
      <c r="T422" s="98"/>
      <c r="U422" s="98"/>
      <c r="V422" s="98"/>
      <c r="W422" s="98"/>
      <c r="X422" s="98"/>
      <c r="Y422" s="98"/>
      <c r="Z422" s="103"/>
      <c r="AA422" s="103"/>
      <c r="AB422" s="103"/>
      <c r="AC422" s="103"/>
      <c r="AD422" s="103"/>
      <c r="AE422" s="103"/>
      <c r="AF422" s="103"/>
      <c r="AG422" s="101"/>
      <c r="AH422" s="101"/>
      <c r="AI422" s="101"/>
      <c r="AJ422" s="101"/>
      <c r="AK422" s="101"/>
      <c r="AL422" s="101"/>
      <c r="AM422" s="101"/>
      <c r="AN422" s="103"/>
      <c r="AO422" s="103"/>
      <c r="AP422" s="103"/>
      <c r="AQ422" s="103"/>
      <c r="AR422" s="103"/>
      <c r="AS422" s="103"/>
      <c r="AT422" s="103"/>
      <c r="AU422" s="101"/>
      <c r="AV422" s="101"/>
      <c r="AW422" s="101"/>
      <c r="AX422" s="101"/>
      <c r="AY422" s="101"/>
      <c r="AZ422" s="101"/>
      <c r="BA422" s="101"/>
      <c r="BB422" s="103"/>
      <c r="BC422" s="103"/>
      <c r="BD422" s="103"/>
      <c r="BE422" s="101"/>
      <c r="BF422" s="101"/>
      <c r="BG422" s="101"/>
      <c r="BH422" s="101"/>
      <c r="BI422" s="101"/>
      <c r="BM422" s="101"/>
      <c r="BN422" s="101"/>
      <c r="BO422" s="101"/>
      <c r="BP422" s="101"/>
      <c r="BQ422" s="101"/>
      <c r="BR422" s="101"/>
      <c r="BS422" s="101"/>
      <c r="BT422" s="104"/>
      <c r="BU422" s="104"/>
      <c r="BV422" s="104"/>
      <c r="BW422" s="104"/>
      <c r="BX422" s="104"/>
      <c r="BY422" s="104"/>
      <c r="BZ422" s="104"/>
      <c r="CA422" s="104"/>
      <c r="CB422" s="104"/>
      <c r="CC422" s="104"/>
      <c r="CD422" s="104"/>
      <c r="CE422" s="104"/>
      <c r="CF422" s="104"/>
      <c r="CG422" s="104"/>
      <c r="CH422" s="104"/>
      <c r="CI422" s="104"/>
      <c r="CJ422" s="104"/>
      <c r="CK422" s="104"/>
      <c r="CL422" s="104"/>
      <c r="CM422" s="104"/>
      <c r="CN422" s="104"/>
      <c r="CO422" s="104"/>
      <c r="CP422" s="98"/>
      <c r="CR422" s="101"/>
      <c r="CS422" s="101"/>
      <c r="CT422" s="101"/>
      <c r="CU422" s="101"/>
      <c r="CV422" s="101"/>
      <c r="FL422" s="103"/>
      <c r="FN422" s="103"/>
      <c r="FP422" s="103"/>
      <c r="FR422" s="103"/>
    </row>
    <row r="423" spans="2:174" x14ac:dyDescent="0.35">
      <c r="B423" s="97"/>
      <c r="G423" s="100"/>
      <c r="K423" s="98"/>
      <c r="L423" s="101"/>
      <c r="M423" s="101"/>
      <c r="N423" s="101"/>
      <c r="O423" s="101"/>
      <c r="P423" s="102"/>
      <c r="Q423" s="101"/>
      <c r="R423" s="98"/>
      <c r="S423" s="98"/>
      <c r="T423" s="98"/>
      <c r="U423" s="98"/>
      <c r="V423" s="98"/>
      <c r="W423" s="98"/>
      <c r="X423" s="98"/>
      <c r="Y423" s="98"/>
      <c r="Z423" s="103"/>
      <c r="AA423" s="103"/>
      <c r="AB423" s="103"/>
      <c r="AC423" s="103"/>
      <c r="AD423" s="103"/>
      <c r="AE423" s="103"/>
      <c r="AF423" s="103"/>
      <c r="AG423" s="101"/>
      <c r="AH423" s="101"/>
      <c r="AI423" s="101"/>
      <c r="AJ423" s="101"/>
      <c r="AK423" s="101"/>
      <c r="AL423" s="101"/>
      <c r="AM423" s="101"/>
      <c r="AN423" s="103"/>
      <c r="AO423" s="103"/>
      <c r="AP423" s="103"/>
      <c r="AQ423" s="103"/>
      <c r="AR423" s="103"/>
      <c r="AS423" s="103"/>
      <c r="AT423" s="103"/>
      <c r="AU423" s="101"/>
      <c r="AV423" s="101"/>
      <c r="AW423" s="101"/>
      <c r="AX423" s="101"/>
      <c r="AY423" s="101"/>
      <c r="AZ423" s="101"/>
      <c r="BA423" s="101"/>
      <c r="BB423" s="103"/>
      <c r="BC423" s="103"/>
      <c r="BD423" s="103"/>
      <c r="BE423" s="101"/>
      <c r="BF423" s="101"/>
      <c r="BG423" s="101"/>
      <c r="BH423" s="101"/>
      <c r="BI423" s="101"/>
      <c r="BM423" s="101"/>
      <c r="BN423" s="101"/>
      <c r="BO423" s="101"/>
      <c r="BP423" s="101"/>
      <c r="BQ423" s="101"/>
      <c r="BR423" s="101"/>
      <c r="BS423" s="101"/>
      <c r="BT423" s="104"/>
      <c r="BU423" s="104"/>
      <c r="BV423" s="104"/>
      <c r="BW423" s="104"/>
      <c r="BX423" s="104"/>
      <c r="BY423" s="104"/>
      <c r="BZ423" s="104"/>
      <c r="CA423" s="104"/>
      <c r="CB423" s="104"/>
      <c r="CC423" s="104"/>
      <c r="CD423" s="104"/>
      <c r="CE423" s="104"/>
      <c r="CF423" s="104"/>
      <c r="CG423" s="104"/>
      <c r="CH423" s="104"/>
      <c r="CI423" s="104"/>
      <c r="CJ423" s="104"/>
      <c r="CK423" s="104"/>
      <c r="CL423" s="104"/>
      <c r="CM423" s="104"/>
      <c r="CN423" s="104"/>
      <c r="CO423" s="104"/>
      <c r="CP423" s="98"/>
      <c r="CR423" s="101"/>
      <c r="CS423" s="101"/>
      <c r="CT423" s="101"/>
      <c r="CU423" s="101"/>
      <c r="CV423" s="101"/>
      <c r="FL423" s="103"/>
      <c r="FN423" s="103"/>
      <c r="FP423" s="103"/>
      <c r="FR423" s="103"/>
    </row>
    <row r="424" spans="2:174" x14ac:dyDescent="0.35">
      <c r="B424" s="97"/>
      <c r="G424" s="100"/>
      <c r="K424" s="98"/>
      <c r="L424" s="101"/>
      <c r="M424" s="101"/>
      <c r="N424" s="101"/>
      <c r="O424" s="101"/>
      <c r="P424" s="102"/>
      <c r="Q424" s="101"/>
      <c r="R424" s="98"/>
      <c r="S424" s="98"/>
      <c r="T424" s="98"/>
      <c r="U424" s="98"/>
      <c r="V424" s="98"/>
      <c r="W424" s="98"/>
      <c r="X424" s="98"/>
      <c r="Y424" s="98"/>
      <c r="Z424" s="103"/>
      <c r="AA424" s="103"/>
      <c r="AB424" s="103"/>
      <c r="AC424" s="103"/>
      <c r="AD424" s="103"/>
      <c r="AE424" s="103"/>
      <c r="AF424" s="103"/>
      <c r="AG424" s="101"/>
      <c r="AH424" s="101"/>
      <c r="AI424" s="101"/>
      <c r="AJ424" s="101"/>
      <c r="AK424" s="101"/>
      <c r="AL424" s="101"/>
      <c r="AM424" s="101"/>
      <c r="AN424" s="103"/>
      <c r="AO424" s="103"/>
      <c r="AP424" s="103"/>
      <c r="AQ424" s="103"/>
      <c r="AR424" s="103"/>
      <c r="AS424" s="103"/>
      <c r="AT424" s="103"/>
      <c r="AU424" s="101"/>
      <c r="AV424" s="101"/>
      <c r="AW424" s="101"/>
      <c r="AX424" s="101"/>
      <c r="AY424" s="101"/>
      <c r="AZ424" s="101"/>
      <c r="BA424" s="101"/>
      <c r="BB424" s="103"/>
      <c r="BC424" s="103"/>
      <c r="BD424" s="103"/>
      <c r="BE424" s="101"/>
      <c r="BF424" s="101"/>
      <c r="BG424" s="101"/>
      <c r="BH424" s="101"/>
      <c r="BI424" s="101"/>
      <c r="BM424" s="101"/>
      <c r="BN424" s="101"/>
      <c r="BO424" s="101"/>
      <c r="BP424" s="101"/>
      <c r="BQ424" s="101"/>
      <c r="BR424" s="101"/>
      <c r="BS424" s="101"/>
      <c r="BT424" s="104"/>
      <c r="BU424" s="104"/>
      <c r="BV424" s="104"/>
      <c r="BW424" s="104"/>
      <c r="BX424" s="104"/>
      <c r="BY424" s="104"/>
      <c r="BZ424" s="104"/>
      <c r="CA424" s="104"/>
      <c r="CB424" s="104"/>
      <c r="CC424" s="104"/>
      <c r="CD424" s="104"/>
      <c r="CE424" s="104"/>
      <c r="CF424" s="104"/>
      <c r="CG424" s="104"/>
      <c r="CH424" s="104"/>
      <c r="CI424" s="104"/>
      <c r="CJ424" s="104"/>
      <c r="CK424" s="104"/>
      <c r="CL424" s="104"/>
      <c r="CM424" s="104"/>
      <c r="CN424" s="104"/>
      <c r="CO424" s="104"/>
      <c r="CP424" s="98"/>
      <c r="CR424" s="101"/>
      <c r="CS424" s="101"/>
      <c r="CT424" s="101"/>
      <c r="CU424" s="101"/>
      <c r="CV424" s="101"/>
      <c r="FL424" s="103"/>
      <c r="FN424" s="103"/>
      <c r="FP424" s="103"/>
      <c r="FR424" s="103"/>
    </row>
    <row r="425" spans="2:174" x14ac:dyDescent="0.35">
      <c r="B425" s="97"/>
      <c r="G425" s="100"/>
      <c r="K425" s="98"/>
      <c r="L425" s="101"/>
      <c r="M425" s="101"/>
      <c r="N425" s="101"/>
      <c r="O425" s="101"/>
      <c r="P425" s="102"/>
      <c r="Q425" s="101"/>
      <c r="R425" s="98"/>
      <c r="S425" s="98"/>
      <c r="T425" s="98"/>
      <c r="U425" s="98"/>
      <c r="V425" s="98"/>
      <c r="W425" s="98"/>
      <c r="X425" s="98"/>
      <c r="Y425" s="98"/>
      <c r="Z425" s="103"/>
      <c r="AA425" s="103"/>
      <c r="AB425" s="103"/>
      <c r="AC425" s="103"/>
      <c r="AD425" s="103"/>
      <c r="AE425" s="103"/>
      <c r="AF425" s="103"/>
      <c r="AG425" s="101"/>
      <c r="AH425" s="101"/>
      <c r="AI425" s="101"/>
      <c r="AJ425" s="101"/>
      <c r="AK425" s="101"/>
      <c r="AL425" s="101"/>
      <c r="AM425" s="101"/>
      <c r="AN425" s="103"/>
      <c r="AO425" s="103"/>
      <c r="AP425" s="103"/>
      <c r="AQ425" s="103"/>
      <c r="AR425" s="103"/>
      <c r="AS425" s="103"/>
      <c r="AT425" s="103"/>
      <c r="AU425" s="101"/>
      <c r="AV425" s="101"/>
      <c r="AW425" s="101"/>
      <c r="AX425" s="101"/>
      <c r="AY425" s="101"/>
      <c r="AZ425" s="101"/>
      <c r="BA425" s="101"/>
      <c r="BB425" s="103"/>
      <c r="BC425" s="103"/>
      <c r="BD425" s="103"/>
      <c r="BE425" s="101"/>
      <c r="BF425" s="101"/>
      <c r="BG425" s="101"/>
      <c r="BH425" s="101"/>
      <c r="BI425" s="101"/>
      <c r="BM425" s="101"/>
      <c r="BN425" s="101"/>
      <c r="BO425" s="101"/>
      <c r="BP425" s="101"/>
      <c r="BQ425" s="101"/>
      <c r="BR425" s="101"/>
      <c r="BS425" s="101"/>
      <c r="BT425" s="104"/>
      <c r="BU425" s="104"/>
      <c r="BV425" s="104"/>
      <c r="BW425" s="104"/>
      <c r="BX425" s="104"/>
      <c r="BY425" s="104"/>
      <c r="BZ425" s="104"/>
      <c r="CA425" s="104"/>
      <c r="CB425" s="104"/>
      <c r="CC425" s="104"/>
      <c r="CD425" s="104"/>
      <c r="CE425" s="104"/>
      <c r="CF425" s="104"/>
      <c r="CG425" s="104"/>
      <c r="CH425" s="104"/>
      <c r="CI425" s="104"/>
      <c r="CJ425" s="104"/>
      <c r="CK425" s="104"/>
      <c r="CL425" s="104"/>
      <c r="CM425" s="104"/>
      <c r="CN425" s="104"/>
      <c r="CO425" s="104"/>
      <c r="CP425" s="98"/>
      <c r="CR425" s="101"/>
      <c r="CS425" s="101"/>
      <c r="CT425" s="101"/>
      <c r="CU425" s="101"/>
      <c r="CV425" s="101"/>
      <c r="FL425" s="103"/>
      <c r="FN425" s="103"/>
      <c r="FP425" s="103"/>
      <c r="FR425" s="103"/>
    </row>
    <row r="426" spans="2:174" x14ac:dyDescent="0.35">
      <c r="B426" s="97"/>
      <c r="G426" s="100"/>
      <c r="K426" s="98"/>
      <c r="L426" s="101"/>
      <c r="M426" s="101"/>
      <c r="N426" s="101"/>
      <c r="O426" s="101"/>
      <c r="P426" s="102"/>
      <c r="Q426" s="101"/>
      <c r="R426" s="98"/>
      <c r="S426" s="98"/>
      <c r="T426" s="98"/>
      <c r="U426" s="98"/>
      <c r="V426" s="98"/>
      <c r="W426" s="98"/>
      <c r="X426" s="98"/>
      <c r="Y426" s="98"/>
      <c r="Z426" s="103"/>
      <c r="AA426" s="103"/>
      <c r="AB426" s="103"/>
      <c r="AC426" s="103"/>
      <c r="AD426" s="103"/>
      <c r="AE426" s="103"/>
      <c r="AF426" s="103"/>
      <c r="AG426" s="101"/>
      <c r="AH426" s="101"/>
      <c r="AI426" s="101"/>
      <c r="AJ426" s="101"/>
      <c r="AK426" s="101"/>
      <c r="AL426" s="101"/>
      <c r="AM426" s="101"/>
      <c r="AN426" s="103"/>
      <c r="AO426" s="103"/>
      <c r="AP426" s="103"/>
      <c r="AQ426" s="103"/>
      <c r="AR426" s="103"/>
      <c r="AS426" s="103"/>
      <c r="AT426" s="103"/>
      <c r="AU426" s="101"/>
      <c r="AV426" s="101"/>
      <c r="AW426" s="101"/>
      <c r="AX426" s="101"/>
      <c r="AY426" s="101"/>
      <c r="AZ426" s="101"/>
      <c r="BA426" s="101"/>
      <c r="BB426" s="103"/>
      <c r="BC426" s="103"/>
      <c r="BD426" s="103"/>
      <c r="BE426" s="101"/>
      <c r="BF426" s="101"/>
      <c r="BG426" s="101"/>
      <c r="BH426" s="101"/>
      <c r="BI426" s="101"/>
      <c r="BM426" s="101"/>
      <c r="BN426" s="101"/>
      <c r="BO426" s="101"/>
      <c r="BP426" s="101"/>
      <c r="BQ426" s="101"/>
      <c r="BR426" s="101"/>
      <c r="BS426" s="101"/>
      <c r="BT426" s="104"/>
      <c r="BU426" s="104"/>
      <c r="BV426" s="104"/>
      <c r="BW426" s="104"/>
      <c r="BX426" s="104"/>
      <c r="BY426" s="104"/>
      <c r="BZ426" s="104"/>
      <c r="CA426" s="104"/>
      <c r="CB426" s="104"/>
      <c r="CC426" s="104"/>
      <c r="CD426" s="104"/>
      <c r="CE426" s="104"/>
      <c r="CF426" s="104"/>
      <c r="CG426" s="104"/>
      <c r="CH426" s="104"/>
      <c r="CI426" s="104"/>
      <c r="CJ426" s="104"/>
      <c r="CK426" s="104"/>
      <c r="CL426" s="104"/>
      <c r="CM426" s="104"/>
      <c r="CN426" s="104"/>
      <c r="CO426" s="104"/>
      <c r="CP426" s="98"/>
      <c r="CR426" s="101"/>
      <c r="CS426" s="101"/>
      <c r="CT426" s="101"/>
      <c r="CU426" s="101"/>
      <c r="CV426" s="101"/>
      <c r="FL426" s="103"/>
      <c r="FN426" s="103"/>
      <c r="FP426" s="103"/>
      <c r="FR426" s="103"/>
    </row>
    <row r="427" spans="2:174" x14ac:dyDescent="0.35">
      <c r="B427" s="97"/>
      <c r="G427" s="100"/>
      <c r="K427" s="98"/>
      <c r="L427" s="101"/>
      <c r="M427" s="101"/>
      <c r="N427" s="101"/>
      <c r="O427" s="101"/>
      <c r="P427" s="102"/>
      <c r="Q427" s="101"/>
      <c r="R427" s="98"/>
      <c r="S427" s="98"/>
      <c r="T427" s="98"/>
      <c r="U427" s="98"/>
      <c r="V427" s="98"/>
      <c r="W427" s="98"/>
      <c r="X427" s="98"/>
      <c r="Y427" s="98"/>
      <c r="Z427" s="103"/>
      <c r="AA427" s="103"/>
      <c r="AB427" s="103"/>
      <c r="AC427" s="103"/>
      <c r="AD427" s="103"/>
      <c r="AE427" s="103"/>
      <c r="AF427" s="103"/>
      <c r="AG427" s="101"/>
      <c r="AH427" s="101"/>
      <c r="AI427" s="101"/>
      <c r="AJ427" s="101"/>
      <c r="AK427" s="101"/>
      <c r="AL427" s="101"/>
      <c r="AM427" s="101"/>
      <c r="AN427" s="103"/>
      <c r="AO427" s="103"/>
      <c r="AP427" s="103"/>
      <c r="AQ427" s="103"/>
      <c r="AR427" s="103"/>
      <c r="AS427" s="103"/>
      <c r="AT427" s="103"/>
      <c r="AU427" s="101"/>
      <c r="AV427" s="101"/>
      <c r="AW427" s="101"/>
      <c r="AX427" s="101"/>
      <c r="AY427" s="101"/>
      <c r="AZ427" s="101"/>
      <c r="BA427" s="101"/>
      <c r="BB427" s="103"/>
      <c r="BC427" s="103"/>
      <c r="BD427" s="103"/>
      <c r="BE427" s="101"/>
      <c r="BF427" s="101"/>
      <c r="BG427" s="101"/>
      <c r="BH427" s="101"/>
      <c r="BI427" s="101"/>
      <c r="BM427" s="101"/>
      <c r="BN427" s="101"/>
      <c r="BO427" s="101"/>
      <c r="BP427" s="101"/>
      <c r="BQ427" s="101"/>
      <c r="BR427" s="101"/>
      <c r="BS427" s="101"/>
      <c r="BT427" s="104"/>
      <c r="BU427" s="104"/>
      <c r="BV427" s="104"/>
      <c r="BW427" s="104"/>
      <c r="BX427" s="104"/>
      <c r="BY427" s="104"/>
      <c r="BZ427" s="104"/>
      <c r="CA427" s="104"/>
      <c r="CB427" s="104"/>
      <c r="CC427" s="104"/>
      <c r="CD427" s="104"/>
      <c r="CE427" s="104"/>
      <c r="CF427" s="104"/>
      <c r="CG427" s="104"/>
      <c r="CH427" s="104"/>
      <c r="CI427" s="104"/>
      <c r="CJ427" s="104"/>
      <c r="CK427" s="104"/>
      <c r="CL427" s="104"/>
      <c r="CM427" s="104"/>
      <c r="CN427" s="104"/>
      <c r="CO427" s="104"/>
      <c r="CP427" s="98"/>
      <c r="CR427" s="101"/>
      <c r="CS427" s="101"/>
      <c r="CT427" s="101"/>
      <c r="CU427" s="101"/>
      <c r="CV427" s="101"/>
      <c r="FL427" s="103"/>
      <c r="FN427" s="103"/>
      <c r="FP427" s="103"/>
      <c r="FR427" s="103"/>
    </row>
    <row r="428" spans="2:174" x14ac:dyDescent="0.35">
      <c r="B428" s="97"/>
      <c r="G428" s="100"/>
      <c r="K428" s="98"/>
      <c r="L428" s="101"/>
      <c r="M428" s="101"/>
      <c r="N428" s="101"/>
      <c r="O428" s="101"/>
      <c r="P428" s="102"/>
      <c r="Q428" s="101"/>
      <c r="R428" s="98"/>
      <c r="S428" s="98"/>
      <c r="T428" s="98"/>
      <c r="U428" s="98"/>
      <c r="V428" s="98"/>
      <c r="W428" s="98"/>
      <c r="X428" s="98"/>
      <c r="Y428" s="98"/>
      <c r="Z428" s="103"/>
      <c r="AA428" s="103"/>
      <c r="AB428" s="103"/>
      <c r="AC428" s="103"/>
      <c r="AD428" s="103"/>
      <c r="AE428" s="103"/>
      <c r="AF428" s="103"/>
      <c r="AG428" s="101"/>
      <c r="AH428" s="101"/>
      <c r="AI428" s="101"/>
      <c r="AJ428" s="101"/>
      <c r="AK428" s="101"/>
      <c r="AL428" s="101"/>
      <c r="AM428" s="101"/>
      <c r="AN428" s="103"/>
      <c r="AO428" s="103"/>
      <c r="AP428" s="103"/>
      <c r="AQ428" s="103"/>
      <c r="AR428" s="103"/>
      <c r="AS428" s="103"/>
      <c r="AT428" s="103"/>
      <c r="AU428" s="101"/>
      <c r="AV428" s="101"/>
      <c r="AW428" s="101"/>
      <c r="AX428" s="101"/>
      <c r="AY428" s="101"/>
      <c r="AZ428" s="101"/>
      <c r="BA428" s="101"/>
      <c r="BB428" s="103"/>
      <c r="BC428" s="103"/>
      <c r="BD428" s="103"/>
      <c r="BE428" s="101"/>
      <c r="BF428" s="101"/>
      <c r="BG428" s="101"/>
      <c r="BH428" s="101"/>
      <c r="BI428" s="101"/>
      <c r="BM428" s="101"/>
      <c r="BN428" s="101"/>
      <c r="BO428" s="101"/>
      <c r="BP428" s="101"/>
      <c r="BQ428" s="101"/>
      <c r="BR428" s="101"/>
      <c r="BS428" s="101"/>
      <c r="BT428" s="104"/>
      <c r="BU428" s="104"/>
      <c r="BV428" s="104"/>
      <c r="BW428" s="104"/>
      <c r="BX428" s="104"/>
      <c r="BY428" s="104"/>
      <c r="BZ428" s="104"/>
      <c r="CA428" s="104"/>
      <c r="CB428" s="104"/>
      <c r="CC428" s="104"/>
      <c r="CD428" s="104"/>
      <c r="CE428" s="104"/>
      <c r="CF428" s="104"/>
      <c r="CG428" s="104"/>
      <c r="CH428" s="104"/>
      <c r="CI428" s="104"/>
      <c r="CJ428" s="104"/>
      <c r="CK428" s="104"/>
      <c r="CL428" s="104"/>
      <c r="CM428" s="104"/>
      <c r="CN428" s="104"/>
      <c r="CO428" s="104"/>
      <c r="CP428" s="98"/>
      <c r="CR428" s="101"/>
      <c r="CS428" s="101"/>
      <c r="CT428" s="101"/>
      <c r="CU428" s="101"/>
      <c r="CV428" s="101"/>
      <c r="FL428" s="103"/>
      <c r="FN428" s="103"/>
      <c r="FP428" s="103"/>
      <c r="FR428" s="103"/>
    </row>
    <row r="429" spans="2:174" x14ac:dyDescent="0.35">
      <c r="B429" s="97"/>
      <c r="G429" s="100"/>
      <c r="K429" s="98"/>
      <c r="L429" s="101"/>
      <c r="M429" s="101"/>
      <c r="N429" s="101"/>
      <c r="O429" s="101"/>
      <c r="P429" s="102"/>
      <c r="Q429" s="101"/>
      <c r="R429" s="98"/>
      <c r="S429" s="98"/>
      <c r="T429" s="98"/>
      <c r="U429" s="98"/>
      <c r="V429" s="98"/>
      <c r="W429" s="98"/>
      <c r="X429" s="98"/>
      <c r="Y429" s="98"/>
      <c r="Z429" s="103"/>
      <c r="AA429" s="103"/>
      <c r="AB429" s="103"/>
      <c r="AC429" s="103"/>
      <c r="AD429" s="103"/>
      <c r="AE429" s="103"/>
      <c r="AF429" s="103"/>
      <c r="AG429" s="101"/>
      <c r="AH429" s="101"/>
      <c r="AI429" s="101"/>
      <c r="AJ429" s="101"/>
      <c r="AK429" s="101"/>
      <c r="AL429" s="101"/>
      <c r="AM429" s="101"/>
      <c r="AN429" s="103"/>
      <c r="AO429" s="103"/>
      <c r="AP429" s="103"/>
      <c r="AQ429" s="103"/>
      <c r="AR429" s="103"/>
      <c r="AS429" s="103"/>
      <c r="AT429" s="103"/>
      <c r="AU429" s="101"/>
      <c r="AV429" s="101"/>
      <c r="AW429" s="101"/>
      <c r="AX429" s="101"/>
      <c r="AY429" s="101"/>
      <c r="AZ429" s="101"/>
      <c r="BA429" s="101"/>
      <c r="BB429" s="103"/>
      <c r="BC429" s="103"/>
      <c r="BD429" s="103"/>
      <c r="BE429" s="101"/>
      <c r="BF429" s="101"/>
      <c r="BG429" s="101"/>
      <c r="BH429" s="101"/>
      <c r="BI429" s="101"/>
      <c r="BM429" s="101"/>
      <c r="BN429" s="101"/>
      <c r="BO429" s="101"/>
      <c r="BP429" s="101"/>
      <c r="BQ429" s="101"/>
      <c r="BR429" s="101"/>
      <c r="BS429" s="101"/>
      <c r="BT429" s="104"/>
      <c r="BU429" s="104"/>
      <c r="BV429" s="104"/>
      <c r="BW429" s="104"/>
      <c r="BX429" s="104"/>
      <c r="BY429" s="104"/>
      <c r="BZ429" s="104"/>
      <c r="CA429" s="104"/>
      <c r="CB429" s="104"/>
      <c r="CC429" s="104"/>
      <c r="CD429" s="104"/>
      <c r="CE429" s="104"/>
      <c r="CF429" s="104"/>
      <c r="CG429" s="104"/>
      <c r="CH429" s="104"/>
      <c r="CI429" s="104"/>
      <c r="CJ429" s="104"/>
      <c r="CK429" s="104"/>
      <c r="CL429" s="104"/>
      <c r="CM429" s="104"/>
      <c r="CN429" s="104"/>
      <c r="CO429" s="104"/>
      <c r="CP429" s="98"/>
      <c r="CR429" s="101"/>
      <c r="CS429" s="101"/>
      <c r="CT429" s="101"/>
      <c r="CU429" s="101"/>
      <c r="CV429" s="101"/>
      <c r="FL429" s="103"/>
      <c r="FN429" s="103"/>
      <c r="FP429" s="103"/>
      <c r="FR429" s="103"/>
    </row>
    <row r="430" spans="2:174" x14ac:dyDescent="0.35">
      <c r="B430" s="97"/>
      <c r="G430" s="100"/>
      <c r="K430" s="98"/>
      <c r="L430" s="101"/>
      <c r="M430" s="101"/>
      <c r="N430" s="101"/>
      <c r="O430" s="101"/>
      <c r="P430" s="102"/>
      <c r="Q430" s="101"/>
      <c r="R430" s="98"/>
      <c r="S430" s="98"/>
      <c r="T430" s="98"/>
      <c r="U430" s="98"/>
      <c r="V430" s="98"/>
      <c r="W430" s="98"/>
      <c r="X430" s="98"/>
      <c r="Y430" s="98"/>
      <c r="Z430" s="103"/>
      <c r="AA430" s="103"/>
      <c r="AB430" s="103"/>
      <c r="AC430" s="103"/>
      <c r="AD430" s="103"/>
      <c r="AE430" s="103"/>
      <c r="AF430" s="103"/>
      <c r="AG430" s="101"/>
      <c r="AH430" s="101"/>
      <c r="AI430" s="101"/>
      <c r="AJ430" s="101"/>
      <c r="AK430" s="101"/>
      <c r="AL430" s="101"/>
      <c r="AM430" s="101"/>
      <c r="AN430" s="103"/>
      <c r="AO430" s="103"/>
      <c r="AP430" s="103"/>
      <c r="AQ430" s="103"/>
      <c r="AR430" s="103"/>
      <c r="AS430" s="103"/>
      <c r="AT430" s="103"/>
      <c r="AU430" s="101"/>
      <c r="AV430" s="101"/>
      <c r="AW430" s="101"/>
      <c r="AX430" s="101"/>
      <c r="AY430" s="101"/>
      <c r="AZ430" s="101"/>
      <c r="BA430" s="101"/>
      <c r="BB430" s="103"/>
      <c r="BC430" s="103"/>
      <c r="BD430" s="103"/>
      <c r="BE430" s="101"/>
      <c r="BF430" s="101"/>
      <c r="BG430" s="101"/>
      <c r="BH430" s="101"/>
      <c r="BI430" s="101"/>
      <c r="BM430" s="101"/>
      <c r="BN430" s="101"/>
      <c r="BO430" s="101"/>
      <c r="BP430" s="101"/>
      <c r="BQ430" s="101"/>
      <c r="BR430" s="101"/>
      <c r="BS430" s="101"/>
      <c r="BT430" s="104"/>
      <c r="BU430" s="104"/>
      <c r="BV430" s="104"/>
      <c r="BW430" s="104"/>
      <c r="BX430" s="104"/>
      <c r="BY430" s="104"/>
      <c r="BZ430" s="104"/>
      <c r="CA430" s="104"/>
      <c r="CB430" s="104"/>
      <c r="CC430" s="104"/>
      <c r="CD430" s="104"/>
      <c r="CE430" s="104"/>
      <c r="CF430" s="104"/>
      <c r="CG430" s="104"/>
      <c r="CH430" s="104"/>
      <c r="CI430" s="104"/>
      <c r="CJ430" s="104"/>
      <c r="CK430" s="104"/>
      <c r="CL430" s="104"/>
      <c r="CM430" s="104"/>
      <c r="CN430" s="104"/>
      <c r="CO430" s="104"/>
      <c r="CP430" s="98"/>
      <c r="CR430" s="101"/>
      <c r="CS430" s="101"/>
      <c r="CT430" s="101"/>
      <c r="CU430" s="101"/>
      <c r="CV430" s="101"/>
      <c r="FL430" s="103"/>
      <c r="FN430" s="103"/>
      <c r="FP430" s="103"/>
      <c r="FR430" s="103"/>
    </row>
    <row r="431" spans="2:174" x14ac:dyDescent="0.35">
      <c r="B431" s="97"/>
      <c r="G431" s="100"/>
      <c r="K431" s="98"/>
      <c r="L431" s="101"/>
      <c r="M431" s="101"/>
      <c r="N431" s="101"/>
      <c r="O431" s="101"/>
      <c r="P431" s="102"/>
      <c r="Q431" s="101"/>
      <c r="R431" s="98"/>
      <c r="S431" s="98"/>
      <c r="T431" s="98"/>
      <c r="U431" s="98"/>
      <c r="V431" s="98"/>
      <c r="W431" s="98"/>
      <c r="X431" s="98"/>
      <c r="Y431" s="98"/>
      <c r="Z431" s="103"/>
      <c r="AA431" s="103"/>
      <c r="AB431" s="103"/>
      <c r="AC431" s="103"/>
      <c r="AD431" s="103"/>
      <c r="AE431" s="103"/>
      <c r="AF431" s="103"/>
      <c r="AG431" s="101"/>
      <c r="AH431" s="101"/>
      <c r="AI431" s="101"/>
      <c r="AJ431" s="101"/>
      <c r="AK431" s="101"/>
      <c r="AL431" s="101"/>
      <c r="AM431" s="101"/>
      <c r="AN431" s="103"/>
      <c r="AO431" s="103"/>
      <c r="AP431" s="103"/>
      <c r="AQ431" s="103"/>
      <c r="AR431" s="103"/>
      <c r="AS431" s="103"/>
      <c r="AT431" s="103"/>
      <c r="AU431" s="101"/>
      <c r="AV431" s="101"/>
      <c r="AW431" s="101"/>
      <c r="AX431" s="101"/>
      <c r="AY431" s="101"/>
      <c r="AZ431" s="101"/>
      <c r="BA431" s="101"/>
      <c r="BB431" s="103"/>
      <c r="BC431" s="103"/>
      <c r="BD431" s="103"/>
      <c r="BE431" s="101"/>
      <c r="BF431" s="101"/>
      <c r="BG431" s="101"/>
      <c r="BH431" s="101"/>
      <c r="BI431" s="101"/>
      <c r="BM431" s="101"/>
      <c r="BN431" s="101"/>
      <c r="BO431" s="101"/>
      <c r="BP431" s="101"/>
      <c r="BQ431" s="101"/>
      <c r="BR431" s="101"/>
      <c r="BS431" s="101"/>
      <c r="BT431" s="104"/>
      <c r="BU431" s="104"/>
      <c r="BV431" s="104"/>
      <c r="BW431" s="104"/>
      <c r="BX431" s="104"/>
      <c r="BY431" s="104"/>
      <c r="BZ431" s="104"/>
      <c r="CA431" s="104"/>
      <c r="CB431" s="104"/>
      <c r="CC431" s="104"/>
      <c r="CD431" s="104"/>
      <c r="CE431" s="104"/>
      <c r="CF431" s="104"/>
      <c r="CG431" s="104"/>
      <c r="CH431" s="104"/>
      <c r="CI431" s="104"/>
      <c r="CJ431" s="104"/>
      <c r="CK431" s="104"/>
      <c r="CL431" s="104"/>
      <c r="CM431" s="104"/>
      <c r="CN431" s="104"/>
      <c r="CO431" s="104"/>
      <c r="CP431" s="98"/>
      <c r="CR431" s="101"/>
      <c r="CS431" s="101"/>
      <c r="CT431" s="101"/>
      <c r="CU431" s="101"/>
      <c r="CV431" s="101"/>
      <c r="FL431" s="103"/>
      <c r="FN431" s="103"/>
      <c r="FP431" s="103"/>
      <c r="FR431" s="103"/>
    </row>
    <row r="432" spans="2:174" x14ac:dyDescent="0.35">
      <c r="B432" s="97"/>
      <c r="G432" s="100"/>
      <c r="K432" s="98"/>
      <c r="L432" s="101"/>
      <c r="M432" s="101"/>
      <c r="N432" s="101"/>
      <c r="O432" s="101"/>
      <c r="P432" s="102"/>
      <c r="Q432" s="101"/>
      <c r="R432" s="98"/>
      <c r="S432" s="98"/>
      <c r="T432" s="98"/>
      <c r="U432" s="98"/>
      <c r="V432" s="98"/>
      <c r="W432" s="98"/>
      <c r="X432" s="98"/>
      <c r="Y432" s="98"/>
      <c r="Z432" s="103"/>
      <c r="AA432" s="103"/>
      <c r="AB432" s="103"/>
      <c r="AC432" s="103"/>
      <c r="AD432" s="103"/>
      <c r="AE432" s="103"/>
      <c r="AF432" s="103"/>
      <c r="AG432" s="101"/>
      <c r="AH432" s="101"/>
      <c r="AI432" s="101"/>
      <c r="AJ432" s="101"/>
      <c r="AK432" s="101"/>
      <c r="AL432" s="101"/>
      <c r="AM432" s="101"/>
      <c r="AN432" s="103"/>
      <c r="AO432" s="103"/>
      <c r="AP432" s="103"/>
      <c r="AQ432" s="103"/>
      <c r="AR432" s="103"/>
      <c r="AS432" s="103"/>
      <c r="AT432" s="103"/>
      <c r="AU432" s="101"/>
      <c r="AV432" s="101"/>
      <c r="AW432" s="101"/>
      <c r="AX432" s="101"/>
      <c r="AY432" s="101"/>
      <c r="AZ432" s="101"/>
      <c r="BA432" s="101"/>
      <c r="BB432" s="103"/>
      <c r="BC432" s="103"/>
      <c r="BD432" s="103"/>
      <c r="BE432" s="101"/>
      <c r="BF432" s="101"/>
      <c r="BG432" s="101"/>
      <c r="BH432" s="101"/>
      <c r="BI432" s="101"/>
      <c r="BM432" s="101"/>
      <c r="BN432" s="101"/>
      <c r="BO432" s="101"/>
      <c r="BP432" s="101"/>
      <c r="BQ432" s="101"/>
      <c r="BR432" s="101"/>
      <c r="BS432" s="101"/>
      <c r="BT432" s="104"/>
      <c r="BU432" s="104"/>
      <c r="BV432" s="104"/>
      <c r="BW432" s="104"/>
      <c r="BX432" s="104"/>
      <c r="BY432" s="104"/>
      <c r="BZ432" s="104"/>
      <c r="CA432" s="104"/>
      <c r="CB432" s="104"/>
      <c r="CC432" s="104"/>
      <c r="CD432" s="104"/>
      <c r="CE432" s="104"/>
      <c r="CF432" s="104"/>
      <c r="CG432" s="104"/>
      <c r="CH432" s="104"/>
      <c r="CI432" s="104"/>
      <c r="CJ432" s="104"/>
      <c r="CK432" s="104"/>
      <c r="CL432" s="104"/>
      <c r="CM432" s="104"/>
      <c r="CN432" s="104"/>
      <c r="CO432" s="104"/>
      <c r="CP432" s="98"/>
      <c r="CR432" s="101"/>
      <c r="CS432" s="101"/>
      <c r="CT432" s="101"/>
      <c r="CU432" s="101"/>
      <c r="CV432" s="101"/>
      <c r="FL432" s="103"/>
      <c r="FN432" s="103"/>
      <c r="FP432" s="103"/>
      <c r="FR432" s="103"/>
    </row>
    <row r="433" spans="2:174" x14ac:dyDescent="0.35">
      <c r="B433" s="97"/>
      <c r="G433" s="100"/>
      <c r="K433" s="98"/>
      <c r="L433" s="101"/>
      <c r="M433" s="101"/>
      <c r="N433" s="101"/>
      <c r="O433" s="101"/>
      <c r="P433" s="102"/>
      <c r="Q433" s="101"/>
      <c r="R433" s="98"/>
      <c r="S433" s="98"/>
      <c r="T433" s="98"/>
      <c r="U433" s="98"/>
      <c r="V433" s="98"/>
      <c r="W433" s="98"/>
      <c r="X433" s="98"/>
      <c r="Y433" s="98"/>
      <c r="Z433" s="103"/>
      <c r="AA433" s="103"/>
      <c r="AB433" s="103"/>
      <c r="AC433" s="103"/>
      <c r="AD433" s="103"/>
      <c r="AE433" s="103"/>
      <c r="AF433" s="103"/>
      <c r="AG433" s="101"/>
      <c r="AH433" s="101"/>
      <c r="AI433" s="101"/>
      <c r="AJ433" s="101"/>
      <c r="AK433" s="101"/>
      <c r="AL433" s="101"/>
      <c r="AM433" s="101"/>
      <c r="AN433" s="103"/>
      <c r="AO433" s="103"/>
      <c r="AP433" s="103"/>
      <c r="AQ433" s="103"/>
      <c r="AR433" s="103"/>
      <c r="AS433" s="103"/>
      <c r="AT433" s="103"/>
      <c r="AU433" s="101"/>
      <c r="AV433" s="101"/>
      <c r="AW433" s="101"/>
      <c r="AX433" s="101"/>
      <c r="AY433" s="101"/>
      <c r="AZ433" s="101"/>
      <c r="BA433" s="101"/>
      <c r="BB433" s="103"/>
      <c r="BC433" s="103"/>
      <c r="BD433" s="103"/>
      <c r="BE433" s="101"/>
      <c r="BF433" s="101"/>
      <c r="BG433" s="101"/>
      <c r="BH433" s="101"/>
      <c r="BI433" s="101"/>
      <c r="BM433" s="101"/>
      <c r="BN433" s="101"/>
      <c r="BO433" s="101"/>
      <c r="BP433" s="101"/>
      <c r="BQ433" s="101"/>
      <c r="BR433" s="101"/>
      <c r="BS433" s="101"/>
      <c r="BT433" s="104"/>
      <c r="BU433" s="104"/>
      <c r="BV433" s="104"/>
      <c r="BW433" s="104"/>
      <c r="BX433" s="104"/>
      <c r="BY433" s="104"/>
      <c r="BZ433" s="104"/>
      <c r="CA433" s="104"/>
      <c r="CB433" s="104"/>
      <c r="CC433" s="104"/>
      <c r="CD433" s="104"/>
      <c r="CE433" s="104"/>
      <c r="CF433" s="104"/>
      <c r="CG433" s="104"/>
      <c r="CH433" s="104"/>
      <c r="CI433" s="104"/>
      <c r="CJ433" s="104"/>
      <c r="CK433" s="104"/>
      <c r="CL433" s="104"/>
      <c r="CM433" s="104"/>
      <c r="CN433" s="104"/>
      <c r="CO433" s="104"/>
      <c r="CP433" s="98"/>
      <c r="CR433" s="101"/>
      <c r="CS433" s="101"/>
      <c r="CT433" s="101"/>
      <c r="CU433" s="101"/>
      <c r="CV433" s="101"/>
      <c r="FL433" s="103"/>
      <c r="FN433" s="103"/>
      <c r="FP433" s="103"/>
      <c r="FR433" s="103"/>
    </row>
    <row r="434" spans="2:174" x14ac:dyDescent="0.35">
      <c r="B434" s="97"/>
      <c r="G434" s="100"/>
      <c r="K434" s="98"/>
      <c r="L434" s="101"/>
      <c r="M434" s="101"/>
      <c r="N434" s="101"/>
      <c r="O434" s="101"/>
      <c r="P434" s="102"/>
      <c r="Q434" s="101"/>
      <c r="R434" s="98"/>
      <c r="S434" s="98"/>
      <c r="T434" s="98"/>
      <c r="U434" s="98"/>
      <c r="V434" s="98"/>
      <c r="W434" s="98"/>
      <c r="X434" s="98"/>
      <c r="Y434" s="98"/>
      <c r="Z434" s="103"/>
      <c r="AA434" s="103"/>
      <c r="AB434" s="103"/>
      <c r="AC434" s="103"/>
      <c r="AD434" s="103"/>
      <c r="AE434" s="103"/>
      <c r="AF434" s="103"/>
      <c r="AG434" s="101"/>
      <c r="AH434" s="101"/>
      <c r="AI434" s="101"/>
      <c r="AJ434" s="101"/>
      <c r="AK434" s="101"/>
      <c r="AL434" s="101"/>
      <c r="AM434" s="101"/>
      <c r="AN434" s="103"/>
      <c r="AO434" s="103"/>
      <c r="AP434" s="103"/>
      <c r="AQ434" s="103"/>
      <c r="AR434" s="103"/>
      <c r="AS434" s="103"/>
      <c r="AT434" s="103"/>
      <c r="AU434" s="101"/>
      <c r="AV434" s="101"/>
      <c r="AW434" s="101"/>
      <c r="AX434" s="101"/>
      <c r="AY434" s="101"/>
      <c r="AZ434" s="101"/>
      <c r="BA434" s="101"/>
      <c r="BB434" s="103"/>
      <c r="BC434" s="103"/>
      <c r="BD434" s="103"/>
      <c r="BE434" s="101"/>
      <c r="BF434" s="101"/>
      <c r="BG434" s="101"/>
      <c r="BH434" s="101"/>
      <c r="BI434" s="101"/>
      <c r="BM434" s="101"/>
      <c r="BN434" s="101"/>
      <c r="BO434" s="101"/>
      <c r="BP434" s="101"/>
      <c r="BQ434" s="101"/>
      <c r="BR434" s="101"/>
      <c r="BS434" s="101"/>
      <c r="BT434" s="104"/>
      <c r="BU434" s="104"/>
      <c r="BV434" s="104"/>
      <c r="BW434" s="104"/>
      <c r="BX434" s="104"/>
      <c r="BY434" s="104"/>
      <c r="BZ434" s="104"/>
      <c r="CA434" s="104"/>
      <c r="CB434" s="104"/>
      <c r="CC434" s="104"/>
      <c r="CD434" s="104"/>
      <c r="CE434" s="104"/>
      <c r="CF434" s="104"/>
      <c r="CG434" s="104"/>
      <c r="CH434" s="104"/>
      <c r="CI434" s="104"/>
      <c r="CJ434" s="104"/>
      <c r="CK434" s="104"/>
      <c r="CL434" s="104"/>
      <c r="CM434" s="104"/>
      <c r="CN434" s="104"/>
      <c r="CO434" s="104"/>
      <c r="CP434" s="98"/>
      <c r="CR434" s="101"/>
      <c r="CS434" s="101"/>
      <c r="CT434" s="101"/>
      <c r="CU434" s="101"/>
      <c r="CV434" s="101"/>
      <c r="FL434" s="103"/>
      <c r="FN434" s="103"/>
      <c r="FP434" s="103"/>
      <c r="FR434" s="103"/>
    </row>
    <row r="435" spans="2:174" x14ac:dyDescent="0.35">
      <c r="B435" s="97"/>
      <c r="G435" s="100"/>
      <c r="K435" s="98"/>
      <c r="L435" s="101"/>
      <c r="M435" s="101"/>
      <c r="N435" s="101"/>
      <c r="O435" s="101"/>
      <c r="P435" s="102"/>
      <c r="Q435" s="101"/>
      <c r="R435" s="98"/>
      <c r="S435" s="98"/>
      <c r="T435" s="98"/>
      <c r="U435" s="98"/>
      <c r="V435" s="98"/>
      <c r="W435" s="98"/>
      <c r="X435" s="98"/>
      <c r="Y435" s="98"/>
      <c r="Z435" s="103"/>
      <c r="AA435" s="103"/>
      <c r="AB435" s="103"/>
      <c r="AC435" s="103"/>
      <c r="AD435" s="103"/>
      <c r="AE435" s="103"/>
      <c r="AF435" s="103"/>
      <c r="AG435" s="101"/>
      <c r="AH435" s="101"/>
      <c r="AI435" s="101"/>
      <c r="AJ435" s="101"/>
      <c r="AK435" s="101"/>
      <c r="AL435" s="101"/>
      <c r="AM435" s="101"/>
      <c r="AN435" s="103"/>
      <c r="AO435" s="103"/>
      <c r="AP435" s="103"/>
      <c r="AQ435" s="103"/>
      <c r="AR435" s="103"/>
      <c r="AS435" s="103"/>
      <c r="AT435" s="103"/>
      <c r="AU435" s="101"/>
      <c r="AV435" s="101"/>
      <c r="AW435" s="101"/>
      <c r="AX435" s="101"/>
      <c r="AY435" s="101"/>
      <c r="AZ435" s="101"/>
      <c r="BA435" s="101"/>
      <c r="BB435" s="103"/>
      <c r="BC435" s="103"/>
      <c r="BD435" s="103"/>
      <c r="BE435" s="101"/>
      <c r="BF435" s="101"/>
      <c r="BG435" s="101"/>
      <c r="BH435" s="101"/>
      <c r="BI435" s="101"/>
      <c r="BM435" s="101"/>
      <c r="BN435" s="101"/>
      <c r="BO435" s="101"/>
      <c r="BP435" s="101"/>
      <c r="BQ435" s="101"/>
      <c r="BR435" s="101"/>
      <c r="BS435" s="101"/>
      <c r="BT435" s="104"/>
      <c r="BU435" s="104"/>
      <c r="BV435" s="104"/>
      <c r="BW435" s="104"/>
      <c r="BX435" s="104"/>
      <c r="BY435" s="104"/>
      <c r="BZ435" s="104"/>
      <c r="CA435" s="104"/>
      <c r="CB435" s="104"/>
      <c r="CC435" s="104"/>
      <c r="CD435" s="104"/>
      <c r="CE435" s="104"/>
      <c r="CF435" s="104"/>
      <c r="CG435" s="104"/>
      <c r="CH435" s="104"/>
      <c r="CI435" s="104"/>
      <c r="CJ435" s="104"/>
      <c r="CK435" s="104"/>
      <c r="CL435" s="104"/>
      <c r="CM435" s="104"/>
      <c r="CN435" s="104"/>
      <c r="CO435" s="104"/>
      <c r="CP435" s="98"/>
      <c r="CR435" s="101"/>
      <c r="CS435" s="101"/>
      <c r="CT435" s="101"/>
      <c r="CU435" s="101"/>
      <c r="CV435" s="101"/>
      <c r="FL435" s="103"/>
      <c r="FN435" s="103"/>
      <c r="FP435" s="103"/>
      <c r="FR435" s="103"/>
    </row>
    <row r="436" spans="2:174" x14ac:dyDescent="0.35">
      <c r="B436" s="97"/>
      <c r="G436" s="100"/>
      <c r="K436" s="98"/>
      <c r="L436" s="101"/>
      <c r="M436" s="101"/>
      <c r="N436" s="101"/>
      <c r="O436" s="101"/>
      <c r="P436" s="102"/>
      <c r="Q436" s="101"/>
      <c r="R436" s="98"/>
      <c r="S436" s="98"/>
      <c r="T436" s="98"/>
      <c r="U436" s="98"/>
      <c r="V436" s="98"/>
      <c r="W436" s="98"/>
      <c r="X436" s="98"/>
      <c r="Y436" s="98"/>
      <c r="Z436" s="103"/>
      <c r="AA436" s="103"/>
      <c r="AB436" s="103"/>
      <c r="AC436" s="103"/>
      <c r="AD436" s="103"/>
      <c r="AE436" s="103"/>
      <c r="AF436" s="103"/>
      <c r="AG436" s="101"/>
      <c r="AH436" s="101"/>
      <c r="AI436" s="101"/>
      <c r="AJ436" s="101"/>
      <c r="AK436" s="101"/>
      <c r="AL436" s="101"/>
      <c r="AM436" s="101"/>
      <c r="AN436" s="103"/>
      <c r="AO436" s="103"/>
      <c r="AP436" s="103"/>
      <c r="AQ436" s="103"/>
      <c r="AR436" s="103"/>
      <c r="AS436" s="103"/>
      <c r="AT436" s="103"/>
      <c r="AU436" s="101"/>
      <c r="AV436" s="101"/>
      <c r="AW436" s="101"/>
      <c r="AX436" s="101"/>
      <c r="AY436" s="101"/>
      <c r="AZ436" s="101"/>
      <c r="BA436" s="101"/>
      <c r="BB436" s="103"/>
      <c r="BC436" s="103"/>
      <c r="BD436" s="103"/>
      <c r="BE436" s="101"/>
      <c r="BF436" s="101"/>
      <c r="BG436" s="101"/>
      <c r="BH436" s="101"/>
      <c r="BI436" s="101"/>
      <c r="BM436" s="101"/>
      <c r="BN436" s="101"/>
      <c r="BO436" s="101"/>
      <c r="BP436" s="101"/>
      <c r="BQ436" s="101"/>
      <c r="BR436" s="101"/>
      <c r="BS436" s="101"/>
      <c r="BT436" s="104"/>
      <c r="BU436" s="104"/>
      <c r="BV436" s="104"/>
      <c r="BW436" s="104"/>
      <c r="BX436" s="104"/>
      <c r="BY436" s="104"/>
      <c r="BZ436" s="104"/>
      <c r="CA436" s="104"/>
      <c r="CB436" s="104"/>
      <c r="CC436" s="104"/>
      <c r="CD436" s="104"/>
      <c r="CE436" s="104"/>
      <c r="CF436" s="104"/>
      <c r="CG436" s="104"/>
      <c r="CH436" s="104"/>
      <c r="CI436" s="104"/>
      <c r="CJ436" s="104"/>
      <c r="CK436" s="104"/>
      <c r="CL436" s="104"/>
      <c r="CM436" s="104"/>
      <c r="CN436" s="104"/>
      <c r="CO436" s="104"/>
      <c r="CP436" s="98"/>
      <c r="CR436" s="101"/>
      <c r="CS436" s="101"/>
      <c r="CT436" s="101"/>
      <c r="CU436" s="101"/>
      <c r="CV436" s="101"/>
      <c r="FL436" s="103"/>
      <c r="FN436" s="103"/>
      <c r="FP436" s="103"/>
      <c r="FR436" s="103"/>
    </row>
    <row r="437" spans="2:174" x14ac:dyDescent="0.35">
      <c r="B437" s="97"/>
      <c r="G437" s="100"/>
      <c r="K437" s="98"/>
      <c r="L437" s="101"/>
      <c r="M437" s="101"/>
      <c r="N437" s="101"/>
      <c r="O437" s="101"/>
      <c r="P437" s="102"/>
      <c r="Q437" s="101"/>
      <c r="R437" s="98"/>
      <c r="S437" s="98"/>
      <c r="T437" s="98"/>
      <c r="U437" s="98"/>
      <c r="V437" s="98"/>
      <c r="W437" s="98"/>
      <c r="X437" s="98"/>
      <c r="Y437" s="98"/>
      <c r="Z437" s="103"/>
      <c r="AA437" s="103"/>
      <c r="AB437" s="103"/>
      <c r="AC437" s="103"/>
      <c r="AD437" s="103"/>
      <c r="AE437" s="103"/>
      <c r="AF437" s="103"/>
      <c r="AG437" s="101"/>
      <c r="AH437" s="101"/>
      <c r="AI437" s="101"/>
      <c r="AJ437" s="101"/>
      <c r="AK437" s="101"/>
      <c r="AL437" s="101"/>
      <c r="AM437" s="101"/>
      <c r="AN437" s="103"/>
      <c r="AO437" s="103"/>
      <c r="AP437" s="103"/>
      <c r="AQ437" s="103"/>
      <c r="AR437" s="103"/>
      <c r="AS437" s="103"/>
      <c r="AT437" s="103"/>
      <c r="AU437" s="101"/>
      <c r="AV437" s="101"/>
      <c r="AW437" s="101"/>
      <c r="AX437" s="101"/>
      <c r="AY437" s="101"/>
      <c r="AZ437" s="101"/>
      <c r="BA437" s="101"/>
      <c r="BB437" s="103"/>
      <c r="BC437" s="103"/>
      <c r="BD437" s="103"/>
      <c r="BE437" s="101"/>
      <c r="BF437" s="101"/>
      <c r="BG437" s="101"/>
      <c r="BH437" s="101"/>
      <c r="BI437" s="101"/>
      <c r="BM437" s="101"/>
      <c r="BN437" s="101"/>
      <c r="BO437" s="101"/>
      <c r="BP437" s="101"/>
      <c r="BQ437" s="101"/>
      <c r="BR437" s="101"/>
      <c r="BS437" s="101"/>
      <c r="BT437" s="104"/>
      <c r="BU437" s="104"/>
      <c r="BV437" s="104"/>
      <c r="BW437" s="104"/>
      <c r="BX437" s="104"/>
      <c r="BY437" s="104"/>
      <c r="BZ437" s="104"/>
      <c r="CA437" s="104"/>
      <c r="CB437" s="104"/>
      <c r="CC437" s="104"/>
      <c r="CD437" s="104"/>
      <c r="CE437" s="104"/>
      <c r="CF437" s="104"/>
      <c r="CG437" s="104"/>
      <c r="CH437" s="104"/>
      <c r="CI437" s="104"/>
      <c r="CJ437" s="104"/>
      <c r="CK437" s="104"/>
      <c r="CL437" s="104"/>
      <c r="CM437" s="104"/>
      <c r="CN437" s="104"/>
      <c r="CO437" s="104"/>
      <c r="CP437" s="98"/>
      <c r="CR437" s="101"/>
      <c r="CS437" s="101"/>
      <c r="CT437" s="101"/>
      <c r="CU437" s="101"/>
      <c r="CV437" s="101"/>
      <c r="FL437" s="103"/>
      <c r="FN437" s="103"/>
      <c r="FP437" s="103"/>
      <c r="FR437" s="103"/>
    </row>
    <row r="438" spans="2:174" x14ac:dyDescent="0.35">
      <c r="B438" s="97"/>
      <c r="G438" s="100"/>
      <c r="K438" s="98"/>
      <c r="L438" s="101"/>
      <c r="M438" s="101"/>
      <c r="N438" s="101"/>
      <c r="O438" s="101"/>
      <c r="P438" s="102"/>
      <c r="Q438" s="101"/>
      <c r="R438" s="98"/>
      <c r="S438" s="98"/>
      <c r="T438" s="98"/>
      <c r="U438" s="98"/>
      <c r="V438" s="98"/>
      <c r="W438" s="98"/>
      <c r="X438" s="98"/>
      <c r="Y438" s="98"/>
      <c r="Z438" s="103"/>
      <c r="AA438" s="103"/>
      <c r="AB438" s="103"/>
      <c r="AC438" s="103"/>
      <c r="AD438" s="103"/>
      <c r="AE438" s="103"/>
      <c r="AF438" s="103"/>
      <c r="AG438" s="101"/>
      <c r="AH438" s="101"/>
      <c r="AI438" s="101"/>
      <c r="AJ438" s="101"/>
      <c r="AK438" s="101"/>
      <c r="AL438" s="101"/>
      <c r="AM438" s="101"/>
      <c r="AN438" s="103"/>
      <c r="AO438" s="103"/>
      <c r="AP438" s="103"/>
      <c r="AQ438" s="103"/>
      <c r="AR438" s="103"/>
      <c r="AS438" s="103"/>
      <c r="AT438" s="103"/>
      <c r="AU438" s="101"/>
      <c r="AV438" s="101"/>
      <c r="AW438" s="101"/>
      <c r="AX438" s="101"/>
      <c r="AY438" s="101"/>
      <c r="AZ438" s="101"/>
      <c r="BA438" s="101"/>
      <c r="BB438" s="103"/>
      <c r="BC438" s="103"/>
      <c r="BD438" s="103"/>
      <c r="BE438" s="101"/>
      <c r="BF438" s="101"/>
      <c r="BG438" s="101"/>
      <c r="BH438" s="101"/>
      <c r="BI438" s="101"/>
      <c r="BM438" s="101"/>
      <c r="BN438" s="101"/>
      <c r="BO438" s="101"/>
      <c r="BP438" s="101"/>
      <c r="BQ438" s="101"/>
      <c r="BR438" s="101"/>
      <c r="BS438" s="101"/>
      <c r="BT438" s="104"/>
      <c r="BU438" s="104"/>
      <c r="BV438" s="104"/>
      <c r="BW438" s="104"/>
      <c r="BX438" s="104"/>
      <c r="BY438" s="104"/>
      <c r="BZ438" s="104"/>
      <c r="CA438" s="104"/>
      <c r="CB438" s="104"/>
      <c r="CC438" s="104"/>
      <c r="CD438" s="104"/>
      <c r="CE438" s="104"/>
      <c r="CF438" s="104"/>
      <c r="CG438" s="104"/>
      <c r="CH438" s="104"/>
      <c r="CI438" s="104"/>
      <c r="CJ438" s="104"/>
      <c r="CK438" s="104"/>
      <c r="CL438" s="104"/>
      <c r="CM438" s="104"/>
      <c r="CN438" s="104"/>
      <c r="CO438" s="104"/>
      <c r="CP438" s="98"/>
      <c r="CR438" s="101"/>
      <c r="CS438" s="101"/>
      <c r="CT438" s="101"/>
      <c r="CU438" s="101"/>
      <c r="CV438" s="101"/>
      <c r="FL438" s="103"/>
      <c r="FN438" s="103"/>
      <c r="FP438" s="103"/>
      <c r="FR438" s="103"/>
    </row>
    <row r="439" spans="2:174" x14ac:dyDescent="0.35">
      <c r="B439" s="97"/>
      <c r="G439" s="100"/>
      <c r="K439" s="98"/>
      <c r="L439" s="101"/>
      <c r="M439" s="101"/>
      <c r="N439" s="101"/>
      <c r="O439" s="101"/>
      <c r="P439" s="102"/>
      <c r="Q439" s="101"/>
      <c r="R439" s="98"/>
      <c r="S439" s="98"/>
      <c r="T439" s="98"/>
      <c r="U439" s="98"/>
      <c r="V439" s="98"/>
      <c r="W439" s="98"/>
      <c r="X439" s="98"/>
      <c r="Y439" s="98"/>
      <c r="Z439" s="103"/>
      <c r="AA439" s="103"/>
      <c r="AB439" s="103"/>
      <c r="AC439" s="103"/>
      <c r="AD439" s="103"/>
      <c r="AE439" s="103"/>
      <c r="AF439" s="103"/>
      <c r="AG439" s="101"/>
      <c r="AH439" s="101"/>
      <c r="AI439" s="101"/>
      <c r="AJ439" s="101"/>
      <c r="AK439" s="101"/>
      <c r="AL439" s="101"/>
      <c r="AM439" s="101"/>
      <c r="AN439" s="103"/>
      <c r="AO439" s="103"/>
      <c r="AP439" s="103"/>
      <c r="AQ439" s="103"/>
      <c r="AR439" s="103"/>
      <c r="AS439" s="103"/>
      <c r="AT439" s="103"/>
      <c r="AU439" s="101"/>
      <c r="AV439" s="101"/>
      <c r="AW439" s="101"/>
      <c r="AX439" s="101"/>
      <c r="AY439" s="101"/>
      <c r="AZ439" s="101"/>
      <c r="BA439" s="101"/>
      <c r="BB439" s="103"/>
      <c r="BC439" s="103"/>
      <c r="BD439" s="103"/>
      <c r="BE439" s="101"/>
      <c r="BF439" s="101"/>
      <c r="BG439" s="101"/>
      <c r="BH439" s="101"/>
      <c r="BI439" s="101"/>
      <c r="BM439" s="101"/>
      <c r="BN439" s="101"/>
      <c r="BO439" s="101"/>
      <c r="BP439" s="101"/>
      <c r="BQ439" s="101"/>
      <c r="BR439" s="101"/>
      <c r="BS439" s="101"/>
      <c r="BT439" s="104"/>
      <c r="BU439" s="104"/>
      <c r="BV439" s="104"/>
      <c r="BW439" s="104"/>
      <c r="BX439" s="104"/>
      <c r="BY439" s="104"/>
      <c r="BZ439" s="104"/>
      <c r="CA439" s="104"/>
      <c r="CB439" s="104"/>
      <c r="CC439" s="104"/>
      <c r="CD439" s="104"/>
      <c r="CE439" s="104"/>
      <c r="CF439" s="104"/>
      <c r="CG439" s="104"/>
      <c r="CH439" s="104"/>
      <c r="CI439" s="104"/>
      <c r="CJ439" s="104"/>
      <c r="CK439" s="104"/>
      <c r="CL439" s="104"/>
      <c r="CM439" s="104"/>
      <c r="CN439" s="104"/>
      <c r="CO439" s="104"/>
      <c r="CP439" s="98"/>
      <c r="CR439" s="101"/>
      <c r="CS439" s="101"/>
      <c r="CT439" s="101"/>
      <c r="CU439" s="101"/>
      <c r="CV439" s="101"/>
      <c r="FL439" s="103"/>
      <c r="FN439" s="103"/>
      <c r="FP439" s="103"/>
      <c r="FR439" s="103"/>
    </row>
    <row r="440" spans="2:174" x14ac:dyDescent="0.35">
      <c r="B440" s="97"/>
      <c r="G440" s="100"/>
      <c r="K440" s="98"/>
      <c r="L440" s="101"/>
      <c r="M440" s="101"/>
      <c r="N440" s="101"/>
      <c r="O440" s="101"/>
      <c r="P440" s="102"/>
      <c r="Q440" s="101"/>
      <c r="R440" s="98"/>
      <c r="S440" s="98"/>
      <c r="T440" s="98"/>
      <c r="U440" s="98"/>
      <c r="V440" s="98"/>
      <c r="W440" s="98"/>
      <c r="X440" s="98"/>
      <c r="Y440" s="98"/>
      <c r="Z440" s="103"/>
      <c r="AA440" s="103"/>
      <c r="AB440" s="103"/>
      <c r="AC440" s="103"/>
      <c r="AD440" s="103"/>
      <c r="AE440" s="103"/>
      <c r="AF440" s="103"/>
      <c r="AG440" s="101"/>
      <c r="AH440" s="101"/>
      <c r="AI440" s="101"/>
      <c r="AJ440" s="101"/>
      <c r="AK440" s="101"/>
      <c r="AL440" s="101"/>
      <c r="AM440" s="101"/>
      <c r="AN440" s="103"/>
      <c r="AO440" s="103"/>
      <c r="AP440" s="103"/>
      <c r="AQ440" s="103"/>
      <c r="AR440" s="103"/>
      <c r="AS440" s="103"/>
      <c r="AT440" s="103"/>
      <c r="AU440" s="101"/>
      <c r="AV440" s="101"/>
      <c r="AW440" s="101"/>
      <c r="AX440" s="101"/>
      <c r="AY440" s="101"/>
      <c r="AZ440" s="101"/>
      <c r="BA440" s="101"/>
      <c r="BB440" s="103"/>
      <c r="BC440" s="103"/>
      <c r="BD440" s="103"/>
      <c r="BE440" s="101"/>
      <c r="BF440" s="101"/>
      <c r="BG440" s="101"/>
      <c r="BH440" s="101"/>
      <c r="BI440" s="101"/>
      <c r="BM440" s="101"/>
      <c r="BN440" s="101"/>
      <c r="BO440" s="101"/>
      <c r="BP440" s="101"/>
      <c r="BQ440" s="101"/>
      <c r="BR440" s="101"/>
      <c r="BS440" s="101"/>
      <c r="BT440" s="104"/>
      <c r="BU440" s="104"/>
      <c r="BV440" s="104"/>
      <c r="BW440" s="104"/>
      <c r="BX440" s="104"/>
      <c r="BY440" s="104"/>
      <c r="BZ440" s="104"/>
      <c r="CA440" s="104"/>
      <c r="CB440" s="104"/>
      <c r="CC440" s="104"/>
      <c r="CD440" s="104"/>
      <c r="CE440" s="104"/>
      <c r="CF440" s="104"/>
      <c r="CG440" s="104"/>
      <c r="CH440" s="104"/>
      <c r="CI440" s="104"/>
      <c r="CJ440" s="104"/>
      <c r="CK440" s="104"/>
      <c r="CL440" s="104"/>
      <c r="CM440" s="104"/>
      <c r="CN440" s="104"/>
      <c r="CO440" s="104"/>
      <c r="CP440" s="98"/>
      <c r="CR440" s="101"/>
      <c r="CS440" s="101"/>
      <c r="CT440" s="101"/>
      <c r="CU440" s="101"/>
      <c r="CV440" s="101"/>
      <c r="FL440" s="103"/>
      <c r="FN440" s="103"/>
      <c r="FP440" s="103"/>
      <c r="FR440" s="103"/>
    </row>
    <row r="441" spans="2:174" x14ac:dyDescent="0.35">
      <c r="B441" s="97"/>
      <c r="G441" s="100"/>
      <c r="K441" s="98"/>
      <c r="L441" s="101"/>
      <c r="M441" s="101"/>
      <c r="N441" s="101"/>
      <c r="O441" s="101"/>
      <c r="P441" s="102"/>
      <c r="Q441" s="101"/>
      <c r="R441" s="98"/>
      <c r="S441" s="98"/>
      <c r="T441" s="98"/>
      <c r="U441" s="98"/>
      <c r="V441" s="98"/>
      <c r="W441" s="98"/>
      <c r="X441" s="98"/>
      <c r="Y441" s="98"/>
      <c r="Z441" s="103"/>
      <c r="AA441" s="103"/>
      <c r="AB441" s="103"/>
      <c r="AC441" s="103"/>
      <c r="AD441" s="103"/>
      <c r="AE441" s="103"/>
      <c r="AF441" s="103"/>
      <c r="AG441" s="101"/>
      <c r="AH441" s="101"/>
      <c r="AI441" s="101"/>
      <c r="AJ441" s="101"/>
      <c r="AK441" s="101"/>
      <c r="AL441" s="101"/>
      <c r="AM441" s="101"/>
      <c r="AN441" s="103"/>
      <c r="AO441" s="103"/>
      <c r="AP441" s="103"/>
      <c r="AQ441" s="103"/>
      <c r="AR441" s="103"/>
      <c r="AS441" s="103"/>
      <c r="AT441" s="103"/>
      <c r="AU441" s="101"/>
      <c r="AV441" s="101"/>
      <c r="AW441" s="101"/>
      <c r="AX441" s="101"/>
      <c r="AY441" s="101"/>
      <c r="AZ441" s="101"/>
      <c r="BA441" s="101"/>
      <c r="BB441" s="103"/>
      <c r="BC441" s="103"/>
      <c r="BD441" s="103"/>
      <c r="BE441" s="101"/>
      <c r="BF441" s="101"/>
      <c r="BG441" s="101"/>
      <c r="BH441" s="101"/>
      <c r="BI441" s="101"/>
      <c r="BM441" s="101"/>
      <c r="BN441" s="101"/>
      <c r="BO441" s="101"/>
      <c r="BP441" s="101"/>
      <c r="BQ441" s="101"/>
      <c r="BR441" s="101"/>
      <c r="BS441" s="101"/>
      <c r="BT441" s="104"/>
      <c r="BU441" s="104"/>
      <c r="BV441" s="104"/>
      <c r="BW441" s="104"/>
      <c r="BX441" s="104"/>
      <c r="BY441" s="104"/>
      <c r="BZ441" s="104"/>
      <c r="CA441" s="104"/>
      <c r="CB441" s="104"/>
      <c r="CC441" s="104"/>
      <c r="CD441" s="104"/>
      <c r="CE441" s="104"/>
      <c r="CF441" s="104"/>
      <c r="CG441" s="104"/>
      <c r="CH441" s="104"/>
      <c r="CI441" s="104"/>
      <c r="CJ441" s="104"/>
      <c r="CK441" s="104"/>
      <c r="CL441" s="104"/>
      <c r="CM441" s="104"/>
      <c r="CN441" s="104"/>
      <c r="CO441" s="104"/>
      <c r="CP441" s="98"/>
      <c r="CR441" s="101"/>
      <c r="CS441" s="101"/>
      <c r="CT441" s="101"/>
      <c r="CU441" s="101"/>
      <c r="CV441" s="101"/>
      <c r="FL441" s="103"/>
      <c r="FN441" s="103"/>
      <c r="FP441" s="103"/>
      <c r="FR441" s="103"/>
    </row>
    <row r="442" spans="2:174" x14ac:dyDescent="0.35">
      <c r="B442" s="97"/>
      <c r="G442" s="100"/>
      <c r="K442" s="98"/>
      <c r="L442" s="101"/>
      <c r="M442" s="101"/>
      <c r="N442" s="101"/>
      <c r="O442" s="101"/>
      <c r="P442" s="102"/>
      <c r="Q442" s="101"/>
      <c r="R442" s="98"/>
      <c r="S442" s="98"/>
      <c r="T442" s="98"/>
      <c r="U442" s="98"/>
      <c r="V442" s="98"/>
      <c r="W442" s="98"/>
      <c r="X442" s="98"/>
      <c r="Y442" s="98"/>
      <c r="Z442" s="103"/>
      <c r="AA442" s="103"/>
      <c r="AB442" s="103"/>
      <c r="AC442" s="103"/>
      <c r="AD442" s="103"/>
      <c r="AE442" s="103"/>
      <c r="AF442" s="103"/>
      <c r="AG442" s="101"/>
      <c r="AH442" s="101"/>
      <c r="AI442" s="101"/>
      <c r="AJ442" s="101"/>
      <c r="AK442" s="101"/>
      <c r="AL442" s="101"/>
      <c r="AM442" s="101"/>
      <c r="AN442" s="103"/>
      <c r="AO442" s="103"/>
      <c r="AP442" s="103"/>
      <c r="AQ442" s="103"/>
      <c r="AR442" s="103"/>
      <c r="AS442" s="103"/>
      <c r="AT442" s="103"/>
      <c r="AU442" s="101"/>
      <c r="AV442" s="101"/>
      <c r="AW442" s="101"/>
      <c r="AX442" s="101"/>
      <c r="AY442" s="101"/>
      <c r="AZ442" s="101"/>
      <c r="BA442" s="101"/>
      <c r="BB442" s="103"/>
      <c r="BC442" s="103"/>
      <c r="BD442" s="103"/>
      <c r="BE442" s="101"/>
      <c r="BF442" s="101"/>
      <c r="BG442" s="101"/>
      <c r="BH442" s="101"/>
      <c r="BI442" s="101"/>
      <c r="BM442" s="101"/>
      <c r="BN442" s="101"/>
      <c r="BO442" s="101"/>
      <c r="BP442" s="101"/>
      <c r="BQ442" s="101"/>
      <c r="BR442" s="101"/>
      <c r="BS442" s="101"/>
      <c r="BT442" s="104"/>
      <c r="BU442" s="104"/>
      <c r="BV442" s="104"/>
      <c r="BW442" s="104"/>
      <c r="BX442" s="104"/>
      <c r="BY442" s="104"/>
      <c r="BZ442" s="104"/>
      <c r="CA442" s="104"/>
      <c r="CB442" s="104"/>
      <c r="CC442" s="104"/>
      <c r="CD442" s="104"/>
      <c r="CE442" s="104"/>
      <c r="CF442" s="104"/>
      <c r="CG442" s="104"/>
      <c r="CH442" s="104"/>
      <c r="CI442" s="104"/>
      <c r="CJ442" s="104"/>
      <c r="CK442" s="104"/>
      <c r="CL442" s="104"/>
      <c r="CM442" s="104"/>
      <c r="CN442" s="104"/>
      <c r="CO442" s="104"/>
      <c r="CP442" s="98"/>
      <c r="CR442" s="101"/>
      <c r="CS442" s="101"/>
      <c r="CT442" s="101"/>
      <c r="CU442" s="101"/>
      <c r="CV442" s="101"/>
      <c r="FL442" s="103"/>
      <c r="FN442" s="103"/>
      <c r="FP442" s="103"/>
      <c r="FR442" s="103"/>
    </row>
    <row r="443" spans="2:174" x14ac:dyDescent="0.35">
      <c r="B443" s="97"/>
      <c r="G443" s="100"/>
      <c r="K443" s="98"/>
      <c r="L443" s="101"/>
      <c r="M443" s="101"/>
      <c r="N443" s="101"/>
      <c r="O443" s="101"/>
      <c r="P443" s="102"/>
      <c r="Q443" s="101"/>
      <c r="R443" s="98"/>
      <c r="S443" s="98"/>
      <c r="T443" s="98"/>
      <c r="U443" s="98"/>
      <c r="V443" s="98"/>
      <c r="W443" s="98"/>
      <c r="X443" s="98"/>
      <c r="Y443" s="98"/>
      <c r="Z443" s="103"/>
      <c r="AA443" s="103"/>
      <c r="AB443" s="103"/>
      <c r="AC443" s="103"/>
      <c r="AD443" s="103"/>
      <c r="AE443" s="103"/>
      <c r="AF443" s="103"/>
      <c r="AG443" s="101"/>
      <c r="AH443" s="101"/>
      <c r="AI443" s="101"/>
      <c r="AJ443" s="101"/>
      <c r="AK443" s="101"/>
      <c r="AL443" s="101"/>
      <c r="AM443" s="101"/>
      <c r="AN443" s="103"/>
      <c r="AO443" s="103"/>
      <c r="AP443" s="103"/>
      <c r="AQ443" s="103"/>
      <c r="AR443" s="103"/>
      <c r="AS443" s="103"/>
      <c r="AT443" s="103"/>
      <c r="AU443" s="101"/>
      <c r="AV443" s="101"/>
      <c r="AW443" s="101"/>
      <c r="AX443" s="101"/>
      <c r="AY443" s="101"/>
      <c r="AZ443" s="101"/>
      <c r="BA443" s="101"/>
      <c r="BB443" s="103"/>
      <c r="BC443" s="103"/>
      <c r="BD443" s="103"/>
      <c r="BE443" s="101"/>
      <c r="BF443" s="101"/>
      <c r="BG443" s="101"/>
      <c r="BH443" s="101"/>
      <c r="BI443" s="101"/>
      <c r="BM443" s="101"/>
      <c r="BN443" s="101"/>
      <c r="BO443" s="101"/>
      <c r="BP443" s="101"/>
      <c r="BQ443" s="101"/>
      <c r="BR443" s="101"/>
      <c r="BS443" s="101"/>
      <c r="BT443" s="104"/>
      <c r="BU443" s="104"/>
      <c r="BV443" s="104"/>
      <c r="BW443" s="104"/>
      <c r="BX443" s="104"/>
      <c r="BY443" s="104"/>
      <c r="BZ443" s="104"/>
      <c r="CA443" s="104"/>
      <c r="CB443" s="104"/>
      <c r="CC443" s="104"/>
      <c r="CD443" s="104"/>
      <c r="CE443" s="104"/>
      <c r="CF443" s="104"/>
      <c r="CG443" s="104"/>
      <c r="CH443" s="104"/>
      <c r="CI443" s="104"/>
      <c r="CJ443" s="104"/>
      <c r="CK443" s="104"/>
      <c r="CL443" s="104"/>
      <c r="CM443" s="104"/>
      <c r="CN443" s="104"/>
      <c r="CO443" s="104"/>
      <c r="CP443" s="98"/>
      <c r="CR443" s="101"/>
      <c r="CS443" s="101"/>
      <c r="CT443" s="101"/>
      <c r="CU443" s="101"/>
      <c r="CV443" s="101"/>
      <c r="FL443" s="103"/>
      <c r="FN443" s="103"/>
      <c r="FP443" s="103"/>
      <c r="FR443" s="103"/>
    </row>
    <row r="444" spans="2:174" x14ac:dyDescent="0.35">
      <c r="B444" s="97"/>
      <c r="G444" s="100"/>
      <c r="K444" s="98"/>
      <c r="L444" s="101"/>
      <c r="M444" s="101"/>
      <c r="N444" s="101"/>
      <c r="O444" s="101"/>
      <c r="P444" s="102"/>
      <c r="Q444" s="101"/>
      <c r="R444" s="98"/>
      <c r="S444" s="98"/>
      <c r="T444" s="98"/>
      <c r="U444" s="98"/>
      <c r="V444" s="98"/>
      <c r="W444" s="98"/>
      <c r="X444" s="98"/>
      <c r="Y444" s="98"/>
      <c r="Z444" s="103"/>
      <c r="AA444" s="103"/>
      <c r="AB444" s="103"/>
      <c r="AC444" s="103"/>
      <c r="AD444" s="103"/>
      <c r="AE444" s="103"/>
      <c r="AF444" s="103"/>
      <c r="AG444" s="101"/>
      <c r="AH444" s="101"/>
      <c r="AI444" s="101"/>
      <c r="AJ444" s="101"/>
      <c r="AK444" s="101"/>
      <c r="AL444" s="101"/>
      <c r="AM444" s="101"/>
      <c r="AN444" s="103"/>
      <c r="AO444" s="103"/>
      <c r="AP444" s="103"/>
      <c r="AQ444" s="103"/>
      <c r="AR444" s="103"/>
      <c r="AS444" s="103"/>
      <c r="AT444" s="103"/>
      <c r="AU444" s="101"/>
      <c r="AV444" s="101"/>
      <c r="AW444" s="101"/>
      <c r="AX444" s="101"/>
      <c r="AY444" s="101"/>
      <c r="AZ444" s="101"/>
      <c r="BA444" s="101"/>
      <c r="BB444" s="103"/>
      <c r="BC444" s="103"/>
      <c r="BD444" s="103"/>
      <c r="BE444" s="101"/>
      <c r="BF444" s="101"/>
      <c r="BG444" s="101"/>
      <c r="BH444" s="101"/>
      <c r="BI444" s="101"/>
      <c r="BM444" s="101"/>
      <c r="BN444" s="101"/>
      <c r="BO444" s="101"/>
      <c r="BP444" s="101"/>
      <c r="BQ444" s="101"/>
      <c r="BR444" s="101"/>
      <c r="BS444" s="101"/>
      <c r="BT444" s="104"/>
      <c r="BU444" s="104"/>
      <c r="BV444" s="104"/>
      <c r="BW444" s="104"/>
      <c r="BX444" s="104"/>
      <c r="BY444" s="104"/>
      <c r="BZ444" s="104"/>
      <c r="CA444" s="104"/>
      <c r="CB444" s="104"/>
      <c r="CC444" s="104"/>
      <c r="CD444" s="104"/>
      <c r="CE444" s="104"/>
      <c r="CF444" s="104"/>
      <c r="CG444" s="104"/>
      <c r="CH444" s="104"/>
      <c r="CI444" s="104"/>
      <c r="CJ444" s="104"/>
      <c r="CK444" s="104"/>
      <c r="CL444" s="104"/>
      <c r="CM444" s="104"/>
      <c r="CN444" s="104"/>
      <c r="CO444" s="104"/>
      <c r="CP444" s="98"/>
      <c r="CR444" s="101"/>
      <c r="CS444" s="101"/>
      <c r="CT444" s="101"/>
      <c r="CU444" s="101"/>
      <c r="CV444" s="101"/>
      <c r="FL444" s="103"/>
      <c r="FN444" s="103"/>
      <c r="FP444" s="103"/>
      <c r="FR444" s="103"/>
    </row>
    <row r="445" spans="2:174" x14ac:dyDescent="0.35">
      <c r="B445" s="97"/>
      <c r="G445" s="100"/>
      <c r="K445" s="98"/>
      <c r="L445" s="101"/>
      <c r="M445" s="101"/>
      <c r="N445" s="101"/>
      <c r="O445" s="101"/>
      <c r="P445" s="102"/>
      <c r="Q445" s="101"/>
      <c r="R445" s="98"/>
      <c r="S445" s="98"/>
      <c r="T445" s="98"/>
      <c r="U445" s="98"/>
      <c r="V445" s="98"/>
      <c r="W445" s="98"/>
      <c r="X445" s="98"/>
      <c r="Y445" s="98"/>
      <c r="Z445" s="103"/>
      <c r="AA445" s="103"/>
      <c r="AB445" s="103"/>
      <c r="AC445" s="103"/>
      <c r="AD445" s="103"/>
      <c r="AE445" s="103"/>
      <c r="AF445" s="103"/>
      <c r="AG445" s="101"/>
      <c r="AH445" s="101"/>
      <c r="AI445" s="101"/>
      <c r="AJ445" s="101"/>
      <c r="AK445" s="101"/>
      <c r="AL445" s="101"/>
      <c r="AM445" s="101"/>
      <c r="AN445" s="103"/>
      <c r="AO445" s="103"/>
      <c r="AP445" s="103"/>
      <c r="AQ445" s="103"/>
      <c r="AR445" s="103"/>
      <c r="AS445" s="103"/>
      <c r="AT445" s="103"/>
      <c r="AU445" s="101"/>
      <c r="AV445" s="101"/>
      <c r="AW445" s="101"/>
      <c r="AX445" s="101"/>
      <c r="AY445" s="101"/>
      <c r="AZ445" s="101"/>
      <c r="BA445" s="101"/>
      <c r="BB445" s="103"/>
      <c r="BC445" s="103"/>
      <c r="BD445" s="103"/>
      <c r="BE445" s="101"/>
      <c r="BF445" s="101"/>
      <c r="BG445" s="101"/>
      <c r="BH445" s="101"/>
      <c r="BI445" s="101"/>
      <c r="BM445" s="101"/>
      <c r="BN445" s="101"/>
      <c r="BO445" s="101"/>
      <c r="BP445" s="101"/>
      <c r="BQ445" s="101"/>
      <c r="BR445" s="101"/>
      <c r="BS445" s="101"/>
      <c r="BT445" s="104"/>
      <c r="BU445" s="104"/>
      <c r="BV445" s="104"/>
      <c r="BW445" s="104"/>
      <c r="BX445" s="104"/>
      <c r="BY445" s="104"/>
      <c r="BZ445" s="104"/>
      <c r="CA445" s="104"/>
      <c r="CB445" s="104"/>
      <c r="CC445" s="104"/>
      <c r="CD445" s="104"/>
      <c r="CE445" s="104"/>
      <c r="CF445" s="104"/>
      <c r="CG445" s="104"/>
      <c r="CH445" s="104"/>
      <c r="CI445" s="104"/>
      <c r="CJ445" s="104"/>
      <c r="CK445" s="104"/>
      <c r="CL445" s="104"/>
      <c r="CM445" s="104"/>
      <c r="CN445" s="104"/>
      <c r="CO445" s="104"/>
      <c r="CP445" s="98"/>
      <c r="CR445" s="101"/>
      <c r="CS445" s="101"/>
      <c r="CT445" s="101"/>
      <c r="CU445" s="101"/>
      <c r="CV445" s="101"/>
      <c r="FL445" s="103"/>
      <c r="FN445" s="103"/>
      <c r="FP445" s="103"/>
      <c r="FR445" s="103"/>
    </row>
    <row r="446" spans="2:174" x14ac:dyDescent="0.35">
      <c r="B446" s="97"/>
      <c r="G446" s="100"/>
      <c r="K446" s="98"/>
      <c r="L446" s="101"/>
      <c r="M446" s="101"/>
      <c r="N446" s="101"/>
      <c r="O446" s="101"/>
      <c r="P446" s="102"/>
      <c r="Q446" s="101"/>
      <c r="R446" s="98"/>
      <c r="S446" s="98"/>
      <c r="T446" s="98"/>
      <c r="U446" s="98"/>
      <c r="V446" s="98"/>
      <c r="W446" s="98"/>
      <c r="X446" s="98"/>
      <c r="Y446" s="98"/>
      <c r="Z446" s="103"/>
      <c r="AA446" s="103"/>
      <c r="AB446" s="103"/>
      <c r="AC446" s="103"/>
      <c r="AD446" s="103"/>
      <c r="AE446" s="103"/>
      <c r="AF446" s="103"/>
      <c r="AG446" s="101"/>
      <c r="AH446" s="101"/>
      <c r="AI446" s="101"/>
      <c r="AJ446" s="101"/>
      <c r="AK446" s="101"/>
      <c r="AL446" s="101"/>
      <c r="AM446" s="101"/>
      <c r="AN446" s="103"/>
      <c r="AO446" s="103"/>
      <c r="AP446" s="103"/>
      <c r="AQ446" s="103"/>
      <c r="AR446" s="103"/>
      <c r="AS446" s="103"/>
      <c r="AT446" s="103"/>
      <c r="AU446" s="101"/>
      <c r="AV446" s="101"/>
      <c r="AW446" s="101"/>
      <c r="AX446" s="101"/>
      <c r="AY446" s="101"/>
      <c r="AZ446" s="101"/>
      <c r="BA446" s="101"/>
      <c r="BB446" s="103"/>
      <c r="BC446" s="103"/>
      <c r="BD446" s="103"/>
      <c r="BE446" s="101"/>
      <c r="BF446" s="101"/>
      <c r="BG446" s="101"/>
      <c r="BH446" s="101"/>
      <c r="BI446" s="101"/>
      <c r="BM446" s="101"/>
      <c r="BN446" s="101"/>
      <c r="BO446" s="101"/>
      <c r="BP446" s="101"/>
      <c r="BQ446" s="101"/>
      <c r="BR446" s="101"/>
      <c r="BS446" s="101"/>
      <c r="BT446" s="104"/>
      <c r="BU446" s="104"/>
      <c r="BV446" s="104"/>
      <c r="BW446" s="104"/>
      <c r="BX446" s="104"/>
      <c r="BY446" s="104"/>
      <c r="BZ446" s="104"/>
      <c r="CA446" s="104"/>
      <c r="CB446" s="104"/>
      <c r="CC446" s="104"/>
      <c r="CD446" s="104"/>
      <c r="CE446" s="104"/>
      <c r="CF446" s="104"/>
      <c r="CG446" s="104"/>
      <c r="CH446" s="104"/>
      <c r="CI446" s="104"/>
      <c r="CJ446" s="104"/>
      <c r="CK446" s="104"/>
      <c r="CL446" s="104"/>
      <c r="CM446" s="104"/>
      <c r="CN446" s="104"/>
      <c r="CO446" s="104"/>
      <c r="CP446" s="98"/>
      <c r="CR446" s="101"/>
      <c r="CS446" s="101"/>
      <c r="CT446" s="101"/>
      <c r="CU446" s="101"/>
      <c r="CV446" s="101"/>
      <c r="FL446" s="103"/>
      <c r="FN446" s="103"/>
      <c r="FP446" s="103"/>
      <c r="FR446" s="103"/>
    </row>
    <row r="447" spans="2:174" x14ac:dyDescent="0.35">
      <c r="B447" s="97"/>
      <c r="G447" s="100"/>
      <c r="K447" s="98"/>
      <c r="L447" s="101"/>
      <c r="M447" s="101"/>
      <c r="N447" s="101"/>
      <c r="O447" s="101"/>
      <c r="P447" s="102"/>
      <c r="Q447" s="101"/>
      <c r="R447" s="98"/>
      <c r="S447" s="98"/>
      <c r="T447" s="98"/>
      <c r="U447" s="98"/>
      <c r="V447" s="98"/>
      <c r="W447" s="98"/>
      <c r="X447" s="98"/>
      <c r="Y447" s="98"/>
      <c r="Z447" s="103"/>
      <c r="AA447" s="103"/>
      <c r="AB447" s="103"/>
      <c r="AC447" s="103"/>
      <c r="AD447" s="103"/>
      <c r="AE447" s="103"/>
      <c r="AF447" s="103"/>
      <c r="AG447" s="101"/>
      <c r="AH447" s="101"/>
      <c r="AI447" s="101"/>
      <c r="AJ447" s="101"/>
      <c r="AK447" s="101"/>
      <c r="AL447" s="101"/>
      <c r="AM447" s="101"/>
      <c r="AN447" s="103"/>
      <c r="AO447" s="103"/>
      <c r="AP447" s="103"/>
      <c r="AQ447" s="103"/>
      <c r="AR447" s="103"/>
      <c r="AS447" s="103"/>
      <c r="AT447" s="103"/>
      <c r="AU447" s="101"/>
      <c r="AV447" s="101"/>
      <c r="AW447" s="101"/>
      <c r="AX447" s="101"/>
      <c r="AY447" s="101"/>
      <c r="AZ447" s="101"/>
      <c r="BA447" s="101"/>
      <c r="BB447" s="103"/>
      <c r="BC447" s="103"/>
      <c r="BD447" s="103"/>
      <c r="BE447" s="101"/>
      <c r="BF447" s="101"/>
      <c r="BG447" s="101"/>
      <c r="BH447" s="101"/>
      <c r="BI447" s="101"/>
      <c r="BM447" s="101"/>
      <c r="BN447" s="101"/>
      <c r="BO447" s="101"/>
      <c r="BP447" s="101"/>
      <c r="BQ447" s="101"/>
      <c r="BR447" s="101"/>
      <c r="BS447" s="101"/>
      <c r="BT447" s="104"/>
      <c r="BU447" s="104"/>
      <c r="BV447" s="104"/>
      <c r="BW447" s="104"/>
      <c r="BX447" s="104"/>
      <c r="BY447" s="104"/>
      <c r="BZ447" s="104"/>
      <c r="CA447" s="104"/>
      <c r="CB447" s="104"/>
      <c r="CC447" s="104"/>
      <c r="CD447" s="104"/>
      <c r="CE447" s="104"/>
      <c r="CF447" s="104"/>
      <c r="CG447" s="104"/>
      <c r="CH447" s="104"/>
      <c r="CI447" s="104"/>
      <c r="CJ447" s="104"/>
      <c r="CK447" s="104"/>
      <c r="CL447" s="104"/>
      <c r="CM447" s="104"/>
      <c r="CN447" s="104"/>
      <c r="CO447" s="104"/>
      <c r="CP447" s="98"/>
      <c r="CR447" s="101"/>
      <c r="CS447" s="101"/>
      <c r="CT447" s="101"/>
      <c r="CU447" s="101"/>
      <c r="CV447" s="101"/>
      <c r="FL447" s="103"/>
      <c r="FN447" s="103"/>
      <c r="FP447" s="103"/>
      <c r="FR447" s="103"/>
    </row>
    <row r="448" spans="2:174" x14ac:dyDescent="0.35">
      <c r="B448" s="97"/>
      <c r="G448" s="100"/>
      <c r="K448" s="98"/>
      <c r="L448" s="101"/>
      <c r="M448" s="101"/>
      <c r="N448" s="101"/>
      <c r="O448" s="101"/>
      <c r="P448" s="102"/>
      <c r="Q448" s="101"/>
      <c r="R448" s="98"/>
      <c r="S448" s="98"/>
      <c r="T448" s="98"/>
      <c r="U448" s="98"/>
      <c r="V448" s="98"/>
      <c r="W448" s="98"/>
      <c r="X448" s="98"/>
      <c r="Y448" s="98"/>
      <c r="Z448" s="103"/>
      <c r="AA448" s="103"/>
      <c r="AB448" s="103"/>
      <c r="AC448" s="103"/>
      <c r="AD448" s="103"/>
      <c r="AE448" s="103"/>
      <c r="AF448" s="103"/>
      <c r="AG448" s="101"/>
      <c r="AH448" s="101"/>
      <c r="AI448" s="101"/>
      <c r="AJ448" s="101"/>
      <c r="AK448" s="101"/>
      <c r="AL448" s="101"/>
      <c r="AM448" s="101"/>
      <c r="AN448" s="103"/>
      <c r="AO448" s="103"/>
      <c r="AP448" s="103"/>
      <c r="AQ448" s="103"/>
      <c r="AR448" s="103"/>
      <c r="AS448" s="103"/>
      <c r="AT448" s="103"/>
      <c r="AU448" s="101"/>
      <c r="AV448" s="101"/>
      <c r="AW448" s="101"/>
      <c r="AX448" s="101"/>
      <c r="AY448" s="101"/>
      <c r="AZ448" s="101"/>
      <c r="BA448" s="101"/>
      <c r="BB448" s="103"/>
      <c r="BC448" s="103"/>
      <c r="BD448" s="103"/>
      <c r="BE448" s="101"/>
      <c r="BF448" s="101"/>
      <c r="BG448" s="101"/>
      <c r="BH448" s="101"/>
      <c r="BI448" s="101"/>
      <c r="BM448" s="101"/>
      <c r="BN448" s="101"/>
      <c r="BO448" s="101"/>
      <c r="BP448" s="101"/>
      <c r="BQ448" s="101"/>
      <c r="BR448" s="101"/>
      <c r="BS448" s="101"/>
      <c r="BT448" s="104"/>
      <c r="BU448" s="104"/>
      <c r="BV448" s="104"/>
      <c r="BW448" s="104"/>
      <c r="BX448" s="104"/>
      <c r="BY448" s="104"/>
      <c r="BZ448" s="104"/>
      <c r="CA448" s="104"/>
      <c r="CB448" s="104"/>
      <c r="CC448" s="104"/>
      <c r="CD448" s="104"/>
      <c r="CE448" s="104"/>
      <c r="CF448" s="104"/>
      <c r="CG448" s="104"/>
      <c r="CH448" s="104"/>
      <c r="CI448" s="104"/>
      <c r="CJ448" s="104"/>
      <c r="CK448" s="104"/>
      <c r="CL448" s="104"/>
      <c r="CM448" s="104"/>
      <c r="CN448" s="104"/>
      <c r="CO448" s="104"/>
      <c r="CP448" s="98"/>
      <c r="CR448" s="101"/>
      <c r="CS448" s="101"/>
      <c r="CT448" s="101"/>
      <c r="CU448" s="101"/>
      <c r="CV448" s="101"/>
      <c r="FL448" s="103"/>
      <c r="FN448" s="103"/>
      <c r="FP448" s="103"/>
      <c r="FR448" s="103"/>
    </row>
    <row r="449" spans="2:174" x14ac:dyDescent="0.35">
      <c r="B449" s="97"/>
      <c r="G449" s="100"/>
      <c r="K449" s="98"/>
      <c r="L449" s="101"/>
      <c r="M449" s="101"/>
      <c r="N449" s="101"/>
      <c r="O449" s="101"/>
      <c r="P449" s="102"/>
      <c r="Q449" s="101"/>
      <c r="R449" s="98"/>
      <c r="S449" s="98"/>
      <c r="T449" s="98"/>
      <c r="U449" s="98"/>
      <c r="V449" s="98"/>
      <c r="W449" s="98"/>
      <c r="X449" s="98"/>
      <c r="Y449" s="98"/>
      <c r="Z449" s="103"/>
      <c r="AA449" s="103"/>
      <c r="AB449" s="103"/>
      <c r="AC449" s="103"/>
      <c r="AD449" s="103"/>
      <c r="AE449" s="103"/>
      <c r="AF449" s="103"/>
      <c r="AG449" s="101"/>
      <c r="AH449" s="101"/>
      <c r="AI449" s="101"/>
      <c r="AJ449" s="101"/>
      <c r="AK449" s="101"/>
      <c r="AL449" s="101"/>
      <c r="AM449" s="101"/>
      <c r="AN449" s="103"/>
      <c r="AO449" s="103"/>
      <c r="AP449" s="103"/>
      <c r="AQ449" s="103"/>
      <c r="AR449" s="103"/>
      <c r="AS449" s="103"/>
      <c r="AT449" s="103"/>
      <c r="AU449" s="101"/>
      <c r="AV449" s="101"/>
      <c r="AW449" s="101"/>
      <c r="AX449" s="101"/>
      <c r="AY449" s="101"/>
      <c r="AZ449" s="101"/>
      <c r="BA449" s="101"/>
      <c r="BB449" s="103"/>
      <c r="BC449" s="103"/>
      <c r="BD449" s="103"/>
      <c r="BE449" s="101"/>
      <c r="BF449" s="101"/>
      <c r="BG449" s="101"/>
      <c r="BH449" s="101"/>
      <c r="BI449" s="101"/>
      <c r="BM449" s="101"/>
      <c r="BN449" s="101"/>
      <c r="BO449" s="101"/>
      <c r="BP449" s="101"/>
      <c r="BQ449" s="101"/>
      <c r="BR449" s="101"/>
      <c r="BS449" s="101"/>
      <c r="BT449" s="104"/>
      <c r="BU449" s="104"/>
      <c r="BV449" s="104"/>
      <c r="BW449" s="104"/>
      <c r="BX449" s="104"/>
      <c r="BY449" s="104"/>
      <c r="BZ449" s="104"/>
      <c r="CA449" s="104"/>
      <c r="CB449" s="104"/>
      <c r="CC449" s="104"/>
      <c r="CD449" s="104"/>
      <c r="CE449" s="104"/>
      <c r="CF449" s="104"/>
      <c r="CG449" s="104"/>
      <c r="CH449" s="104"/>
      <c r="CI449" s="104"/>
      <c r="CJ449" s="104"/>
      <c r="CK449" s="104"/>
      <c r="CL449" s="104"/>
      <c r="CM449" s="104"/>
      <c r="CN449" s="104"/>
      <c r="CO449" s="104"/>
      <c r="CP449" s="98"/>
      <c r="CR449" s="101"/>
      <c r="CS449" s="101"/>
      <c r="CT449" s="101"/>
      <c r="CU449" s="101"/>
      <c r="CV449" s="101"/>
      <c r="FL449" s="103"/>
      <c r="FN449" s="103"/>
      <c r="FP449" s="103"/>
      <c r="FR449" s="103"/>
    </row>
    <row r="450" spans="2:174" x14ac:dyDescent="0.35">
      <c r="B450" s="97"/>
      <c r="G450" s="100"/>
      <c r="K450" s="98"/>
      <c r="L450" s="101"/>
      <c r="M450" s="101"/>
      <c r="N450" s="101"/>
      <c r="O450" s="101"/>
      <c r="P450" s="102"/>
      <c r="Q450" s="101"/>
      <c r="R450" s="98"/>
      <c r="S450" s="98"/>
      <c r="T450" s="98"/>
      <c r="U450" s="98"/>
      <c r="V450" s="98"/>
      <c r="W450" s="98"/>
      <c r="X450" s="98"/>
      <c r="Y450" s="98"/>
      <c r="Z450" s="103"/>
      <c r="AA450" s="103"/>
      <c r="AB450" s="103"/>
      <c r="AC450" s="103"/>
      <c r="AD450" s="103"/>
      <c r="AE450" s="103"/>
      <c r="AF450" s="103"/>
      <c r="AG450" s="101"/>
      <c r="AH450" s="101"/>
      <c r="AI450" s="101"/>
      <c r="AJ450" s="101"/>
      <c r="AK450" s="101"/>
      <c r="AL450" s="101"/>
      <c r="AM450" s="101"/>
      <c r="AN450" s="103"/>
      <c r="AO450" s="103"/>
      <c r="AP450" s="103"/>
      <c r="AQ450" s="103"/>
      <c r="AR450" s="103"/>
      <c r="AS450" s="103"/>
      <c r="AT450" s="103"/>
      <c r="AU450" s="101"/>
      <c r="AV450" s="101"/>
      <c r="AW450" s="101"/>
      <c r="AX450" s="101"/>
      <c r="AY450" s="101"/>
      <c r="AZ450" s="101"/>
      <c r="BA450" s="101"/>
      <c r="BB450" s="103"/>
      <c r="BC450" s="103"/>
      <c r="BD450" s="103"/>
      <c r="BE450" s="101"/>
      <c r="BF450" s="101"/>
      <c r="BG450" s="101"/>
      <c r="BH450" s="101"/>
      <c r="BI450" s="101"/>
      <c r="BM450" s="101"/>
      <c r="BN450" s="101"/>
      <c r="BO450" s="101"/>
      <c r="BP450" s="101"/>
      <c r="BQ450" s="101"/>
      <c r="BR450" s="101"/>
      <c r="BS450" s="101"/>
      <c r="BT450" s="104"/>
      <c r="BU450" s="104"/>
      <c r="BV450" s="104"/>
      <c r="BW450" s="104"/>
      <c r="BX450" s="104"/>
      <c r="BY450" s="104"/>
      <c r="BZ450" s="104"/>
      <c r="CA450" s="104"/>
      <c r="CB450" s="104"/>
      <c r="CC450" s="104"/>
      <c r="CD450" s="104"/>
      <c r="CE450" s="104"/>
      <c r="CF450" s="104"/>
      <c r="CG450" s="104"/>
      <c r="CH450" s="104"/>
      <c r="CI450" s="104"/>
      <c r="CJ450" s="104"/>
      <c r="CK450" s="104"/>
      <c r="CL450" s="104"/>
      <c r="CM450" s="104"/>
      <c r="CN450" s="104"/>
      <c r="CO450" s="104"/>
      <c r="CP450" s="98"/>
      <c r="CR450" s="101"/>
      <c r="CS450" s="101"/>
      <c r="CT450" s="101"/>
      <c r="CU450" s="101"/>
      <c r="CV450" s="101"/>
      <c r="FL450" s="103"/>
      <c r="FN450" s="103"/>
      <c r="FP450" s="103"/>
      <c r="FR450" s="103"/>
    </row>
    <row r="451" spans="2:174" x14ac:dyDescent="0.35">
      <c r="B451" s="97"/>
      <c r="G451" s="100"/>
      <c r="K451" s="98"/>
      <c r="L451" s="101"/>
      <c r="M451" s="101"/>
      <c r="N451" s="101"/>
      <c r="O451" s="101"/>
      <c r="P451" s="102"/>
      <c r="Q451" s="101"/>
      <c r="R451" s="98"/>
      <c r="S451" s="98"/>
      <c r="T451" s="98"/>
      <c r="U451" s="98"/>
      <c r="V451" s="98"/>
      <c r="W451" s="98"/>
      <c r="X451" s="98"/>
      <c r="Y451" s="98"/>
      <c r="Z451" s="103"/>
      <c r="AA451" s="103"/>
      <c r="AB451" s="103"/>
      <c r="AC451" s="103"/>
      <c r="AD451" s="103"/>
      <c r="AE451" s="103"/>
      <c r="AF451" s="103"/>
      <c r="AG451" s="101"/>
      <c r="AH451" s="101"/>
      <c r="AI451" s="101"/>
      <c r="AJ451" s="101"/>
      <c r="AK451" s="101"/>
      <c r="AL451" s="101"/>
      <c r="AM451" s="101"/>
      <c r="AN451" s="103"/>
      <c r="AO451" s="103"/>
      <c r="AP451" s="103"/>
      <c r="AQ451" s="103"/>
      <c r="AR451" s="103"/>
      <c r="AS451" s="103"/>
      <c r="AT451" s="103"/>
      <c r="AU451" s="101"/>
      <c r="AV451" s="101"/>
      <c r="AW451" s="101"/>
      <c r="AX451" s="101"/>
      <c r="AY451" s="101"/>
      <c r="AZ451" s="101"/>
      <c r="BA451" s="101"/>
      <c r="BB451" s="103"/>
      <c r="BC451" s="103"/>
      <c r="BD451" s="103"/>
      <c r="BE451" s="101"/>
      <c r="BF451" s="101"/>
      <c r="BG451" s="101"/>
      <c r="BH451" s="101"/>
      <c r="BI451" s="101"/>
      <c r="BM451" s="101"/>
      <c r="BN451" s="101"/>
      <c r="BO451" s="101"/>
      <c r="BP451" s="101"/>
      <c r="BQ451" s="101"/>
      <c r="BR451" s="101"/>
      <c r="BS451" s="101"/>
      <c r="BT451" s="104"/>
      <c r="BU451" s="104"/>
      <c r="BV451" s="104"/>
      <c r="BW451" s="104"/>
      <c r="BX451" s="104"/>
      <c r="BY451" s="104"/>
      <c r="BZ451" s="104"/>
      <c r="CA451" s="104"/>
      <c r="CB451" s="104"/>
      <c r="CC451" s="104"/>
      <c r="CD451" s="104"/>
      <c r="CE451" s="104"/>
      <c r="CF451" s="104"/>
      <c r="CG451" s="104"/>
      <c r="CH451" s="104"/>
      <c r="CI451" s="104"/>
      <c r="CJ451" s="104"/>
      <c r="CK451" s="104"/>
      <c r="CL451" s="104"/>
      <c r="CM451" s="104"/>
      <c r="CN451" s="104"/>
      <c r="CO451" s="104"/>
      <c r="CP451" s="98"/>
      <c r="CR451" s="101"/>
      <c r="CS451" s="101"/>
      <c r="CT451" s="101"/>
      <c r="CU451" s="101"/>
      <c r="CV451" s="101"/>
      <c r="FL451" s="103"/>
      <c r="FN451" s="103"/>
      <c r="FP451" s="103"/>
      <c r="FR451" s="103"/>
    </row>
    <row r="452" spans="2:174" x14ac:dyDescent="0.35">
      <c r="B452" s="97"/>
      <c r="G452" s="100"/>
      <c r="K452" s="98"/>
      <c r="L452" s="101"/>
      <c r="M452" s="101"/>
      <c r="N452" s="101"/>
      <c r="O452" s="101"/>
      <c r="P452" s="102"/>
      <c r="Q452" s="101"/>
      <c r="R452" s="98"/>
      <c r="S452" s="98"/>
      <c r="T452" s="98"/>
      <c r="U452" s="98"/>
      <c r="V452" s="98"/>
      <c r="W452" s="98"/>
      <c r="X452" s="98"/>
      <c r="Y452" s="98"/>
      <c r="Z452" s="103"/>
      <c r="AA452" s="103"/>
      <c r="AB452" s="103"/>
      <c r="AC452" s="103"/>
      <c r="AD452" s="103"/>
      <c r="AE452" s="103"/>
      <c r="AF452" s="103"/>
      <c r="AG452" s="101"/>
      <c r="AH452" s="101"/>
      <c r="AI452" s="101"/>
      <c r="AJ452" s="101"/>
      <c r="AK452" s="101"/>
      <c r="AL452" s="101"/>
      <c r="AM452" s="101"/>
      <c r="AN452" s="103"/>
      <c r="AO452" s="103"/>
      <c r="AP452" s="103"/>
      <c r="AQ452" s="103"/>
      <c r="AR452" s="103"/>
      <c r="AS452" s="103"/>
      <c r="AT452" s="103"/>
      <c r="AU452" s="101"/>
      <c r="AV452" s="101"/>
      <c r="AW452" s="101"/>
      <c r="AX452" s="101"/>
      <c r="AY452" s="101"/>
      <c r="AZ452" s="101"/>
      <c r="BA452" s="101"/>
      <c r="BB452" s="103"/>
      <c r="BC452" s="103"/>
      <c r="BD452" s="103"/>
      <c r="BE452" s="101"/>
      <c r="BF452" s="101"/>
      <c r="BG452" s="101"/>
      <c r="BH452" s="101"/>
      <c r="BI452" s="101"/>
      <c r="BM452" s="101"/>
      <c r="BN452" s="101"/>
      <c r="BO452" s="101"/>
      <c r="BP452" s="101"/>
      <c r="BQ452" s="101"/>
      <c r="BR452" s="101"/>
      <c r="BS452" s="101"/>
      <c r="BT452" s="104"/>
      <c r="BU452" s="104"/>
      <c r="BV452" s="104"/>
      <c r="BW452" s="104"/>
      <c r="BX452" s="104"/>
      <c r="BY452" s="104"/>
      <c r="BZ452" s="104"/>
      <c r="CA452" s="104"/>
      <c r="CB452" s="104"/>
      <c r="CC452" s="104"/>
      <c r="CD452" s="104"/>
      <c r="CE452" s="104"/>
      <c r="CF452" s="104"/>
      <c r="CG452" s="104"/>
      <c r="CH452" s="104"/>
      <c r="CI452" s="104"/>
      <c r="CJ452" s="104"/>
      <c r="CK452" s="104"/>
      <c r="CL452" s="104"/>
      <c r="CM452" s="104"/>
      <c r="CN452" s="104"/>
      <c r="CO452" s="104"/>
      <c r="CP452" s="98"/>
      <c r="CR452" s="101"/>
      <c r="CS452" s="101"/>
      <c r="CT452" s="101"/>
      <c r="CU452" s="101"/>
      <c r="CV452" s="101"/>
      <c r="FL452" s="103"/>
      <c r="FN452" s="103"/>
      <c r="FP452" s="103"/>
      <c r="FR452" s="103"/>
    </row>
    <row r="453" spans="2:174" x14ac:dyDescent="0.35">
      <c r="B453" s="97"/>
      <c r="G453" s="100"/>
      <c r="K453" s="98"/>
      <c r="L453" s="101"/>
      <c r="M453" s="101"/>
      <c r="N453" s="101"/>
      <c r="O453" s="101"/>
      <c r="P453" s="102"/>
      <c r="Q453" s="101"/>
      <c r="R453" s="98"/>
      <c r="S453" s="98"/>
      <c r="T453" s="98"/>
      <c r="U453" s="98"/>
      <c r="V453" s="98"/>
      <c r="W453" s="98"/>
      <c r="X453" s="98"/>
      <c r="Y453" s="98"/>
      <c r="Z453" s="103"/>
      <c r="AA453" s="103"/>
      <c r="AB453" s="103"/>
      <c r="AC453" s="103"/>
      <c r="AD453" s="103"/>
      <c r="AE453" s="103"/>
      <c r="AF453" s="103"/>
      <c r="AG453" s="101"/>
      <c r="AH453" s="101"/>
      <c r="AI453" s="101"/>
      <c r="AJ453" s="101"/>
      <c r="AK453" s="101"/>
      <c r="AL453" s="101"/>
      <c r="AM453" s="101"/>
      <c r="AN453" s="103"/>
      <c r="AO453" s="103"/>
      <c r="AP453" s="103"/>
      <c r="AQ453" s="103"/>
      <c r="AR453" s="103"/>
      <c r="AS453" s="103"/>
      <c r="AT453" s="103"/>
      <c r="AU453" s="101"/>
      <c r="AV453" s="101"/>
      <c r="AW453" s="101"/>
      <c r="AX453" s="101"/>
      <c r="AY453" s="101"/>
      <c r="AZ453" s="101"/>
      <c r="BA453" s="101"/>
      <c r="BB453" s="103"/>
      <c r="BC453" s="103"/>
      <c r="BD453" s="103"/>
      <c r="BE453" s="101"/>
      <c r="BF453" s="101"/>
      <c r="BG453" s="101"/>
      <c r="BH453" s="101"/>
      <c r="BI453" s="101"/>
      <c r="BM453" s="101"/>
      <c r="BN453" s="101"/>
      <c r="BO453" s="101"/>
      <c r="BP453" s="101"/>
      <c r="BQ453" s="101"/>
      <c r="BR453" s="101"/>
      <c r="BS453" s="101"/>
      <c r="BT453" s="104"/>
      <c r="BU453" s="104"/>
      <c r="BV453" s="104"/>
      <c r="BW453" s="104"/>
      <c r="BX453" s="104"/>
      <c r="BY453" s="104"/>
      <c r="BZ453" s="104"/>
      <c r="CA453" s="104"/>
      <c r="CB453" s="104"/>
      <c r="CC453" s="104"/>
      <c r="CD453" s="104"/>
      <c r="CE453" s="104"/>
      <c r="CF453" s="104"/>
      <c r="CG453" s="104"/>
      <c r="CH453" s="104"/>
      <c r="CI453" s="104"/>
      <c r="CJ453" s="104"/>
      <c r="CK453" s="104"/>
      <c r="CL453" s="104"/>
      <c r="CM453" s="104"/>
      <c r="CN453" s="104"/>
      <c r="CO453" s="104"/>
      <c r="CP453" s="98"/>
      <c r="CR453" s="101"/>
      <c r="CS453" s="101"/>
      <c r="CT453" s="101"/>
      <c r="CU453" s="101"/>
      <c r="CV453" s="101"/>
      <c r="FL453" s="103"/>
      <c r="FN453" s="103"/>
      <c r="FP453" s="103"/>
      <c r="FR453" s="103"/>
    </row>
    <row r="454" spans="2:174" x14ac:dyDescent="0.35">
      <c r="B454" s="97"/>
      <c r="G454" s="100"/>
      <c r="K454" s="98"/>
      <c r="L454" s="101"/>
      <c r="M454" s="101"/>
      <c r="N454" s="101"/>
      <c r="O454" s="101"/>
      <c r="P454" s="102"/>
      <c r="Q454" s="101"/>
      <c r="R454" s="98"/>
      <c r="S454" s="98"/>
      <c r="T454" s="98"/>
      <c r="U454" s="98"/>
      <c r="V454" s="98"/>
      <c r="W454" s="98"/>
      <c r="X454" s="98"/>
      <c r="Y454" s="98"/>
      <c r="Z454" s="103"/>
      <c r="AA454" s="103"/>
      <c r="AB454" s="103"/>
      <c r="AC454" s="103"/>
      <c r="AD454" s="103"/>
      <c r="AE454" s="103"/>
      <c r="AF454" s="103"/>
      <c r="AG454" s="101"/>
      <c r="AH454" s="101"/>
      <c r="AI454" s="101"/>
      <c r="AJ454" s="101"/>
      <c r="AK454" s="101"/>
      <c r="AL454" s="101"/>
      <c r="AM454" s="101"/>
      <c r="AN454" s="103"/>
      <c r="AO454" s="103"/>
      <c r="AP454" s="103"/>
      <c r="AQ454" s="103"/>
      <c r="AR454" s="103"/>
      <c r="AS454" s="103"/>
      <c r="AT454" s="103"/>
      <c r="AU454" s="101"/>
      <c r="AV454" s="101"/>
      <c r="AW454" s="101"/>
      <c r="AX454" s="101"/>
      <c r="AY454" s="101"/>
      <c r="AZ454" s="101"/>
      <c r="BA454" s="101"/>
      <c r="BB454" s="103"/>
      <c r="BC454" s="103"/>
      <c r="BD454" s="103"/>
      <c r="BE454" s="101"/>
      <c r="BF454" s="101"/>
      <c r="BG454" s="101"/>
      <c r="BH454" s="101"/>
      <c r="BI454" s="101"/>
      <c r="BM454" s="101"/>
      <c r="BN454" s="101"/>
      <c r="BO454" s="101"/>
      <c r="BP454" s="101"/>
      <c r="BQ454" s="101"/>
      <c r="BR454" s="101"/>
      <c r="BS454" s="101"/>
      <c r="BT454" s="104"/>
      <c r="BU454" s="104"/>
      <c r="BV454" s="104"/>
      <c r="BW454" s="104"/>
      <c r="BX454" s="104"/>
      <c r="BY454" s="104"/>
      <c r="BZ454" s="104"/>
      <c r="CA454" s="104"/>
      <c r="CB454" s="104"/>
      <c r="CC454" s="104"/>
      <c r="CD454" s="104"/>
      <c r="CE454" s="104"/>
      <c r="CF454" s="104"/>
      <c r="CG454" s="104"/>
      <c r="CH454" s="104"/>
      <c r="CI454" s="104"/>
      <c r="CJ454" s="104"/>
      <c r="CK454" s="104"/>
      <c r="CL454" s="104"/>
      <c r="CM454" s="104"/>
      <c r="CN454" s="104"/>
      <c r="CO454" s="104"/>
      <c r="CP454" s="98"/>
      <c r="CR454" s="101"/>
      <c r="CS454" s="101"/>
      <c r="CT454" s="101"/>
      <c r="CU454" s="101"/>
      <c r="CV454" s="101"/>
      <c r="FL454" s="103"/>
      <c r="FN454" s="103"/>
      <c r="FP454" s="103"/>
      <c r="FR454" s="103"/>
    </row>
    <row r="455" spans="2:174" x14ac:dyDescent="0.35">
      <c r="B455" s="97"/>
      <c r="G455" s="100"/>
      <c r="K455" s="98"/>
      <c r="L455" s="101"/>
      <c r="M455" s="101"/>
      <c r="N455" s="101"/>
      <c r="O455" s="101"/>
      <c r="P455" s="102"/>
      <c r="Q455" s="101"/>
      <c r="R455" s="98"/>
      <c r="S455" s="98"/>
      <c r="T455" s="98"/>
      <c r="U455" s="98"/>
      <c r="V455" s="98"/>
      <c r="W455" s="98"/>
      <c r="X455" s="98"/>
      <c r="Y455" s="98"/>
      <c r="Z455" s="103"/>
      <c r="AA455" s="103"/>
      <c r="AB455" s="103"/>
      <c r="AC455" s="103"/>
      <c r="AD455" s="103"/>
      <c r="AE455" s="103"/>
      <c r="AF455" s="103"/>
      <c r="AG455" s="101"/>
      <c r="AH455" s="101"/>
      <c r="AI455" s="101"/>
      <c r="AJ455" s="101"/>
      <c r="AK455" s="101"/>
      <c r="AL455" s="101"/>
      <c r="AM455" s="101"/>
      <c r="AN455" s="103"/>
      <c r="AO455" s="103"/>
      <c r="AP455" s="103"/>
      <c r="AQ455" s="103"/>
      <c r="AR455" s="103"/>
      <c r="AS455" s="103"/>
      <c r="AT455" s="103"/>
      <c r="AU455" s="101"/>
      <c r="AV455" s="101"/>
      <c r="AW455" s="101"/>
      <c r="AX455" s="101"/>
      <c r="AY455" s="101"/>
      <c r="AZ455" s="101"/>
      <c r="BA455" s="101"/>
      <c r="BB455" s="103"/>
      <c r="BC455" s="103"/>
      <c r="BD455" s="103"/>
      <c r="BE455" s="101"/>
      <c r="BF455" s="101"/>
      <c r="BG455" s="101"/>
      <c r="BH455" s="101"/>
      <c r="BI455" s="101"/>
      <c r="BM455" s="101"/>
      <c r="BN455" s="101"/>
      <c r="BO455" s="101"/>
      <c r="BP455" s="101"/>
      <c r="BQ455" s="101"/>
      <c r="BR455" s="101"/>
      <c r="BS455" s="101"/>
      <c r="BT455" s="104"/>
      <c r="BU455" s="104"/>
      <c r="BV455" s="104"/>
      <c r="BW455" s="104"/>
      <c r="BX455" s="104"/>
      <c r="BY455" s="104"/>
      <c r="BZ455" s="104"/>
      <c r="CA455" s="104"/>
      <c r="CB455" s="104"/>
      <c r="CC455" s="104"/>
      <c r="CD455" s="104"/>
      <c r="CE455" s="104"/>
      <c r="CF455" s="104"/>
      <c r="CG455" s="104"/>
      <c r="CH455" s="104"/>
      <c r="CI455" s="104"/>
      <c r="CJ455" s="104"/>
      <c r="CK455" s="104"/>
      <c r="CL455" s="104"/>
      <c r="CM455" s="104"/>
      <c r="CN455" s="104"/>
      <c r="CO455" s="104"/>
      <c r="CP455" s="98"/>
      <c r="CR455" s="101"/>
      <c r="CS455" s="101"/>
      <c r="CT455" s="101"/>
      <c r="CU455" s="101"/>
      <c r="CV455" s="101"/>
      <c r="FL455" s="103"/>
      <c r="FN455" s="103"/>
      <c r="FP455" s="103"/>
      <c r="FR455" s="103"/>
    </row>
    <row r="456" spans="2:174" x14ac:dyDescent="0.35">
      <c r="B456" s="97"/>
      <c r="G456" s="100"/>
      <c r="K456" s="98"/>
      <c r="L456" s="101"/>
      <c r="M456" s="101"/>
      <c r="N456" s="101"/>
      <c r="O456" s="101"/>
      <c r="P456" s="102"/>
      <c r="Q456" s="101"/>
      <c r="R456" s="98"/>
      <c r="S456" s="98"/>
      <c r="T456" s="98"/>
      <c r="U456" s="98"/>
      <c r="V456" s="98"/>
      <c r="W456" s="98"/>
      <c r="X456" s="98"/>
      <c r="Y456" s="98"/>
      <c r="Z456" s="103"/>
      <c r="AA456" s="103"/>
      <c r="AB456" s="103"/>
      <c r="AC456" s="103"/>
      <c r="AD456" s="103"/>
      <c r="AE456" s="103"/>
      <c r="AF456" s="103"/>
      <c r="AG456" s="101"/>
      <c r="AH456" s="101"/>
      <c r="AI456" s="101"/>
      <c r="AJ456" s="101"/>
      <c r="AK456" s="101"/>
      <c r="AL456" s="101"/>
      <c r="AM456" s="101"/>
      <c r="AN456" s="103"/>
      <c r="AO456" s="103"/>
      <c r="AP456" s="103"/>
      <c r="AQ456" s="103"/>
      <c r="AR456" s="103"/>
      <c r="AS456" s="103"/>
      <c r="AT456" s="103"/>
      <c r="AU456" s="101"/>
      <c r="AV456" s="101"/>
      <c r="AW456" s="101"/>
      <c r="AX456" s="101"/>
      <c r="AY456" s="101"/>
      <c r="AZ456" s="101"/>
      <c r="BA456" s="101"/>
      <c r="BB456" s="103"/>
      <c r="BC456" s="103"/>
      <c r="BD456" s="103"/>
      <c r="BE456" s="101"/>
      <c r="BF456" s="101"/>
      <c r="BG456" s="101"/>
      <c r="BH456" s="101"/>
      <c r="BI456" s="101"/>
      <c r="BM456" s="101"/>
      <c r="BN456" s="101"/>
      <c r="BO456" s="101"/>
      <c r="BP456" s="101"/>
      <c r="BQ456" s="101"/>
      <c r="BR456" s="101"/>
      <c r="BS456" s="101"/>
      <c r="BT456" s="104"/>
      <c r="BU456" s="104"/>
      <c r="BV456" s="104"/>
      <c r="BW456" s="104"/>
      <c r="BX456" s="104"/>
      <c r="BY456" s="104"/>
      <c r="BZ456" s="104"/>
      <c r="CA456" s="104"/>
      <c r="CB456" s="104"/>
      <c r="CC456" s="104"/>
      <c r="CD456" s="104"/>
      <c r="CE456" s="104"/>
      <c r="CF456" s="104"/>
      <c r="CG456" s="104"/>
      <c r="CH456" s="104"/>
      <c r="CI456" s="104"/>
      <c r="CJ456" s="104"/>
      <c r="CK456" s="104"/>
      <c r="CL456" s="104"/>
      <c r="CM456" s="104"/>
      <c r="CN456" s="104"/>
      <c r="CO456" s="104"/>
      <c r="CP456" s="98"/>
      <c r="CR456" s="101"/>
      <c r="CS456" s="101"/>
      <c r="CT456" s="101"/>
      <c r="CU456" s="101"/>
      <c r="CV456" s="101"/>
      <c r="FL456" s="103"/>
      <c r="FN456" s="103"/>
      <c r="FP456" s="103"/>
      <c r="FR456" s="103"/>
    </row>
    <row r="457" spans="2:174" x14ac:dyDescent="0.35">
      <c r="B457" s="97"/>
      <c r="G457" s="100"/>
      <c r="K457" s="98"/>
      <c r="L457" s="101"/>
      <c r="M457" s="101"/>
      <c r="N457" s="101"/>
      <c r="O457" s="101"/>
      <c r="P457" s="102"/>
      <c r="Q457" s="101"/>
      <c r="R457" s="98"/>
      <c r="S457" s="98"/>
      <c r="T457" s="98"/>
      <c r="U457" s="98"/>
      <c r="V457" s="98"/>
      <c r="W457" s="98"/>
      <c r="X457" s="98"/>
      <c r="Y457" s="98"/>
      <c r="Z457" s="103"/>
      <c r="AA457" s="103"/>
      <c r="AB457" s="103"/>
      <c r="AC457" s="103"/>
      <c r="AD457" s="103"/>
      <c r="AE457" s="103"/>
      <c r="AF457" s="103"/>
      <c r="AG457" s="101"/>
      <c r="AH457" s="101"/>
      <c r="AI457" s="101"/>
      <c r="AJ457" s="101"/>
      <c r="AK457" s="101"/>
      <c r="AL457" s="101"/>
      <c r="AM457" s="101"/>
      <c r="AN457" s="103"/>
      <c r="AO457" s="103"/>
      <c r="AP457" s="103"/>
      <c r="AQ457" s="103"/>
      <c r="AR457" s="103"/>
      <c r="AS457" s="103"/>
      <c r="AT457" s="103"/>
      <c r="AU457" s="101"/>
      <c r="AV457" s="101"/>
      <c r="AW457" s="101"/>
      <c r="AX457" s="101"/>
      <c r="AY457" s="101"/>
      <c r="AZ457" s="101"/>
      <c r="BA457" s="101"/>
      <c r="BB457" s="103"/>
      <c r="BC457" s="103"/>
      <c r="BD457" s="103"/>
      <c r="BE457" s="101"/>
      <c r="BF457" s="101"/>
      <c r="BG457" s="101"/>
      <c r="BH457" s="101"/>
      <c r="BI457" s="101"/>
      <c r="BM457" s="101"/>
      <c r="BN457" s="101"/>
      <c r="BO457" s="101"/>
      <c r="BP457" s="101"/>
      <c r="BQ457" s="101"/>
      <c r="BR457" s="101"/>
      <c r="BS457" s="101"/>
      <c r="BT457" s="104"/>
      <c r="BU457" s="104"/>
      <c r="BV457" s="104"/>
      <c r="BW457" s="104"/>
      <c r="BX457" s="104"/>
      <c r="BY457" s="104"/>
      <c r="BZ457" s="104"/>
      <c r="CA457" s="104"/>
      <c r="CB457" s="104"/>
      <c r="CC457" s="104"/>
      <c r="CD457" s="104"/>
      <c r="CE457" s="104"/>
      <c r="CF457" s="104"/>
      <c r="CG457" s="104"/>
      <c r="CH457" s="104"/>
      <c r="CI457" s="104"/>
      <c r="CJ457" s="104"/>
      <c r="CK457" s="104"/>
      <c r="CL457" s="104"/>
      <c r="CM457" s="104"/>
      <c r="CN457" s="104"/>
      <c r="CO457" s="104"/>
      <c r="CP457" s="98"/>
      <c r="CR457" s="101"/>
      <c r="CS457" s="101"/>
      <c r="CT457" s="101"/>
      <c r="CU457" s="101"/>
      <c r="CV457" s="101"/>
      <c r="FL457" s="103"/>
      <c r="FN457" s="103"/>
      <c r="FP457" s="103"/>
      <c r="FR457" s="103"/>
    </row>
    <row r="458" spans="2:174" x14ac:dyDescent="0.35">
      <c r="B458" s="97"/>
      <c r="G458" s="100"/>
      <c r="K458" s="98"/>
      <c r="L458" s="101"/>
      <c r="M458" s="101"/>
      <c r="N458" s="101"/>
      <c r="O458" s="101"/>
      <c r="P458" s="102"/>
      <c r="Q458" s="101"/>
      <c r="R458" s="98"/>
      <c r="S458" s="98"/>
      <c r="T458" s="98"/>
      <c r="U458" s="98"/>
      <c r="V458" s="98"/>
      <c r="W458" s="98"/>
      <c r="X458" s="98"/>
      <c r="Y458" s="98"/>
      <c r="Z458" s="103"/>
      <c r="AA458" s="103"/>
      <c r="AB458" s="103"/>
      <c r="AC458" s="103"/>
      <c r="AD458" s="103"/>
      <c r="AE458" s="103"/>
      <c r="AF458" s="103"/>
      <c r="AG458" s="101"/>
      <c r="AH458" s="101"/>
      <c r="AI458" s="101"/>
      <c r="AJ458" s="101"/>
      <c r="AK458" s="101"/>
      <c r="AL458" s="101"/>
      <c r="AM458" s="101"/>
      <c r="AN458" s="103"/>
      <c r="AO458" s="103"/>
      <c r="AP458" s="103"/>
      <c r="AQ458" s="103"/>
      <c r="AR458" s="103"/>
      <c r="AS458" s="103"/>
      <c r="AT458" s="103"/>
      <c r="AU458" s="101"/>
      <c r="AV458" s="101"/>
      <c r="AW458" s="101"/>
      <c r="AX458" s="101"/>
      <c r="AY458" s="101"/>
      <c r="AZ458" s="101"/>
      <c r="BA458" s="101"/>
      <c r="BB458" s="103"/>
      <c r="BC458" s="103"/>
      <c r="BD458" s="103"/>
      <c r="BE458" s="101"/>
      <c r="BF458" s="101"/>
      <c r="BG458" s="101"/>
      <c r="BH458" s="101"/>
      <c r="BI458" s="101"/>
      <c r="BM458" s="101"/>
      <c r="BN458" s="101"/>
      <c r="BO458" s="101"/>
      <c r="BP458" s="101"/>
      <c r="BQ458" s="101"/>
      <c r="BR458" s="101"/>
      <c r="BS458" s="101"/>
      <c r="BT458" s="104"/>
      <c r="BU458" s="104"/>
      <c r="BV458" s="104"/>
      <c r="BW458" s="104"/>
      <c r="BX458" s="104"/>
      <c r="BY458" s="104"/>
      <c r="BZ458" s="104"/>
      <c r="CA458" s="104"/>
      <c r="CB458" s="104"/>
      <c r="CC458" s="104"/>
      <c r="CD458" s="104"/>
      <c r="CE458" s="104"/>
      <c r="CF458" s="104"/>
      <c r="CG458" s="104"/>
      <c r="CH458" s="104"/>
      <c r="CI458" s="104"/>
      <c r="CJ458" s="104"/>
      <c r="CK458" s="104"/>
      <c r="CL458" s="104"/>
      <c r="CM458" s="104"/>
      <c r="CN458" s="104"/>
      <c r="CO458" s="104"/>
      <c r="CP458" s="98"/>
      <c r="CR458" s="101"/>
      <c r="CS458" s="101"/>
      <c r="CT458" s="101"/>
      <c r="CU458" s="101"/>
      <c r="CV458" s="101"/>
      <c r="FL458" s="103"/>
      <c r="FN458" s="103"/>
      <c r="FP458" s="103"/>
      <c r="FR458" s="103"/>
    </row>
    <row r="459" spans="2:174" x14ac:dyDescent="0.35">
      <c r="B459" s="97"/>
      <c r="G459" s="100"/>
      <c r="K459" s="98"/>
      <c r="L459" s="101"/>
      <c r="M459" s="101"/>
      <c r="N459" s="101"/>
      <c r="O459" s="101"/>
      <c r="P459" s="102"/>
      <c r="Q459" s="101"/>
      <c r="R459" s="98"/>
      <c r="S459" s="98"/>
      <c r="T459" s="98"/>
      <c r="U459" s="98"/>
      <c r="V459" s="98"/>
      <c r="W459" s="98"/>
      <c r="X459" s="98"/>
      <c r="Y459" s="98"/>
      <c r="Z459" s="103"/>
      <c r="AA459" s="103"/>
      <c r="AB459" s="103"/>
      <c r="AC459" s="103"/>
      <c r="AD459" s="103"/>
      <c r="AE459" s="103"/>
      <c r="AF459" s="103"/>
      <c r="AG459" s="101"/>
      <c r="AH459" s="101"/>
      <c r="AI459" s="101"/>
      <c r="AJ459" s="101"/>
      <c r="AK459" s="101"/>
      <c r="AL459" s="101"/>
      <c r="AM459" s="101"/>
      <c r="AN459" s="103"/>
      <c r="AO459" s="103"/>
      <c r="AP459" s="103"/>
      <c r="AQ459" s="103"/>
      <c r="AR459" s="103"/>
      <c r="AS459" s="103"/>
      <c r="AT459" s="103"/>
      <c r="AU459" s="101"/>
      <c r="AV459" s="101"/>
      <c r="AW459" s="101"/>
      <c r="AX459" s="101"/>
      <c r="AY459" s="101"/>
      <c r="AZ459" s="101"/>
      <c r="BA459" s="101"/>
      <c r="BB459" s="103"/>
      <c r="BC459" s="103"/>
      <c r="BD459" s="103"/>
      <c r="BE459" s="101"/>
      <c r="BF459" s="101"/>
      <c r="BG459" s="101"/>
      <c r="BH459" s="101"/>
      <c r="BI459" s="101"/>
      <c r="BM459" s="101"/>
      <c r="BN459" s="101"/>
      <c r="BO459" s="101"/>
      <c r="BP459" s="101"/>
      <c r="BQ459" s="101"/>
      <c r="BR459" s="101"/>
      <c r="BS459" s="101"/>
      <c r="BT459" s="104"/>
      <c r="BU459" s="104"/>
      <c r="BV459" s="104"/>
      <c r="BW459" s="104"/>
      <c r="BX459" s="104"/>
      <c r="BY459" s="104"/>
      <c r="BZ459" s="104"/>
      <c r="CA459" s="104"/>
      <c r="CB459" s="104"/>
      <c r="CC459" s="104"/>
      <c r="CD459" s="104"/>
      <c r="CE459" s="104"/>
      <c r="CF459" s="104"/>
      <c r="CG459" s="104"/>
      <c r="CH459" s="104"/>
      <c r="CI459" s="104"/>
      <c r="CJ459" s="104"/>
      <c r="CK459" s="104"/>
      <c r="CL459" s="104"/>
      <c r="CM459" s="104"/>
      <c r="CN459" s="104"/>
      <c r="CO459" s="104"/>
      <c r="CP459" s="98"/>
      <c r="CR459" s="101"/>
      <c r="CS459" s="101"/>
      <c r="CT459" s="101"/>
      <c r="CU459" s="101"/>
      <c r="CV459" s="101"/>
      <c r="FL459" s="103"/>
      <c r="FN459" s="103"/>
      <c r="FP459" s="103"/>
      <c r="FR459" s="103"/>
    </row>
    <row r="460" spans="2:174" x14ac:dyDescent="0.35">
      <c r="B460" s="97"/>
      <c r="G460" s="100"/>
      <c r="K460" s="98"/>
      <c r="L460" s="101"/>
      <c r="M460" s="101"/>
      <c r="N460" s="101"/>
      <c r="O460" s="101"/>
      <c r="P460" s="102"/>
      <c r="Q460" s="101"/>
      <c r="R460" s="98"/>
      <c r="S460" s="98"/>
      <c r="T460" s="98"/>
      <c r="U460" s="98"/>
      <c r="V460" s="98"/>
      <c r="W460" s="98"/>
      <c r="X460" s="98"/>
      <c r="Y460" s="98"/>
      <c r="Z460" s="103"/>
      <c r="AA460" s="103"/>
      <c r="AB460" s="103"/>
      <c r="AC460" s="103"/>
      <c r="AD460" s="103"/>
      <c r="AE460" s="103"/>
      <c r="AF460" s="103"/>
      <c r="AG460" s="101"/>
      <c r="AH460" s="101"/>
      <c r="AI460" s="101"/>
      <c r="AJ460" s="101"/>
      <c r="AK460" s="101"/>
      <c r="AL460" s="101"/>
      <c r="AM460" s="101"/>
      <c r="AN460" s="103"/>
      <c r="AO460" s="103"/>
      <c r="AP460" s="103"/>
      <c r="AQ460" s="103"/>
      <c r="AR460" s="103"/>
      <c r="AS460" s="103"/>
      <c r="AT460" s="103"/>
      <c r="AU460" s="101"/>
      <c r="AV460" s="101"/>
      <c r="AW460" s="101"/>
      <c r="AX460" s="101"/>
      <c r="AY460" s="101"/>
      <c r="AZ460" s="101"/>
      <c r="BA460" s="101"/>
      <c r="BB460" s="103"/>
      <c r="BC460" s="103"/>
      <c r="BD460" s="103"/>
      <c r="BE460" s="101"/>
      <c r="BF460" s="101"/>
      <c r="BG460" s="101"/>
      <c r="BH460" s="101"/>
      <c r="BI460" s="101"/>
      <c r="BM460" s="101"/>
      <c r="BN460" s="101"/>
      <c r="BO460" s="101"/>
      <c r="BP460" s="101"/>
      <c r="BQ460" s="101"/>
      <c r="BR460" s="101"/>
      <c r="BS460" s="101"/>
      <c r="BT460" s="104"/>
      <c r="BU460" s="104"/>
      <c r="BV460" s="104"/>
      <c r="BW460" s="104"/>
      <c r="BX460" s="104"/>
      <c r="BY460" s="104"/>
      <c r="BZ460" s="104"/>
      <c r="CA460" s="104"/>
      <c r="CB460" s="104"/>
      <c r="CC460" s="104"/>
      <c r="CD460" s="104"/>
      <c r="CE460" s="104"/>
      <c r="CF460" s="104"/>
      <c r="CG460" s="104"/>
      <c r="CH460" s="104"/>
      <c r="CI460" s="104"/>
      <c r="CJ460" s="104"/>
      <c r="CK460" s="104"/>
      <c r="CL460" s="104"/>
      <c r="CM460" s="104"/>
      <c r="CN460" s="104"/>
      <c r="CO460" s="104"/>
      <c r="CP460" s="98"/>
      <c r="CR460" s="101"/>
      <c r="CS460" s="101"/>
      <c r="CT460" s="101"/>
      <c r="CU460" s="101"/>
      <c r="CV460" s="101"/>
      <c r="FL460" s="103"/>
      <c r="FN460" s="103"/>
      <c r="FP460" s="103"/>
      <c r="FR460" s="103"/>
    </row>
    <row r="461" spans="2:174" x14ac:dyDescent="0.35">
      <c r="B461" s="97"/>
      <c r="G461" s="100"/>
      <c r="K461" s="98"/>
      <c r="L461" s="101"/>
      <c r="M461" s="101"/>
      <c r="N461" s="101"/>
      <c r="O461" s="101"/>
      <c r="P461" s="102"/>
      <c r="Q461" s="101"/>
      <c r="R461" s="98"/>
      <c r="S461" s="98"/>
      <c r="T461" s="98"/>
      <c r="U461" s="98"/>
      <c r="V461" s="98"/>
      <c r="W461" s="98"/>
      <c r="X461" s="98"/>
      <c r="Y461" s="98"/>
      <c r="Z461" s="103"/>
      <c r="AA461" s="103"/>
      <c r="AB461" s="103"/>
      <c r="AC461" s="103"/>
      <c r="AD461" s="103"/>
      <c r="AE461" s="103"/>
      <c r="AF461" s="103"/>
      <c r="AG461" s="101"/>
      <c r="AH461" s="101"/>
      <c r="AI461" s="101"/>
      <c r="AJ461" s="101"/>
      <c r="AK461" s="101"/>
      <c r="AL461" s="101"/>
      <c r="AM461" s="101"/>
      <c r="AN461" s="103"/>
      <c r="AO461" s="103"/>
      <c r="AP461" s="103"/>
      <c r="AQ461" s="103"/>
      <c r="AR461" s="103"/>
      <c r="AS461" s="103"/>
      <c r="AT461" s="103"/>
      <c r="AU461" s="101"/>
      <c r="AV461" s="101"/>
      <c r="AW461" s="101"/>
      <c r="AX461" s="101"/>
      <c r="AY461" s="101"/>
      <c r="AZ461" s="101"/>
      <c r="BA461" s="101"/>
      <c r="BB461" s="103"/>
      <c r="BC461" s="103"/>
      <c r="BD461" s="103"/>
      <c r="BE461" s="101"/>
      <c r="BF461" s="101"/>
      <c r="BG461" s="101"/>
      <c r="BH461" s="101"/>
      <c r="BI461" s="101"/>
      <c r="BM461" s="101"/>
      <c r="BN461" s="101"/>
      <c r="BO461" s="101"/>
      <c r="BP461" s="101"/>
      <c r="BQ461" s="101"/>
      <c r="BR461" s="101"/>
      <c r="BS461" s="101"/>
      <c r="BT461" s="104"/>
      <c r="BU461" s="104"/>
      <c r="BV461" s="104"/>
      <c r="BW461" s="104"/>
      <c r="BX461" s="104"/>
      <c r="BY461" s="104"/>
      <c r="BZ461" s="104"/>
      <c r="CA461" s="104"/>
      <c r="CB461" s="104"/>
      <c r="CC461" s="104"/>
      <c r="CD461" s="104"/>
      <c r="CE461" s="104"/>
      <c r="CF461" s="104"/>
      <c r="CG461" s="104"/>
      <c r="CH461" s="104"/>
      <c r="CI461" s="104"/>
      <c r="CJ461" s="104"/>
      <c r="CK461" s="104"/>
      <c r="CL461" s="104"/>
      <c r="CM461" s="104"/>
      <c r="CN461" s="104"/>
      <c r="CO461" s="104"/>
      <c r="CP461" s="98"/>
      <c r="CR461" s="101"/>
      <c r="CS461" s="101"/>
      <c r="CT461" s="101"/>
      <c r="CU461" s="101"/>
      <c r="CV461" s="101"/>
      <c r="FL461" s="103"/>
      <c r="FN461" s="103"/>
      <c r="FP461" s="103"/>
      <c r="FR461" s="103"/>
    </row>
    <row r="462" spans="2:174" x14ac:dyDescent="0.35">
      <c r="B462" s="97"/>
      <c r="G462" s="100"/>
      <c r="K462" s="98"/>
      <c r="L462" s="101"/>
      <c r="M462" s="101"/>
      <c r="N462" s="101"/>
      <c r="O462" s="101"/>
      <c r="P462" s="102"/>
      <c r="Q462" s="101"/>
      <c r="R462" s="98"/>
      <c r="S462" s="98"/>
      <c r="T462" s="98"/>
      <c r="U462" s="98"/>
      <c r="V462" s="98"/>
      <c r="W462" s="98"/>
      <c r="X462" s="98"/>
      <c r="Y462" s="98"/>
      <c r="Z462" s="103"/>
      <c r="AA462" s="103"/>
      <c r="AB462" s="103"/>
      <c r="AC462" s="103"/>
      <c r="AD462" s="103"/>
      <c r="AE462" s="103"/>
      <c r="AF462" s="103"/>
      <c r="AG462" s="101"/>
      <c r="AH462" s="101"/>
      <c r="AI462" s="101"/>
      <c r="AJ462" s="101"/>
      <c r="AK462" s="101"/>
      <c r="AL462" s="101"/>
      <c r="AM462" s="101"/>
      <c r="AN462" s="103"/>
      <c r="AO462" s="103"/>
      <c r="AP462" s="103"/>
      <c r="AQ462" s="103"/>
      <c r="AR462" s="103"/>
      <c r="AS462" s="103"/>
      <c r="AT462" s="103"/>
      <c r="AU462" s="101"/>
      <c r="AV462" s="101"/>
      <c r="AW462" s="101"/>
      <c r="AX462" s="101"/>
      <c r="AY462" s="101"/>
      <c r="AZ462" s="101"/>
      <c r="BA462" s="101"/>
      <c r="BB462" s="103"/>
      <c r="BC462" s="103"/>
      <c r="BD462" s="103"/>
      <c r="BE462" s="101"/>
      <c r="BF462" s="101"/>
      <c r="BG462" s="101"/>
      <c r="BH462" s="101"/>
      <c r="BI462" s="101"/>
      <c r="BM462" s="101"/>
      <c r="BN462" s="101"/>
      <c r="BO462" s="101"/>
      <c r="BP462" s="101"/>
      <c r="BQ462" s="101"/>
      <c r="BR462" s="101"/>
      <c r="BS462" s="101"/>
      <c r="BT462" s="104"/>
      <c r="BU462" s="104"/>
      <c r="BV462" s="104"/>
      <c r="BW462" s="104"/>
      <c r="BX462" s="104"/>
      <c r="BY462" s="104"/>
      <c r="BZ462" s="104"/>
      <c r="CA462" s="104"/>
      <c r="CB462" s="104"/>
      <c r="CC462" s="104"/>
      <c r="CD462" s="104"/>
      <c r="CE462" s="104"/>
      <c r="CF462" s="104"/>
      <c r="CG462" s="104"/>
      <c r="CH462" s="104"/>
      <c r="CI462" s="104"/>
      <c r="CJ462" s="104"/>
      <c r="CK462" s="104"/>
      <c r="CL462" s="104"/>
      <c r="CM462" s="104"/>
      <c r="CN462" s="104"/>
      <c r="CO462" s="104"/>
      <c r="CP462" s="98"/>
      <c r="CR462" s="101"/>
      <c r="CS462" s="101"/>
      <c r="CT462" s="101"/>
      <c r="CU462" s="101"/>
      <c r="CV462" s="101"/>
      <c r="FL462" s="103"/>
      <c r="FN462" s="103"/>
      <c r="FP462" s="103"/>
      <c r="FR462" s="103"/>
    </row>
    <row r="463" spans="2:174" x14ac:dyDescent="0.35">
      <c r="B463" s="97"/>
      <c r="G463" s="100"/>
      <c r="K463" s="98"/>
      <c r="L463" s="101"/>
      <c r="M463" s="101"/>
      <c r="N463" s="101"/>
      <c r="O463" s="101"/>
      <c r="P463" s="102"/>
      <c r="Q463" s="101"/>
      <c r="R463" s="98"/>
      <c r="S463" s="98"/>
      <c r="T463" s="98"/>
      <c r="U463" s="98"/>
      <c r="V463" s="98"/>
      <c r="W463" s="98"/>
      <c r="X463" s="98"/>
      <c r="Y463" s="98"/>
      <c r="Z463" s="103"/>
      <c r="AA463" s="103"/>
      <c r="AB463" s="103"/>
      <c r="AC463" s="103"/>
      <c r="AD463" s="103"/>
      <c r="AE463" s="103"/>
      <c r="AF463" s="103"/>
      <c r="AG463" s="101"/>
      <c r="AH463" s="101"/>
      <c r="AI463" s="101"/>
      <c r="AJ463" s="101"/>
      <c r="AK463" s="101"/>
      <c r="AL463" s="101"/>
      <c r="AM463" s="101"/>
      <c r="AN463" s="103"/>
      <c r="AO463" s="103"/>
      <c r="AP463" s="103"/>
      <c r="AQ463" s="103"/>
      <c r="AR463" s="103"/>
      <c r="AS463" s="103"/>
      <c r="AT463" s="103"/>
      <c r="AU463" s="101"/>
      <c r="AV463" s="101"/>
      <c r="AW463" s="101"/>
      <c r="AX463" s="101"/>
      <c r="AY463" s="101"/>
      <c r="AZ463" s="101"/>
      <c r="BA463" s="101"/>
      <c r="BB463" s="103"/>
      <c r="BC463" s="103"/>
      <c r="BD463" s="103"/>
      <c r="BE463" s="101"/>
      <c r="BF463" s="101"/>
      <c r="BG463" s="101"/>
      <c r="BH463" s="101"/>
      <c r="BI463" s="101"/>
      <c r="BM463" s="101"/>
      <c r="BN463" s="101"/>
      <c r="BO463" s="101"/>
      <c r="BP463" s="101"/>
      <c r="BQ463" s="101"/>
      <c r="BR463" s="101"/>
      <c r="BS463" s="101"/>
      <c r="BT463" s="104"/>
      <c r="BU463" s="104"/>
      <c r="BV463" s="104"/>
      <c r="BW463" s="104"/>
      <c r="BX463" s="104"/>
      <c r="BY463" s="104"/>
      <c r="BZ463" s="104"/>
      <c r="CA463" s="104"/>
      <c r="CB463" s="104"/>
      <c r="CC463" s="104"/>
      <c r="CD463" s="104"/>
      <c r="CE463" s="104"/>
      <c r="CF463" s="104"/>
      <c r="CG463" s="104"/>
      <c r="CH463" s="104"/>
      <c r="CI463" s="104"/>
      <c r="CJ463" s="104"/>
      <c r="CK463" s="104"/>
      <c r="CL463" s="104"/>
      <c r="CM463" s="104"/>
      <c r="CN463" s="104"/>
      <c r="CO463" s="104"/>
      <c r="CP463" s="98"/>
      <c r="CR463" s="101"/>
      <c r="CS463" s="101"/>
      <c r="CT463" s="101"/>
      <c r="CU463" s="101"/>
      <c r="CV463" s="101"/>
      <c r="FL463" s="103"/>
      <c r="FN463" s="103"/>
      <c r="FP463" s="103"/>
      <c r="FR463" s="103"/>
    </row>
    <row r="464" spans="2:174" x14ac:dyDescent="0.35">
      <c r="B464" s="97"/>
      <c r="G464" s="100"/>
      <c r="K464" s="98"/>
      <c r="L464" s="101"/>
      <c r="M464" s="101"/>
      <c r="N464" s="101"/>
      <c r="O464" s="101"/>
      <c r="P464" s="102"/>
      <c r="Q464" s="101"/>
      <c r="R464" s="98"/>
      <c r="S464" s="98"/>
      <c r="T464" s="98"/>
      <c r="U464" s="98"/>
      <c r="V464" s="98"/>
      <c r="W464" s="98"/>
      <c r="X464" s="98"/>
      <c r="Y464" s="98"/>
      <c r="Z464" s="103"/>
      <c r="AA464" s="103"/>
      <c r="AB464" s="103"/>
      <c r="AC464" s="103"/>
      <c r="AD464" s="103"/>
      <c r="AE464" s="103"/>
      <c r="AF464" s="103"/>
      <c r="AG464" s="101"/>
      <c r="AH464" s="101"/>
      <c r="AI464" s="101"/>
      <c r="AJ464" s="101"/>
      <c r="AK464" s="101"/>
      <c r="AL464" s="101"/>
      <c r="AM464" s="101"/>
      <c r="AN464" s="103"/>
      <c r="AO464" s="103"/>
      <c r="AP464" s="103"/>
      <c r="AQ464" s="103"/>
      <c r="AR464" s="103"/>
      <c r="AS464" s="103"/>
      <c r="AT464" s="103"/>
      <c r="AU464" s="101"/>
      <c r="AV464" s="101"/>
      <c r="AW464" s="101"/>
      <c r="AX464" s="101"/>
      <c r="AY464" s="101"/>
      <c r="AZ464" s="101"/>
      <c r="BA464" s="101"/>
      <c r="BB464" s="103"/>
      <c r="BC464" s="103"/>
      <c r="BD464" s="103"/>
      <c r="BE464" s="101"/>
      <c r="BF464" s="101"/>
      <c r="BG464" s="101"/>
      <c r="BH464" s="101"/>
      <c r="BI464" s="101"/>
      <c r="BM464" s="101"/>
      <c r="BN464" s="101"/>
      <c r="BO464" s="101"/>
      <c r="BP464" s="101"/>
      <c r="BQ464" s="101"/>
      <c r="BR464" s="101"/>
      <c r="BS464" s="101"/>
      <c r="BT464" s="104"/>
      <c r="BU464" s="104"/>
      <c r="BV464" s="104"/>
      <c r="BW464" s="104"/>
      <c r="BX464" s="104"/>
      <c r="BY464" s="104"/>
      <c r="BZ464" s="104"/>
      <c r="CA464" s="104"/>
      <c r="CB464" s="104"/>
      <c r="CC464" s="104"/>
      <c r="CD464" s="104"/>
      <c r="CE464" s="104"/>
      <c r="CF464" s="104"/>
      <c r="CG464" s="104"/>
      <c r="CH464" s="104"/>
      <c r="CI464" s="104"/>
      <c r="CJ464" s="104"/>
      <c r="CK464" s="104"/>
      <c r="CL464" s="104"/>
      <c r="CM464" s="104"/>
      <c r="CN464" s="104"/>
      <c r="CO464" s="104"/>
      <c r="CP464" s="98"/>
      <c r="CR464" s="101"/>
      <c r="CS464" s="101"/>
      <c r="CT464" s="101"/>
      <c r="CU464" s="101"/>
      <c r="CV464" s="101"/>
      <c r="FL464" s="103"/>
      <c r="FN464" s="103"/>
      <c r="FP464" s="103"/>
      <c r="FR464" s="103"/>
    </row>
    <row r="465" spans="2:174" x14ac:dyDescent="0.35">
      <c r="B465" s="97"/>
      <c r="G465" s="100"/>
      <c r="K465" s="98"/>
      <c r="L465" s="101"/>
      <c r="M465" s="101"/>
      <c r="N465" s="101"/>
      <c r="O465" s="101"/>
      <c r="P465" s="102"/>
      <c r="Q465" s="101"/>
      <c r="R465" s="98"/>
      <c r="S465" s="98"/>
      <c r="T465" s="98"/>
      <c r="U465" s="98"/>
      <c r="V465" s="98"/>
      <c r="W465" s="98"/>
      <c r="X465" s="98"/>
      <c r="Y465" s="98"/>
      <c r="Z465" s="103"/>
      <c r="AA465" s="103"/>
      <c r="AB465" s="103"/>
      <c r="AC465" s="103"/>
      <c r="AD465" s="103"/>
      <c r="AE465" s="103"/>
      <c r="AF465" s="103"/>
      <c r="AG465" s="101"/>
      <c r="AH465" s="101"/>
      <c r="AI465" s="101"/>
      <c r="AJ465" s="101"/>
      <c r="AK465" s="101"/>
      <c r="AL465" s="101"/>
      <c r="AM465" s="101"/>
      <c r="AN465" s="103"/>
      <c r="AO465" s="103"/>
      <c r="AP465" s="103"/>
      <c r="AQ465" s="103"/>
      <c r="AR465" s="103"/>
      <c r="AS465" s="103"/>
      <c r="AT465" s="103"/>
      <c r="AU465" s="101"/>
      <c r="AV465" s="101"/>
      <c r="AW465" s="101"/>
      <c r="AX465" s="101"/>
      <c r="AY465" s="101"/>
      <c r="AZ465" s="101"/>
      <c r="BA465" s="101"/>
      <c r="BB465" s="103"/>
      <c r="BC465" s="103"/>
      <c r="BD465" s="103"/>
      <c r="BE465" s="101"/>
      <c r="BF465" s="101"/>
      <c r="BG465" s="101"/>
      <c r="BH465" s="101"/>
      <c r="BI465" s="101"/>
      <c r="BM465" s="101"/>
      <c r="BN465" s="101"/>
      <c r="BO465" s="101"/>
      <c r="BP465" s="101"/>
      <c r="BQ465" s="101"/>
      <c r="BR465" s="101"/>
      <c r="BS465" s="101"/>
      <c r="BT465" s="104"/>
      <c r="BU465" s="104"/>
      <c r="BV465" s="104"/>
      <c r="BW465" s="104"/>
      <c r="BX465" s="104"/>
      <c r="BY465" s="104"/>
      <c r="BZ465" s="104"/>
      <c r="CA465" s="104"/>
      <c r="CB465" s="104"/>
      <c r="CC465" s="104"/>
      <c r="CD465" s="104"/>
      <c r="CE465" s="104"/>
      <c r="CF465" s="104"/>
      <c r="CG465" s="104"/>
      <c r="CH465" s="104"/>
      <c r="CI465" s="104"/>
      <c r="CJ465" s="104"/>
      <c r="CK465" s="104"/>
      <c r="CL465" s="104"/>
      <c r="CM465" s="104"/>
      <c r="CN465" s="104"/>
      <c r="CO465" s="104"/>
      <c r="CP465" s="98"/>
      <c r="CR465" s="101"/>
      <c r="CS465" s="101"/>
      <c r="CT465" s="101"/>
      <c r="CU465" s="101"/>
      <c r="CV465" s="101"/>
      <c r="FL465" s="103"/>
      <c r="FN465" s="103"/>
      <c r="FP465" s="103"/>
      <c r="FR465" s="103"/>
    </row>
    <row r="466" spans="2:174" x14ac:dyDescent="0.35">
      <c r="B466" s="97"/>
      <c r="G466" s="100"/>
      <c r="K466" s="98"/>
      <c r="L466" s="101"/>
      <c r="M466" s="101"/>
      <c r="N466" s="101"/>
      <c r="O466" s="101"/>
      <c r="P466" s="102"/>
      <c r="Q466" s="101"/>
      <c r="R466" s="98"/>
      <c r="S466" s="98"/>
      <c r="T466" s="98"/>
      <c r="U466" s="98"/>
      <c r="V466" s="98"/>
      <c r="W466" s="98"/>
      <c r="X466" s="98"/>
      <c r="Y466" s="98"/>
      <c r="Z466" s="103"/>
      <c r="AA466" s="103"/>
      <c r="AB466" s="103"/>
      <c r="AC466" s="103"/>
      <c r="AD466" s="103"/>
      <c r="AE466" s="103"/>
      <c r="AF466" s="103"/>
      <c r="AG466" s="101"/>
      <c r="AH466" s="101"/>
      <c r="AI466" s="101"/>
      <c r="AJ466" s="101"/>
      <c r="AK466" s="101"/>
      <c r="AL466" s="101"/>
      <c r="AM466" s="101"/>
      <c r="AN466" s="103"/>
      <c r="AO466" s="103"/>
      <c r="AP466" s="103"/>
      <c r="AQ466" s="103"/>
      <c r="AR466" s="103"/>
      <c r="AS466" s="103"/>
      <c r="AT466" s="103"/>
      <c r="AU466" s="101"/>
      <c r="AV466" s="101"/>
      <c r="AW466" s="101"/>
      <c r="AX466" s="101"/>
      <c r="AY466" s="101"/>
      <c r="AZ466" s="101"/>
      <c r="BA466" s="101"/>
      <c r="BB466" s="103"/>
      <c r="BC466" s="103"/>
      <c r="BD466" s="103"/>
      <c r="BE466" s="101"/>
      <c r="BF466" s="101"/>
      <c r="BG466" s="101"/>
      <c r="BH466" s="101"/>
      <c r="BI466" s="101"/>
      <c r="BM466" s="101"/>
      <c r="BN466" s="101"/>
      <c r="BO466" s="101"/>
      <c r="BP466" s="101"/>
      <c r="BQ466" s="101"/>
      <c r="BR466" s="101"/>
      <c r="BS466" s="101"/>
      <c r="BT466" s="104"/>
      <c r="BU466" s="104"/>
      <c r="BV466" s="104"/>
      <c r="BW466" s="104"/>
      <c r="BX466" s="104"/>
      <c r="BY466" s="104"/>
      <c r="BZ466" s="104"/>
      <c r="CA466" s="104"/>
      <c r="CB466" s="104"/>
      <c r="CC466" s="104"/>
      <c r="CD466" s="104"/>
      <c r="CE466" s="104"/>
      <c r="CF466" s="104"/>
      <c r="CG466" s="104"/>
      <c r="CH466" s="104"/>
      <c r="CI466" s="104"/>
      <c r="CJ466" s="104"/>
      <c r="CK466" s="104"/>
      <c r="CL466" s="104"/>
      <c r="CM466" s="104"/>
      <c r="CN466" s="104"/>
      <c r="CO466" s="104"/>
      <c r="CP466" s="98"/>
      <c r="CR466" s="101"/>
      <c r="CS466" s="101"/>
      <c r="CT466" s="101"/>
      <c r="CU466" s="101"/>
      <c r="CV466" s="101"/>
      <c r="FL466" s="103"/>
      <c r="FN466" s="103"/>
      <c r="FP466" s="103"/>
      <c r="FR466" s="103"/>
    </row>
    <row r="467" spans="2:174" x14ac:dyDescent="0.35">
      <c r="B467" s="97"/>
      <c r="G467" s="100"/>
      <c r="K467" s="98"/>
      <c r="L467" s="101"/>
      <c r="M467" s="101"/>
      <c r="N467" s="101"/>
      <c r="O467" s="101"/>
      <c r="P467" s="102"/>
      <c r="Q467" s="101"/>
      <c r="R467" s="98"/>
      <c r="S467" s="98"/>
      <c r="T467" s="98"/>
      <c r="U467" s="98"/>
      <c r="V467" s="98"/>
      <c r="W467" s="98"/>
      <c r="X467" s="98"/>
      <c r="Y467" s="98"/>
      <c r="Z467" s="103"/>
      <c r="AA467" s="103"/>
      <c r="AB467" s="103"/>
      <c r="AC467" s="103"/>
      <c r="AD467" s="103"/>
      <c r="AE467" s="103"/>
      <c r="AF467" s="103"/>
      <c r="AG467" s="101"/>
      <c r="AH467" s="101"/>
      <c r="AI467" s="101"/>
      <c r="AJ467" s="101"/>
      <c r="AK467" s="101"/>
      <c r="AL467" s="101"/>
      <c r="AM467" s="101"/>
      <c r="AN467" s="103"/>
      <c r="AO467" s="103"/>
      <c r="AP467" s="103"/>
      <c r="AQ467" s="103"/>
      <c r="AR467" s="103"/>
      <c r="AS467" s="103"/>
      <c r="AT467" s="103"/>
      <c r="AU467" s="101"/>
      <c r="AV467" s="101"/>
      <c r="AW467" s="101"/>
      <c r="AX467" s="101"/>
      <c r="AY467" s="101"/>
      <c r="AZ467" s="101"/>
      <c r="BA467" s="101"/>
      <c r="BB467" s="103"/>
      <c r="BC467" s="103"/>
      <c r="BD467" s="103"/>
      <c r="BE467" s="101"/>
      <c r="BF467" s="101"/>
      <c r="BG467" s="101"/>
      <c r="BH467" s="101"/>
      <c r="BI467" s="101"/>
      <c r="BM467" s="101"/>
      <c r="BN467" s="101"/>
      <c r="BO467" s="101"/>
      <c r="BP467" s="101"/>
      <c r="BQ467" s="101"/>
      <c r="BR467" s="101"/>
      <c r="BS467" s="101"/>
      <c r="BT467" s="104"/>
      <c r="BU467" s="104"/>
      <c r="BV467" s="104"/>
      <c r="BW467" s="104"/>
      <c r="BX467" s="104"/>
      <c r="BY467" s="104"/>
      <c r="BZ467" s="104"/>
      <c r="CA467" s="104"/>
      <c r="CB467" s="104"/>
      <c r="CC467" s="104"/>
      <c r="CD467" s="104"/>
      <c r="CE467" s="104"/>
      <c r="CF467" s="104"/>
      <c r="CG467" s="104"/>
      <c r="CH467" s="104"/>
      <c r="CI467" s="104"/>
      <c r="CJ467" s="104"/>
      <c r="CK467" s="104"/>
      <c r="CL467" s="104"/>
      <c r="CM467" s="104"/>
      <c r="CN467" s="104"/>
      <c r="CO467" s="104"/>
      <c r="CP467" s="98"/>
      <c r="CR467" s="101"/>
      <c r="CS467" s="101"/>
      <c r="CT467" s="101"/>
      <c r="CU467" s="101"/>
      <c r="CV467" s="101"/>
      <c r="FL467" s="103"/>
      <c r="FN467" s="103"/>
      <c r="FP467" s="103"/>
      <c r="FR467" s="103"/>
    </row>
    <row r="468" spans="2:174" x14ac:dyDescent="0.35">
      <c r="B468" s="97"/>
      <c r="G468" s="100"/>
      <c r="K468" s="98"/>
      <c r="L468" s="101"/>
      <c r="M468" s="101"/>
      <c r="N468" s="101"/>
      <c r="O468" s="101"/>
      <c r="P468" s="102"/>
      <c r="Q468" s="101"/>
      <c r="R468" s="98"/>
      <c r="S468" s="98"/>
      <c r="T468" s="98"/>
      <c r="U468" s="98"/>
      <c r="V468" s="98"/>
      <c r="W468" s="98"/>
      <c r="X468" s="98"/>
      <c r="Y468" s="98"/>
      <c r="Z468" s="103"/>
      <c r="AA468" s="103"/>
      <c r="AB468" s="103"/>
      <c r="AC468" s="103"/>
      <c r="AD468" s="103"/>
      <c r="AE468" s="103"/>
      <c r="AF468" s="103"/>
      <c r="AG468" s="101"/>
      <c r="AH468" s="101"/>
      <c r="AI468" s="101"/>
      <c r="AJ468" s="101"/>
      <c r="AK468" s="101"/>
      <c r="AL468" s="101"/>
      <c r="AM468" s="101"/>
      <c r="AN468" s="103"/>
      <c r="AO468" s="103"/>
      <c r="AP468" s="103"/>
      <c r="AQ468" s="103"/>
      <c r="AR468" s="103"/>
      <c r="AS468" s="103"/>
      <c r="AT468" s="103"/>
      <c r="AU468" s="101"/>
      <c r="AV468" s="101"/>
      <c r="AW468" s="101"/>
      <c r="AX468" s="101"/>
      <c r="AY468" s="101"/>
      <c r="AZ468" s="101"/>
      <c r="BA468" s="101"/>
      <c r="BB468" s="103"/>
      <c r="BC468" s="103"/>
      <c r="BD468" s="103"/>
      <c r="BE468" s="101"/>
      <c r="BF468" s="101"/>
      <c r="BG468" s="101"/>
      <c r="BH468" s="101"/>
      <c r="BI468" s="101"/>
      <c r="BM468" s="101"/>
      <c r="BN468" s="101"/>
      <c r="BO468" s="101"/>
      <c r="BP468" s="101"/>
      <c r="BQ468" s="101"/>
      <c r="BR468" s="101"/>
      <c r="BS468" s="101"/>
      <c r="BT468" s="104"/>
      <c r="BU468" s="104"/>
      <c r="BV468" s="104"/>
      <c r="BW468" s="104"/>
      <c r="BX468" s="104"/>
      <c r="BY468" s="104"/>
      <c r="BZ468" s="104"/>
      <c r="CA468" s="104"/>
      <c r="CB468" s="104"/>
      <c r="CC468" s="104"/>
      <c r="CD468" s="104"/>
      <c r="CE468" s="104"/>
      <c r="CF468" s="104"/>
      <c r="CG468" s="104"/>
      <c r="CH468" s="104"/>
      <c r="CI468" s="104"/>
      <c r="CJ468" s="104"/>
      <c r="CK468" s="104"/>
      <c r="CL468" s="104"/>
      <c r="CM468" s="104"/>
      <c r="CN468" s="104"/>
      <c r="CO468" s="104"/>
      <c r="CP468" s="98"/>
      <c r="CR468" s="101"/>
      <c r="CS468" s="101"/>
      <c r="CT468" s="101"/>
      <c r="CU468" s="101"/>
      <c r="CV468" s="101"/>
      <c r="FL468" s="103"/>
      <c r="FN468" s="103"/>
      <c r="FP468" s="103"/>
      <c r="FR468" s="103"/>
    </row>
    <row r="469" spans="2:174" x14ac:dyDescent="0.35">
      <c r="B469" s="97"/>
      <c r="G469" s="100"/>
      <c r="K469" s="98"/>
      <c r="L469" s="101"/>
      <c r="M469" s="101"/>
      <c r="N469" s="101"/>
      <c r="O469" s="101"/>
      <c r="P469" s="102"/>
      <c r="Q469" s="101"/>
      <c r="R469" s="98"/>
      <c r="S469" s="98"/>
      <c r="T469" s="98"/>
      <c r="U469" s="98"/>
      <c r="V469" s="98"/>
      <c r="W469" s="98"/>
      <c r="X469" s="98"/>
      <c r="Y469" s="98"/>
      <c r="Z469" s="103"/>
      <c r="AA469" s="103"/>
      <c r="AB469" s="103"/>
      <c r="AC469" s="103"/>
      <c r="AD469" s="103"/>
      <c r="AE469" s="103"/>
      <c r="AF469" s="103"/>
      <c r="AG469" s="101"/>
      <c r="AH469" s="101"/>
      <c r="AI469" s="101"/>
      <c r="AJ469" s="101"/>
      <c r="AK469" s="101"/>
      <c r="AL469" s="101"/>
      <c r="AM469" s="101"/>
      <c r="AN469" s="103"/>
      <c r="AO469" s="103"/>
      <c r="AP469" s="103"/>
      <c r="AQ469" s="103"/>
      <c r="AR469" s="103"/>
      <c r="AS469" s="103"/>
      <c r="AT469" s="103"/>
      <c r="AU469" s="101"/>
      <c r="AV469" s="101"/>
      <c r="AW469" s="101"/>
      <c r="AX469" s="101"/>
      <c r="AY469" s="101"/>
      <c r="AZ469" s="101"/>
      <c r="BA469" s="101"/>
      <c r="BB469" s="103"/>
      <c r="BC469" s="103"/>
      <c r="BD469" s="103"/>
      <c r="BE469" s="101"/>
      <c r="BF469" s="101"/>
      <c r="BG469" s="101"/>
      <c r="BH469" s="101"/>
      <c r="BI469" s="101"/>
      <c r="BM469" s="101"/>
      <c r="BN469" s="101"/>
      <c r="BO469" s="101"/>
      <c r="BP469" s="101"/>
      <c r="BQ469" s="101"/>
      <c r="BR469" s="101"/>
      <c r="BS469" s="101"/>
      <c r="BT469" s="104"/>
      <c r="BU469" s="104"/>
      <c r="BV469" s="104"/>
      <c r="BW469" s="104"/>
      <c r="BX469" s="104"/>
      <c r="BY469" s="104"/>
      <c r="BZ469" s="104"/>
      <c r="CA469" s="104"/>
      <c r="CB469" s="104"/>
      <c r="CC469" s="104"/>
      <c r="CD469" s="104"/>
      <c r="CE469" s="104"/>
      <c r="CF469" s="104"/>
      <c r="CG469" s="104"/>
      <c r="CH469" s="104"/>
      <c r="CI469" s="104"/>
      <c r="CJ469" s="104"/>
      <c r="CK469" s="104"/>
      <c r="CL469" s="104"/>
      <c r="CM469" s="104"/>
      <c r="CN469" s="104"/>
      <c r="CO469" s="104"/>
      <c r="CP469" s="98"/>
      <c r="CR469" s="101"/>
      <c r="CS469" s="101"/>
      <c r="CT469" s="101"/>
      <c r="CU469" s="101"/>
      <c r="CV469" s="101"/>
      <c r="FL469" s="103"/>
      <c r="FN469" s="103"/>
      <c r="FP469" s="103"/>
      <c r="FR469" s="103"/>
    </row>
    <row r="470" spans="2:174" x14ac:dyDescent="0.35">
      <c r="B470" s="97"/>
      <c r="G470" s="100"/>
      <c r="K470" s="98"/>
      <c r="L470" s="101"/>
      <c r="M470" s="101"/>
      <c r="N470" s="101"/>
      <c r="O470" s="101"/>
      <c r="P470" s="102"/>
      <c r="Q470" s="101"/>
      <c r="R470" s="98"/>
      <c r="S470" s="98"/>
      <c r="T470" s="98"/>
      <c r="U470" s="98"/>
      <c r="V470" s="98"/>
      <c r="W470" s="98"/>
      <c r="X470" s="98"/>
      <c r="Y470" s="98"/>
      <c r="Z470" s="103"/>
      <c r="AA470" s="103"/>
      <c r="AB470" s="103"/>
      <c r="AC470" s="103"/>
      <c r="AD470" s="103"/>
      <c r="AE470" s="103"/>
      <c r="AF470" s="103"/>
      <c r="AG470" s="101"/>
      <c r="AH470" s="101"/>
      <c r="AI470" s="101"/>
      <c r="AJ470" s="101"/>
      <c r="AK470" s="101"/>
      <c r="AL470" s="101"/>
      <c r="AM470" s="101"/>
      <c r="AN470" s="103"/>
      <c r="AO470" s="103"/>
      <c r="AP470" s="103"/>
      <c r="AQ470" s="103"/>
      <c r="AR470" s="103"/>
      <c r="AS470" s="103"/>
      <c r="AT470" s="103"/>
      <c r="AU470" s="101"/>
      <c r="AV470" s="101"/>
      <c r="AW470" s="101"/>
      <c r="AX470" s="101"/>
      <c r="AY470" s="101"/>
      <c r="AZ470" s="101"/>
      <c r="BA470" s="101"/>
      <c r="BB470" s="103"/>
      <c r="BC470" s="103"/>
      <c r="BD470" s="103"/>
      <c r="BE470" s="101"/>
      <c r="BF470" s="101"/>
      <c r="BG470" s="101"/>
      <c r="BH470" s="101"/>
      <c r="BI470" s="101"/>
      <c r="BM470" s="101"/>
      <c r="BN470" s="101"/>
      <c r="BO470" s="101"/>
      <c r="BP470" s="101"/>
      <c r="BQ470" s="101"/>
      <c r="BR470" s="101"/>
      <c r="BS470" s="101"/>
      <c r="BT470" s="104"/>
      <c r="BU470" s="104"/>
      <c r="BV470" s="104"/>
      <c r="BW470" s="104"/>
      <c r="BX470" s="104"/>
      <c r="BY470" s="104"/>
      <c r="BZ470" s="104"/>
      <c r="CA470" s="104"/>
      <c r="CB470" s="104"/>
      <c r="CC470" s="104"/>
      <c r="CD470" s="104"/>
      <c r="CE470" s="104"/>
      <c r="CF470" s="104"/>
      <c r="CG470" s="104"/>
      <c r="CH470" s="104"/>
      <c r="CI470" s="104"/>
      <c r="CJ470" s="104"/>
      <c r="CK470" s="104"/>
      <c r="CL470" s="104"/>
      <c r="CM470" s="104"/>
      <c r="CN470" s="104"/>
      <c r="CO470" s="104"/>
      <c r="CP470" s="98"/>
      <c r="CR470" s="101"/>
      <c r="CS470" s="101"/>
      <c r="CT470" s="101"/>
      <c r="CU470" s="101"/>
      <c r="CV470" s="101"/>
      <c r="FL470" s="103"/>
      <c r="FN470" s="103"/>
      <c r="FP470" s="103"/>
      <c r="FR470" s="103"/>
    </row>
    <row r="471" spans="2:174" x14ac:dyDescent="0.35">
      <c r="B471" s="97"/>
      <c r="G471" s="100"/>
      <c r="K471" s="98"/>
      <c r="L471" s="101"/>
      <c r="M471" s="101"/>
      <c r="N471" s="101"/>
      <c r="O471" s="101"/>
      <c r="P471" s="102"/>
      <c r="Q471" s="101"/>
      <c r="R471" s="98"/>
      <c r="S471" s="98"/>
      <c r="T471" s="98"/>
      <c r="U471" s="98"/>
      <c r="V471" s="98"/>
      <c r="W471" s="98"/>
      <c r="X471" s="98"/>
      <c r="Y471" s="98"/>
      <c r="Z471" s="103"/>
      <c r="AA471" s="103"/>
      <c r="AB471" s="103"/>
      <c r="AC471" s="103"/>
      <c r="AD471" s="103"/>
      <c r="AE471" s="103"/>
      <c r="AF471" s="103"/>
      <c r="AG471" s="101"/>
      <c r="AH471" s="101"/>
      <c r="AI471" s="101"/>
      <c r="AJ471" s="101"/>
      <c r="AK471" s="101"/>
      <c r="AL471" s="101"/>
      <c r="AM471" s="101"/>
      <c r="AN471" s="103"/>
      <c r="AO471" s="103"/>
      <c r="AP471" s="103"/>
      <c r="AQ471" s="103"/>
      <c r="AR471" s="103"/>
      <c r="AS471" s="103"/>
      <c r="AT471" s="103"/>
      <c r="AU471" s="101"/>
      <c r="AV471" s="101"/>
      <c r="AW471" s="101"/>
      <c r="AX471" s="101"/>
      <c r="AY471" s="101"/>
      <c r="AZ471" s="101"/>
      <c r="BA471" s="101"/>
      <c r="BB471" s="103"/>
      <c r="BC471" s="103"/>
      <c r="BD471" s="103"/>
      <c r="BE471" s="101"/>
      <c r="BF471" s="101"/>
      <c r="BG471" s="101"/>
      <c r="BH471" s="101"/>
      <c r="BI471" s="101"/>
      <c r="BM471" s="101"/>
      <c r="BN471" s="101"/>
      <c r="BO471" s="101"/>
      <c r="BP471" s="101"/>
      <c r="BQ471" s="101"/>
      <c r="BR471" s="101"/>
      <c r="BS471" s="101"/>
      <c r="BT471" s="104"/>
      <c r="BU471" s="104"/>
      <c r="BV471" s="104"/>
      <c r="BW471" s="104"/>
      <c r="BX471" s="104"/>
      <c r="BY471" s="104"/>
      <c r="BZ471" s="104"/>
      <c r="CA471" s="104"/>
      <c r="CB471" s="104"/>
      <c r="CC471" s="104"/>
      <c r="CD471" s="104"/>
      <c r="CE471" s="104"/>
      <c r="CF471" s="104"/>
      <c r="CG471" s="104"/>
      <c r="CH471" s="104"/>
      <c r="CI471" s="104"/>
      <c r="CJ471" s="104"/>
      <c r="CK471" s="104"/>
      <c r="CL471" s="104"/>
      <c r="CM471" s="104"/>
      <c r="CN471" s="104"/>
      <c r="CO471" s="104"/>
      <c r="CP471" s="98"/>
      <c r="CR471" s="101"/>
      <c r="CS471" s="101"/>
      <c r="CT471" s="101"/>
      <c r="CU471" s="101"/>
      <c r="CV471" s="101"/>
      <c r="FL471" s="103"/>
      <c r="FN471" s="103"/>
      <c r="FP471" s="103"/>
      <c r="FR471" s="103"/>
    </row>
    <row r="472" spans="2:174" x14ac:dyDescent="0.35">
      <c r="B472" s="97"/>
      <c r="G472" s="100"/>
      <c r="K472" s="98"/>
      <c r="L472" s="101"/>
      <c r="M472" s="101"/>
      <c r="N472" s="101"/>
      <c r="O472" s="101"/>
      <c r="P472" s="102"/>
      <c r="Q472" s="101"/>
      <c r="R472" s="98"/>
      <c r="S472" s="98"/>
      <c r="T472" s="98"/>
      <c r="U472" s="98"/>
      <c r="V472" s="98"/>
      <c r="W472" s="98"/>
      <c r="X472" s="98"/>
      <c r="Y472" s="98"/>
      <c r="Z472" s="103"/>
      <c r="AA472" s="103"/>
      <c r="AB472" s="103"/>
      <c r="AC472" s="103"/>
      <c r="AD472" s="103"/>
      <c r="AE472" s="103"/>
      <c r="AF472" s="103"/>
      <c r="AG472" s="101"/>
      <c r="AH472" s="101"/>
      <c r="AI472" s="101"/>
      <c r="AJ472" s="101"/>
      <c r="AK472" s="101"/>
      <c r="AL472" s="101"/>
      <c r="AM472" s="101"/>
      <c r="AN472" s="103"/>
      <c r="AO472" s="103"/>
      <c r="AP472" s="103"/>
      <c r="AQ472" s="103"/>
      <c r="AR472" s="103"/>
      <c r="AS472" s="103"/>
      <c r="AT472" s="103"/>
      <c r="AU472" s="101"/>
      <c r="AV472" s="101"/>
      <c r="AW472" s="101"/>
      <c r="AX472" s="101"/>
      <c r="AY472" s="101"/>
      <c r="AZ472" s="101"/>
      <c r="BA472" s="101"/>
      <c r="BB472" s="103"/>
      <c r="BC472" s="103"/>
      <c r="BD472" s="103"/>
      <c r="BE472" s="101"/>
      <c r="BF472" s="101"/>
      <c r="BG472" s="101"/>
      <c r="BH472" s="101"/>
      <c r="BI472" s="101"/>
      <c r="BM472" s="101"/>
      <c r="BN472" s="101"/>
      <c r="BO472" s="101"/>
      <c r="BP472" s="101"/>
      <c r="BQ472" s="101"/>
      <c r="BR472" s="101"/>
      <c r="BS472" s="101"/>
      <c r="BT472" s="104"/>
      <c r="BU472" s="104"/>
      <c r="BV472" s="104"/>
      <c r="BW472" s="104"/>
      <c r="BX472" s="104"/>
      <c r="BY472" s="104"/>
      <c r="BZ472" s="104"/>
      <c r="CA472" s="104"/>
      <c r="CB472" s="104"/>
      <c r="CC472" s="104"/>
      <c r="CD472" s="104"/>
      <c r="CE472" s="104"/>
      <c r="CF472" s="104"/>
      <c r="CG472" s="104"/>
      <c r="CH472" s="104"/>
      <c r="CI472" s="104"/>
      <c r="CJ472" s="104"/>
      <c r="CK472" s="104"/>
      <c r="CL472" s="104"/>
      <c r="CM472" s="104"/>
      <c r="CN472" s="104"/>
      <c r="CO472" s="104"/>
      <c r="CP472" s="98"/>
      <c r="CR472" s="101"/>
      <c r="CS472" s="101"/>
      <c r="CT472" s="101"/>
      <c r="CU472" s="101"/>
      <c r="CV472" s="101"/>
      <c r="FL472" s="103"/>
      <c r="FN472" s="103"/>
      <c r="FP472" s="103"/>
      <c r="FR472" s="103"/>
    </row>
    <row r="473" spans="2:174" x14ac:dyDescent="0.35">
      <c r="B473" s="97"/>
      <c r="G473" s="100"/>
      <c r="K473" s="98"/>
      <c r="L473" s="101"/>
      <c r="M473" s="101"/>
      <c r="N473" s="101"/>
      <c r="O473" s="101"/>
      <c r="P473" s="102"/>
      <c r="Q473" s="101"/>
      <c r="R473" s="98"/>
      <c r="S473" s="98"/>
      <c r="T473" s="98"/>
      <c r="U473" s="98"/>
      <c r="V473" s="98"/>
      <c r="W473" s="98"/>
      <c r="X473" s="98"/>
      <c r="Y473" s="98"/>
      <c r="Z473" s="103"/>
      <c r="AA473" s="103"/>
      <c r="AB473" s="103"/>
      <c r="AC473" s="103"/>
      <c r="AD473" s="103"/>
      <c r="AE473" s="103"/>
      <c r="AF473" s="103"/>
      <c r="AG473" s="101"/>
      <c r="AH473" s="101"/>
      <c r="AI473" s="101"/>
      <c r="AJ473" s="101"/>
      <c r="AK473" s="101"/>
      <c r="AL473" s="101"/>
      <c r="AM473" s="101"/>
      <c r="AN473" s="103"/>
      <c r="AO473" s="103"/>
      <c r="AP473" s="103"/>
      <c r="AQ473" s="103"/>
      <c r="AR473" s="103"/>
      <c r="AS473" s="103"/>
      <c r="AT473" s="103"/>
      <c r="AU473" s="101"/>
      <c r="AV473" s="101"/>
      <c r="AW473" s="101"/>
      <c r="AX473" s="101"/>
      <c r="AY473" s="101"/>
      <c r="AZ473" s="101"/>
      <c r="BA473" s="101"/>
      <c r="BB473" s="103"/>
      <c r="BC473" s="103"/>
      <c r="BD473" s="103"/>
      <c r="BE473" s="101"/>
      <c r="BF473" s="101"/>
      <c r="BG473" s="101"/>
      <c r="BH473" s="101"/>
      <c r="BI473" s="101"/>
      <c r="BM473" s="101"/>
      <c r="BN473" s="101"/>
      <c r="BO473" s="101"/>
      <c r="BP473" s="101"/>
      <c r="BQ473" s="101"/>
      <c r="BR473" s="101"/>
      <c r="BS473" s="101"/>
      <c r="BT473" s="104"/>
      <c r="BU473" s="104"/>
      <c r="BV473" s="104"/>
      <c r="BW473" s="104"/>
      <c r="BX473" s="104"/>
      <c r="BY473" s="104"/>
      <c r="BZ473" s="104"/>
      <c r="CA473" s="104"/>
      <c r="CB473" s="104"/>
      <c r="CC473" s="104"/>
      <c r="CD473" s="104"/>
      <c r="CE473" s="104"/>
      <c r="CF473" s="104"/>
      <c r="CG473" s="104"/>
      <c r="CH473" s="104"/>
      <c r="CI473" s="104"/>
      <c r="CJ473" s="104"/>
      <c r="CK473" s="104"/>
      <c r="CL473" s="104"/>
      <c r="CM473" s="104"/>
      <c r="CN473" s="104"/>
      <c r="CO473" s="104"/>
      <c r="CP473" s="98"/>
      <c r="CR473" s="101"/>
      <c r="CS473" s="101"/>
      <c r="CT473" s="101"/>
      <c r="CU473" s="101"/>
      <c r="CV473" s="101"/>
      <c r="FL473" s="103"/>
      <c r="FN473" s="103"/>
      <c r="FP473" s="103"/>
      <c r="FR473" s="103"/>
    </row>
    <row r="474" spans="2:174" x14ac:dyDescent="0.35">
      <c r="B474" s="97"/>
      <c r="G474" s="100"/>
      <c r="K474" s="98"/>
      <c r="L474" s="101"/>
      <c r="M474" s="101"/>
      <c r="N474" s="101"/>
      <c r="O474" s="101"/>
      <c r="P474" s="102"/>
      <c r="Q474" s="101"/>
      <c r="R474" s="98"/>
      <c r="S474" s="98"/>
      <c r="T474" s="98"/>
      <c r="U474" s="98"/>
      <c r="V474" s="98"/>
      <c r="W474" s="98"/>
      <c r="X474" s="98"/>
      <c r="Y474" s="98"/>
      <c r="Z474" s="103"/>
      <c r="AA474" s="103"/>
      <c r="AB474" s="103"/>
      <c r="AC474" s="103"/>
      <c r="AD474" s="103"/>
      <c r="AE474" s="103"/>
      <c r="AF474" s="103"/>
      <c r="AG474" s="101"/>
      <c r="AH474" s="101"/>
      <c r="AI474" s="101"/>
      <c r="AJ474" s="101"/>
      <c r="AK474" s="101"/>
      <c r="AL474" s="101"/>
      <c r="AM474" s="101"/>
      <c r="AN474" s="103"/>
      <c r="AO474" s="103"/>
      <c r="AP474" s="103"/>
      <c r="AQ474" s="103"/>
      <c r="AR474" s="103"/>
      <c r="AS474" s="103"/>
      <c r="AT474" s="103"/>
      <c r="AU474" s="101"/>
      <c r="AV474" s="101"/>
      <c r="AW474" s="101"/>
      <c r="AX474" s="101"/>
      <c r="AY474" s="101"/>
      <c r="AZ474" s="101"/>
      <c r="BA474" s="101"/>
      <c r="BB474" s="103"/>
      <c r="BC474" s="103"/>
      <c r="BD474" s="103"/>
      <c r="BE474" s="101"/>
      <c r="BF474" s="101"/>
      <c r="BG474" s="101"/>
      <c r="BH474" s="101"/>
      <c r="BI474" s="101"/>
      <c r="BM474" s="101"/>
      <c r="BN474" s="101"/>
      <c r="BO474" s="101"/>
      <c r="BP474" s="101"/>
      <c r="BQ474" s="101"/>
      <c r="BR474" s="101"/>
      <c r="BS474" s="101"/>
      <c r="BT474" s="104"/>
      <c r="BU474" s="104"/>
      <c r="BV474" s="104"/>
      <c r="BW474" s="104"/>
      <c r="BX474" s="104"/>
      <c r="BY474" s="104"/>
      <c r="BZ474" s="104"/>
      <c r="CA474" s="104"/>
      <c r="CB474" s="104"/>
      <c r="CC474" s="104"/>
      <c r="CD474" s="104"/>
      <c r="CE474" s="104"/>
      <c r="CF474" s="104"/>
      <c r="CG474" s="104"/>
      <c r="CH474" s="104"/>
      <c r="CI474" s="104"/>
      <c r="CJ474" s="104"/>
      <c r="CK474" s="104"/>
      <c r="CL474" s="104"/>
      <c r="CM474" s="104"/>
      <c r="CN474" s="104"/>
      <c r="CO474" s="104"/>
      <c r="CP474" s="98"/>
      <c r="CR474" s="101"/>
      <c r="CS474" s="101"/>
      <c r="CT474" s="101"/>
      <c r="CU474" s="101"/>
      <c r="CV474" s="101"/>
      <c r="FL474" s="103"/>
      <c r="FN474" s="103"/>
      <c r="FP474" s="103"/>
      <c r="FR474" s="103"/>
    </row>
    <row r="475" spans="2:174" x14ac:dyDescent="0.35">
      <c r="B475" s="97"/>
      <c r="G475" s="100"/>
      <c r="K475" s="98"/>
      <c r="L475" s="101"/>
      <c r="M475" s="101"/>
      <c r="N475" s="101"/>
      <c r="O475" s="101"/>
      <c r="P475" s="102"/>
      <c r="Q475" s="101"/>
      <c r="R475" s="98"/>
      <c r="S475" s="98"/>
      <c r="T475" s="98"/>
      <c r="U475" s="98"/>
      <c r="V475" s="98"/>
      <c r="W475" s="98"/>
      <c r="X475" s="98"/>
      <c r="Y475" s="98"/>
      <c r="Z475" s="103"/>
      <c r="AA475" s="103"/>
      <c r="AB475" s="103"/>
      <c r="AC475" s="103"/>
      <c r="AD475" s="103"/>
      <c r="AE475" s="103"/>
      <c r="AF475" s="103"/>
      <c r="AG475" s="101"/>
      <c r="AH475" s="101"/>
      <c r="AI475" s="101"/>
      <c r="AJ475" s="101"/>
      <c r="AK475" s="101"/>
      <c r="AL475" s="101"/>
      <c r="AM475" s="101"/>
      <c r="AN475" s="103"/>
      <c r="AO475" s="103"/>
      <c r="AP475" s="103"/>
      <c r="AQ475" s="103"/>
      <c r="AR475" s="103"/>
      <c r="AS475" s="103"/>
      <c r="AT475" s="103"/>
      <c r="AU475" s="101"/>
      <c r="AV475" s="101"/>
      <c r="AW475" s="101"/>
      <c r="AX475" s="101"/>
      <c r="AY475" s="101"/>
      <c r="AZ475" s="101"/>
      <c r="BA475" s="101"/>
      <c r="BB475" s="103"/>
      <c r="BC475" s="103"/>
      <c r="BD475" s="103"/>
      <c r="BE475" s="101"/>
      <c r="BF475" s="101"/>
      <c r="BG475" s="101"/>
      <c r="BH475" s="101"/>
      <c r="BI475" s="101"/>
      <c r="BM475" s="101"/>
      <c r="BN475" s="101"/>
      <c r="BO475" s="101"/>
      <c r="BP475" s="101"/>
      <c r="BQ475" s="101"/>
      <c r="BR475" s="101"/>
      <c r="BS475" s="101"/>
      <c r="BT475" s="104"/>
      <c r="BU475" s="104"/>
      <c r="BV475" s="104"/>
      <c r="BW475" s="104"/>
      <c r="BX475" s="104"/>
      <c r="BY475" s="104"/>
      <c r="BZ475" s="104"/>
      <c r="CA475" s="104"/>
      <c r="CB475" s="104"/>
      <c r="CC475" s="104"/>
      <c r="CD475" s="104"/>
      <c r="CE475" s="104"/>
      <c r="CF475" s="104"/>
      <c r="CG475" s="104"/>
      <c r="CH475" s="104"/>
      <c r="CI475" s="104"/>
      <c r="CJ475" s="104"/>
      <c r="CK475" s="104"/>
      <c r="CL475" s="104"/>
      <c r="CM475" s="104"/>
      <c r="CN475" s="104"/>
      <c r="CO475" s="104"/>
      <c r="CP475" s="98"/>
      <c r="CR475" s="101"/>
      <c r="CS475" s="101"/>
      <c r="CT475" s="101"/>
      <c r="CU475" s="101"/>
      <c r="CV475" s="101"/>
      <c r="FL475" s="103"/>
      <c r="FN475" s="103"/>
      <c r="FP475" s="103"/>
      <c r="FR475" s="103"/>
    </row>
    <row r="476" spans="2:174" x14ac:dyDescent="0.35">
      <c r="B476" s="97"/>
      <c r="G476" s="100"/>
      <c r="K476" s="98"/>
      <c r="L476" s="101"/>
      <c r="M476" s="101"/>
      <c r="N476" s="101"/>
      <c r="O476" s="101"/>
      <c r="P476" s="102"/>
      <c r="Q476" s="101"/>
      <c r="R476" s="98"/>
      <c r="S476" s="98"/>
      <c r="T476" s="98"/>
      <c r="U476" s="98"/>
      <c r="V476" s="98"/>
      <c r="W476" s="98"/>
      <c r="X476" s="98"/>
      <c r="Y476" s="98"/>
      <c r="Z476" s="103"/>
      <c r="AA476" s="103"/>
      <c r="AB476" s="103"/>
      <c r="AC476" s="103"/>
      <c r="AD476" s="103"/>
      <c r="AE476" s="103"/>
      <c r="AF476" s="103"/>
      <c r="AG476" s="101"/>
      <c r="AH476" s="101"/>
      <c r="AI476" s="101"/>
      <c r="AJ476" s="101"/>
      <c r="AK476" s="101"/>
      <c r="AL476" s="101"/>
      <c r="AM476" s="101"/>
      <c r="AN476" s="103"/>
      <c r="AO476" s="103"/>
      <c r="AP476" s="103"/>
      <c r="AQ476" s="103"/>
      <c r="AR476" s="103"/>
      <c r="AS476" s="103"/>
      <c r="AT476" s="103"/>
      <c r="AU476" s="101"/>
      <c r="AV476" s="101"/>
      <c r="AW476" s="101"/>
      <c r="AX476" s="101"/>
      <c r="AY476" s="101"/>
      <c r="AZ476" s="101"/>
      <c r="BA476" s="101"/>
      <c r="BB476" s="103"/>
      <c r="BC476" s="103"/>
      <c r="BD476" s="103"/>
      <c r="BE476" s="101"/>
      <c r="BF476" s="101"/>
      <c r="BG476" s="101"/>
      <c r="BH476" s="101"/>
      <c r="BI476" s="101"/>
      <c r="BM476" s="101"/>
      <c r="BN476" s="101"/>
      <c r="BO476" s="101"/>
      <c r="BP476" s="101"/>
      <c r="BQ476" s="101"/>
      <c r="BR476" s="101"/>
      <c r="BS476" s="101"/>
      <c r="BT476" s="104"/>
      <c r="BU476" s="104"/>
      <c r="BV476" s="104"/>
      <c r="BW476" s="104"/>
      <c r="BX476" s="104"/>
      <c r="BY476" s="104"/>
      <c r="BZ476" s="104"/>
      <c r="CA476" s="104"/>
      <c r="CB476" s="104"/>
      <c r="CC476" s="104"/>
      <c r="CD476" s="104"/>
      <c r="CE476" s="104"/>
      <c r="CF476" s="104"/>
      <c r="CG476" s="104"/>
      <c r="CH476" s="104"/>
      <c r="CI476" s="104"/>
      <c r="CJ476" s="104"/>
      <c r="CK476" s="104"/>
      <c r="CL476" s="104"/>
      <c r="CM476" s="104"/>
      <c r="CN476" s="104"/>
      <c r="CO476" s="104"/>
      <c r="CP476" s="98"/>
      <c r="CR476" s="101"/>
      <c r="CS476" s="101"/>
      <c r="CT476" s="101"/>
      <c r="CU476" s="101"/>
      <c r="CV476" s="101"/>
      <c r="FL476" s="103"/>
      <c r="FN476" s="103"/>
      <c r="FP476" s="103"/>
      <c r="FR476" s="103"/>
    </row>
    <row r="477" spans="2:174" x14ac:dyDescent="0.35">
      <c r="B477" s="97"/>
      <c r="G477" s="100"/>
      <c r="K477" s="98"/>
      <c r="L477" s="101"/>
      <c r="M477" s="101"/>
      <c r="N477" s="101"/>
      <c r="O477" s="101"/>
      <c r="P477" s="102"/>
      <c r="Q477" s="101"/>
      <c r="R477" s="98"/>
      <c r="S477" s="98"/>
      <c r="T477" s="98"/>
      <c r="U477" s="98"/>
      <c r="V477" s="98"/>
      <c r="W477" s="98"/>
      <c r="X477" s="98"/>
      <c r="Y477" s="98"/>
      <c r="Z477" s="103"/>
      <c r="AA477" s="103"/>
      <c r="AB477" s="103"/>
      <c r="AC477" s="103"/>
      <c r="AD477" s="103"/>
      <c r="AE477" s="103"/>
      <c r="AF477" s="103"/>
      <c r="AG477" s="101"/>
      <c r="AH477" s="101"/>
      <c r="AI477" s="101"/>
      <c r="AJ477" s="101"/>
      <c r="AK477" s="101"/>
      <c r="AL477" s="101"/>
      <c r="AM477" s="101"/>
      <c r="AN477" s="103"/>
      <c r="AO477" s="103"/>
      <c r="AP477" s="103"/>
      <c r="AQ477" s="103"/>
      <c r="AR477" s="103"/>
      <c r="AS477" s="103"/>
      <c r="AT477" s="103"/>
      <c r="AU477" s="101"/>
      <c r="AV477" s="101"/>
      <c r="AW477" s="101"/>
      <c r="AX477" s="101"/>
      <c r="AY477" s="101"/>
      <c r="AZ477" s="101"/>
      <c r="BA477" s="101"/>
      <c r="BB477" s="103"/>
      <c r="BC477" s="103"/>
      <c r="BD477" s="103"/>
      <c r="BE477" s="101"/>
      <c r="BF477" s="101"/>
      <c r="BG477" s="101"/>
      <c r="BH477" s="101"/>
      <c r="BI477" s="101"/>
      <c r="BM477" s="101"/>
      <c r="BN477" s="101"/>
      <c r="BO477" s="101"/>
      <c r="BP477" s="101"/>
      <c r="BQ477" s="101"/>
      <c r="BR477" s="101"/>
      <c r="BS477" s="101"/>
      <c r="BT477" s="104"/>
      <c r="BU477" s="104"/>
      <c r="BV477" s="104"/>
      <c r="BW477" s="104"/>
      <c r="BX477" s="104"/>
      <c r="BY477" s="104"/>
      <c r="BZ477" s="104"/>
      <c r="CA477" s="104"/>
      <c r="CB477" s="104"/>
      <c r="CC477" s="104"/>
      <c r="CD477" s="104"/>
      <c r="CE477" s="104"/>
      <c r="CF477" s="104"/>
      <c r="CG477" s="104"/>
      <c r="CH477" s="104"/>
      <c r="CI477" s="104"/>
      <c r="CJ477" s="104"/>
      <c r="CK477" s="104"/>
      <c r="CL477" s="104"/>
      <c r="CM477" s="104"/>
      <c r="CN477" s="104"/>
      <c r="CO477" s="104"/>
      <c r="CP477" s="98"/>
      <c r="CR477" s="101"/>
      <c r="CS477" s="101"/>
      <c r="CT477" s="101"/>
      <c r="CU477" s="101"/>
      <c r="CV477" s="101"/>
      <c r="FL477" s="103"/>
      <c r="FN477" s="103"/>
      <c r="FP477" s="103"/>
      <c r="FR477" s="103"/>
    </row>
    <row r="478" spans="2:174" x14ac:dyDescent="0.35">
      <c r="B478" s="97"/>
      <c r="G478" s="100"/>
      <c r="K478" s="98"/>
      <c r="L478" s="101"/>
      <c r="M478" s="101"/>
      <c r="N478" s="101"/>
      <c r="O478" s="101"/>
      <c r="P478" s="102"/>
      <c r="Q478" s="101"/>
      <c r="R478" s="98"/>
      <c r="S478" s="98"/>
      <c r="T478" s="98"/>
      <c r="U478" s="98"/>
      <c r="V478" s="98"/>
      <c r="W478" s="98"/>
      <c r="X478" s="98"/>
      <c r="Y478" s="98"/>
      <c r="Z478" s="103"/>
      <c r="AA478" s="103"/>
      <c r="AB478" s="103"/>
      <c r="AC478" s="103"/>
      <c r="AD478" s="103"/>
      <c r="AE478" s="103"/>
      <c r="AF478" s="103"/>
      <c r="AG478" s="101"/>
      <c r="AH478" s="101"/>
      <c r="AI478" s="101"/>
      <c r="AJ478" s="101"/>
      <c r="AK478" s="101"/>
      <c r="AL478" s="101"/>
      <c r="AM478" s="101"/>
      <c r="AN478" s="103"/>
      <c r="AO478" s="103"/>
      <c r="AP478" s="103"/>
      <c r="AQ478" s="103"/>
      <c r="AR478" s="103"/>
      <c r="AS478" s="103"/>
      <c r="AT478" s="103"/>
      <c r="AU478" s="101"/>
      <c r="AV478" s="101"/>
      <c r="AW478" s="101"/>
      <c r="AX478" s="101"/>
      <c r="AY478" s="101"/>
      <c r="AZ478" s="101"/>
      <c r="BA478" s="101"/>
      <c r="BB478" s="103"/>
      <c r="BC478" s="103"/>
      <c r="BD478" s="103"/>
      <c r="BE478" s="101"/>
      <c r="BF478" s="101"/>
      <c r="BG478" s="101"/>
      <c r="BH478" s="101"/>
      <c r="BI478" s="101"/>
      <c r="BM478" s="101"/>
      <c r="BN478" s="101"/>
      <c r="BO478" s="101"/>
      <c r="BP478" s="101"/>
      <c r="BQ478" s="101"/>
      <c r="BR478" s="101"/>
      <c r="BS478" s="101"/>
      <c r="BT478" s="104"/>
      <c r="BU478" s="104"/>
      <c r="BV478" s="104"/>
      <c r="BW478" s="104"/>
      <c r="BX478" s="104"/>
      <c r="BY478" s="104"/>
      <c r="BZ478" s="104"/>
      <c r="CA478" s="104"/>
      <c r="CB478" s="104"/>
      <c r="CC478" s="104"/>
      <c r="CD478" s="104"/>
      <c r="CE478" s="104"/>
      <c r="CF478" s="104"/>
      <c r="CG478" s="104"/>
      <c r="CH478" s="104"/>
      <c r="CI478" s="104"/>
      <c r="CJ478" s="104"/>
      <c r="CK478" s="104"/>
      <c r="CL478" s="104"/>
      <c r="CM478" s="104"/>
      <c r="CN478" s="104"/>
      <c r="CO478" s="104"/>
      <c r="CP478" s="98"/>
      <c r="CR478" s="101"/>
      <c r="CS478" s="101"/>
      <c r="CT478" s="101"/>
      <c r="CU478" s="101"/>
      <c r="CV478" s="101"/>
      <c r="FL478" s="103"/>
      <c r="FN478" s="103"/>
      <c r="FP478" s="103"/>
      <c r="FR478" s="103"/>
    </row>
    <row r="479" spans="2:174" x14ac:dyDescent="0.35">
      <c r="B479" s="97"/>
      <c r="G479" s="100"/>
      <c r="K479" s="98"/>
      <c r="L479" s="101"/>
      <c r="M479" s="101"/>
      <c r="N479" s="101"/>
      <c r="O479" s="101"/>
      <c r="P479" s="102"/>
      <c r="Q479" s="101"/>
      <c r="R479" s="98"/>
      <c r="S479" s="98"/>
      <c r="T479" s="98"/>
      <c r="U479" s="98"/>
      <c r="V479" s="98"/>
      <c r="W479" s="98"/>
      <c r="X479" s="98"/>
      <c r="Y479" s="98"/>
      <c r="Z479" s="103"/>
      <c r="AA479" s="103"/>
      <c r="AB479" s="103"/>
      <c r="AC479" s="103"/>
      <c r="AD479" s="103"/>
      <c r="AE479" s="103"/>
      <c r="AF479" s="103"/>
      <c r="AG479" s="101"/>
      <c r="AH479" s="101"/>
      <c r="AI479" s="101"/>
      <c r="AJ479" s="101"/>
      <c r="AK479" s="101"/>
      <c r="AL479" s="101"/>
      <c r="AM479" s="101"/>
      <c r="AN479" s="103"/>
      <c r="AO479" s="103"/>
      <c r="AP479" s="103"/>
      <c r="AQ479" s="103"/>
      <c r="AR479" s="103"/>
      <c r="AS479" s="103"/>
      <c r="AT479" s="103"/>
      <c r="AU479" s="101"/>
      <c r="AV479" s="101"/>
      <c r="AW479" s="101"/>
      <c r="AX479" s="101"/>
      <c r="AY479" s="101"/>
      <c r="AZ479" s="101"/>
      <c r="BA479" s="101"/>
      <c r="BB479" s="103"/>
      <c r="BC479" s="103"/>
      <c r="BD479" s="103"/>
      <c r="BE479" s="101"/>
      <c r="BF479" s="101"/>
      <c r="BG479" s="101"/>
      <c r="BH479" s="101"/>
      <c r="BI479" s="101"/>
      <c r="BM479" s="101"/>
      <c r="BN479" s="101"/>
      <c r="BO479" s="101"/>
      <c r="BP479" s="101"/>
      <c r="BQ479" s="101"/>
      <c r="BR479" s="101"/>
      <c r="BS479" s="101"/>
      <c r="BT479" s="104"/>
      <c r="BU479" s="104"/>
      <c r="BV479" s="104"/>
      <c r="BW479" s="104"/>
      <c r="BX479" s="104"/>
      <c r="BY479" s="104"/>
      <c r="BZ479" s="104"/>
      <c r="CA479" s="104"/>
      <c r="CB479" s="104"/>
      <c r="CC479" s="104"/>
      <c r="CD479" s="104"/>
      <c r="CE479" s="104"/>
      <c r="CF479" s="104"/>
      <c r="CG479" s="104"/>
      <c r="CH479" s="104"/>
      <c r="CI479" s="104"/>
      <c r="CJ479" s="104"/>
      <c r="CK479" s="104"/>
      <c r="CL479" s="104"/>
      <c r="CM479" s="104"/>
      <c r="CN479" s="104"/>
      <c r="CO479" s="104"/>
      <c r="CP479" s="98"/>
      <c r="CR479" s="101"/>
      <c r="CS479" s="101"/>
      <c r="CT479" s="101"/>
      <c r="CU479" s="101"/>
      <c r="CV479" s="101"/>
      <c r="FL479" s="103"/>
      <c r="FN479" s="103"/>
      <c r="FP479" s="103"/>
      <c r="FR479" s="103"/>
    </row>
    <row r="480" spans="2:174" x14ac:dyDescent="0.35">
      <c r="B480" s="97"/>
      <c r="G480" s="100"/>
      <c r="K480" s="98"/>
      <c r="L480" s="101"/>
      <c r="M480" s="101"/>
      <c r="N480" s="101"/>
      <c r="O480" s="101"/>
      <c r="P480" s="102"/>
      <c r="Q480" s="101"/>
      <c r="R480" s="98"/>
      <c r="S480" s="98"/>
      <c r="T480" s="98"/>
      <c r="U480" s="98"/>
      <c r="V480" s="98"/>
      <c r="W480" s="98"/>
      <c r="X480" s="98"/>
      <c r="Y480" s="98"/>
      <c r="Z480" s="103"/>
      <c r="AA480" s="103"/>
      <c r="AB480" s="103"/>
      <c r="AC480" s="103"/>
      <c r="AD480" s="103"/>
      <c r="AE480" s="103"/>
      <c r="AF480" s="103"/>
      <c r="AG480" s="101"/>
      <c r="AH480" s="101"/>
      <c r="AI480" s="101"/>
      <c r="AJ480" s="101"/>
      <c r="AK480" s="101"/>
      <c r="AL480" s="101"/>
      <c r="AM480" s="101"/>
      <c r="AN480" s="103"/>
      <c r="AO480" s="103"/>
      <c r="AP480" s="103"/>
      <c r="AQ480" s="103"/>
      <c r="AR480" s="103"/>
      <c r="AS480" s="103"/>
      <c r="AT480" s="103"/>
      <c r="AU480" s="101"/>
      <c r="AV480" s="101"/>
      <c r="AW480" s="101"/>
      <c r="AX480" s="101"/>
      <c r="AY480" s="101"/>
      <c r="AZ480" s="101"/>
      <c r="BA480" s="101"/>
      <c r="BB480" s="103"/>
      <c r="BC480" s="103"/>
      <c r="BD480" s="103"/>
      <c r="BE480" s="101"/>
      <c r="BF480" s="101"/>
      <c r="BG480" s="101"/>
      <c r="BH480" s="101"/>
      <c r="BI480" s="101"/>
      <c r="BM480" s="101"/>
      <c r="BN480" s="101"/>
      <c r="BO480" s="101"/>
      <c r="BP480" s="101"/>
      <c r="BQ480" s="101"/>
      <c r="BR480" s="101"/>
      <c r="BS480" s="101"/>
      <c r="BT480" s="104"/>
      <c r="BU480" s="104"/>
      <c r="BV480" s="104"/>
      <c r="BW480" s="104"/>
      <c r="BX480" s="104"/>
      <c r="BY480" s="104"/>
      <c r="BZ480" s="104"/>
      <c r="CA480" s="104"/>
      <c r="CB480" s="104"/>
      <c r="CC480" s="104"/>
      <c r="CD480" s="104"/>
      <c r="CE480" s="104"/>
      <c r="CF480" s="104"/>
      <c r="CG480" s="104"/>
      <c r="CH480" s="104"/>
      <c r="CI480" s="104"/>
      <c r="CJ480" s="104"/>
      <c r="CK480" s="104"/>
      <c r="CL480" s="104"/>
      <c r="CM480" s="104"/>
      <c r="CN480" s="104"/>
      <c r="CO480" s="104"/>
      <c r="CP480" s="98"/>
      <c r="CR480" s="101"/>
      <c r="CS480" s="101"/>
      <c r="CT480" s="101"/>
      <c r="CU480" s="101"/>
      <c r="CV480" s="101"/>
      <c r="FL480" s="103"/>
      <c r="FN480" s="103"/>
      <c r="FP480" s="103"/>
      <c r="FR480" s="103"/>
    </row>
    <row r="481" spans="2:174" x14ac:dyDescent="0.35">
      <c r="B481" s="97"/>
      <c r="G481" s="100"/>
      <c r="K481" s="98"/>
      <c r="L481" s="101"/>
      <c r="M481" s="101"/>
      <c r="N481" s="101"/>
      <c r="O481" s="101"/>
      <c r="P481" s="102"/>
      <c r="Q481" s="101"/>
      <c r="R481" s="98"/>
      <c r="S481" s="98"/>
      <c r="T481" s="98"/>
      <c r="U481" s="98"/>
      <c r="V481" s="98"/>
      <c r="W481" s="98"/>
      <c r="X481" s="98"/>
      <c r="Y481" s="98"/>
      <c r="Z481" s="103"/>
      <c r="AA481" s="103"/>
      <c r="AB481" s="103"/>
      <c r="AC481" s="103"/>
      <c r="AD481" s="103"/>
      <c r="AE481" s="103"/>
      <c r="AF481" s="103"/>
      <c r="AG481" s="101"/>
      <c r="AH481" s="101"/>
      <c r="AI481" s="101"/>
      <c r="AJ481" s="101"/>
      <c r="AK481" s="101"/>
      <c r="AL481" s="101"/>
      <c r="AM481" s="101"/>
      <c r="AN481" s="103"/>
      <c r="AO481" s="103"/>
      <c r="AP481" s="103"/>
      <c r="AQ481" s="103"/>
      <c r="AR481" s="103"/>
      <c r="AS481" s="103"/>
      <c r="AT481" s="103"/>
      <c r="AU481" s="101"/>
      <c r="AV481" s="101"/>
      <c r="AW481" s="101"/>
      <c r="AX481" s="101"/>
      <c r="AY481" s="101"/>
      <c r="AZ481" s="101"/>
      <c r="BA481" s="101"/>
      <c r="BB481" s="103"/>
      <c r="BC481" s="103"/>
      <c r="BD481" s="103"/>
      <c r="BE481" s="101"/>
      <c r="BF481" s="101"/>
      <c r="BG481" s="101"/>
      <c r="BH481" s="101"/>
      <c r="BI481" s="101"/>
      <c r="BM481" s="101"/>
      <c r="BN481" s="101"/>
      <c r="BO481" s="101"/>
      <c r="BP481" s="101"/>
      <c r="BQ481" s="101"/>
      <c r="BR481" s="101"/>
      <c r="BS481" s="101"/>
      <c r="BT481" s="104"/>
      <c r="BU481" s="104"/>
      <c r="BV481" s="104"/>
      <c r="BW481" s="104"/>
      <c r="BX481" s="104"/>
      <c r="BY481" s="104"/>
      <c r="BZ481" s="104"/>
      <c r="CA481" s="104"/>
      <c r="CB481" s="104"/>
      <c r="CC481" s="104"/>
      <c r="CD481" s="104"/>
      <c r="CE481" s="104"/>
      <c r="CF481" s="104"/>
      <c r="CG481" s="104"/>
      <c r="CH481" s="104"/>
      <c r="CI481" s="104"/>
      <c r="CJ481" s="104"/>
      <c r="CK481" s="104"/>
      <c r="CL481" s="104"/>
      <c r="CM481" s="104"/>
      <c r="CN481" s="104"/>
      <c r="CO481" s="104"/>
      <c r="CP481" s="98"/>
      <c r="CR481" s="101"/>
      <c r="CS481" s="101"/>
      <c r="CT481" s="101"/>
      <c r="CU481" s="101"/>
      <c r="CV481" s="101"/>
      <c r="FL481" s="103"/>
      <c r="FN481" s="103"/>
      <c r="FP481" s="103"/>
      <c r="FR481" s="103"/>
    </row>
    <row r="482" spans="2:174" x14ac:dyDescent="0.35">
      <c r="B482" s="97"/>
      <c r="G482" s="100"/>
      <c r="K482" s="98"/>
      <c r="L482" s="101"/>
      <c r="M482" s="101"/>
      <c r="N482" s="101"/>
      <c r="O482" s="101"/>
      <c r="P482" s="102"/>
      <c r="Q482" s="101"/>
      <c r="R482" s="98"/>
      <c r="S482" s="98"/>
      <c r="T482" s="98"/>
      <c r="U482" s="98"/>
      <c r="V482" s="98"/>
      <c r="W482" s="98"/>
      <c r="X482" s="98"/>
      <c r="Y482" s="98"/>
      <c r="Z482" s="103"/>
      <c r="AA482" s="103"/>
      <c r="AB482" s="103"/>
      <c r="AC482" s="103"/>
      <c r="AD482" s="103"/>
      <c r="AE482" s="103"/>
      <c r="AF482" s="103"/>
      <c r="AG482" s="101"/>
      <c r="AH482" s="101"/>
      <c r="AI482" s="101"/>
      <c r="AJ482" s="101"/>
      <c r="AK482" s="101"/>
      <c r="AL482" s="101"/>
      <c r="AM482" s="101"/>
      <c r="AN482" s="103"/>
      <c r="AO482" s="103"/>
      <c r="AP482" s="103"/>
      <c r="AQ482" s="103"/>
      <c r="AR482" s="103"/>
      <c r="AS482" s="103"/>
      <c r="AT482" s="103"/>
      <c r="AU482" s="101"/>
      <c r="AV482" s="101"/>
      <c r="AW482" s="101"/>
      <c r="AX482" s="101"/>
      <c r="AY482" s="101"/>
      <c r="AZ482" s="101"/>
      <c r="BA482" s="101"/>
      <c r="BB482" s="103"/>
      <c r="BC482" s="103"/>
      <c r="BD482" s="103"/>
      <c r="BE482" s="101"/>
      <c r="BF482" s="101"/>
      <c r="BG482" s="101"/>
      <c r="BH482" s="101"/>
      <c r="BI482" s="101"/>
      <c r="BM482" s="101"/>
      <c r="BN482" s="101"/>
      <c r="BO482" s="101"/>
      <c r="BP482" s="101"/>
      <c r="BQ482" s="101"/>
      <c r="BR482" s="101"/>
      <c r="BS482" s="101"/>
      <c r="BT482" s="104"/>
      <c r="BU482" s="104"/>
      <c r="BV482" s="104"/>
      <c r="BW482" s="104"/>
      <c r="BX482" s="104"/>
      <c r="BY482" s="104"/>
      <c r="BZ482" s="104"/>
      <c r="CA482" s="104"/>
      <c r="CB482" s="104"/>
      <c r="CC482" s="104"/>
      <c r="CD482" s="104"/>
      <c r="CE482" s="104"/>
      <c r="CF482" s="104"/>
      <c r="CG482" s="104"/>
      <c r="CH482" s="104"/>
      <c r="CI482" s="104"/>
      <c r="CJ482" s="104"/>
      <c r="CK482" s="104"/>
      <c r="CL482" s="104"/>
      <c r="CM482" s="104"/>
      <c r="CN482" s="104"/>
      <c r="CO482" s="104"/>
      <c r="CP482" s="98"/>
      <c r="CR482" s="101"/>
      <c r="CS482" s="101"/>
      <c r="CT482" s="101"/>
      <c r="CU482" s="101"/>
      <c r="CV482" s="101"/>
      <c r="FL482" s="103"/>
      <c r="FN482" s="103"/>
      <c r="FP482" s="103"/>
      <c r="FR482" s="103"/>
    </row>
    <row r="483" spans="2:174" x14ac:dyDescent="0.35">
      <c r="B483" s="97"/>
      <c r="G483" s="100"/>
      <c r="K483" s="98"/>
      <c r="L483" s="101"/>
      <c r="M483" s="101"/>
      <c r="N483" s="101"/>
      <c r="O483" s="101"/>
      <c r="P483" s="102"/>
      <c r="Q483" s="101"/>
      <c r="R483" s="98"/>
      <c r="S483" s="98"/>
      <c r="T483" s="98"/>
      <c r="U483" s="98"/>
      <c r="V483" s="98"/>
      <c r="W483" s="98"/>
      <c r="X483" s="98"/>
      <c r="Y483" s="98"/>
      <c r="Z483" s="103"/>
      <c r="AA483" s="103"/>
      <c r="AB483" s="103"/>
      <c r="AC483" s="103"/>
      <c r="AD483" s="103"/>
      <c r="AE483" s="103"/>
      <c r="AF483" s="103"/>
      <c r="AG483" s="101"/>
      <c r="AH483" s="101"/>
      <c r="AI483" s="101"/>
      <c r="AJ483" s="101"/>
      <c r="AK483" s="101"/>
      <c r="AL483" s="101"/>
      <c r="AM483" s="101"/>
      <c r="AN483" s="103"/>
      <c r="AO483" s="103"/>
      <c r="AP483" s="103"/>
      <c r="AQ483" s="103"/>
      <c r="AR483" s="103"/>
      <c r="AS483" s="103"/>
      <c r="AT483" s="103"/>
      <c r="AU483" s="101"/>
      <c r="AV483" s="101"/>
      <c r="AW483" s="101"/>
      <c r="AX483" s="101"/>
      <c r="AY483" s="101"/>
      <c r="AZ483" s="101"/>
      <c r="BA483" s="101"/>
      <c r="BB483" s="103"/>
      <c r="BC483" s="103"/>
      <c r="BD483" s="103"/>
      <c r="BE483" s="101"/>
      <c r="BF483" s="101"/>
      <c r="BG483" s="101"/>
      <c r="BH483" s="101"/>
      <c r="BI483" s="101"/>
      <c r="BM483" s="101"/>
      <c r="BN483" s="101"/>
      <c r="BO483" s="101"/>
      <c r="BP483" s="101"/>
      <c r="BQ483" s="101"/>
      <c r="BR483" s="101"/>
      <c r="BS483" s="101"/>
      <c r="BT483" s="104"/>
      <c r="BU483" s="104"/>
      <c r="BV483" s="104"/>
      <c r="BW483" s="104"/>
      <c r="BX483" s="104"/>
      <c r="BY483" s="104"/>
      <c r="BZ483" s="104"/>
      <c r="CA483" s="104"/>
      <c r="CB483" s="104"/>
      <c r="CC483" s="104"/>
      <c r="CD483" s="104"/>
      <c r="CE483" s="104"/>
      <c r="CF483" s="104"/>
      <c r="CG483" s="104"/>
      <c r="CH483" s="104"/>
      <c r="CI483" s="104"/>
      <c r="CJ483" s="104"/>
      <c r="CK483" s="104"/>
      <c r="CL483" s="104"/>
      <c r="CM483" s="104"/>
      <c r="CN483" s="104"/>
      <c r="CO483" s="104"/>
      <c r="CP483" s="98"/>
      <c r="CR483" s="101"/>
      <c r="CS483" s="101"/>
      <c r="CT483" s="101"/>
      <c r="CU483" s="101"/>
      <c r="CV483" s="101"/>
      <c r="FL483" s="103"/>
      <c r="FN483" s="103"/>
      <c r="FP483" s="103"/>
      <c r="FR483" s="103"/>
    </row>
    <row r="484" spans="2:174" x14ac:dyDescent="0.35">
      <c r="B484" s="97"/>
      <c r="G484" s="100"/>
      <c r="K484" s="98"/>
      <c r="L484" s="101"/>
      <c r="M484" s="101"/>
      <c r="N484" s="101"/>
      <c r="O484" s="101"/>
      <c r="P484" s="102"/>
      <c r="Q484" s="101"/>
      <c r="R484" s="98"/>
      <c r="S484" s="98"/>
      <c r="T484" s="98"/>
      <c r="U484" s="98"/>
      <c r="V484" s="98"/>
      <c r="W484" s="98"/>
      <c r="X484" s="98"/>
      <c r="Y484" s="98"/>
      <c r="Z484" s="103"/>
      <c r="AA484" s="103"/>
      <c r="AB484" s="103"/>
      <c r="AC484" s="103"/>
      <c r="AD484" s="103"/>
      <c r="AE484" s="103"/>
      <c r="AF484" s="103"/>
      <c r="AG484" s="101"/>
      <c r="AH484" s="101"/>
      <c r="AI484" s="101"/>
      <c r="AJ484" s="101"/>
      <c r="AK484" s="101"/>
      <c r="AL484" s="101"/>
      <c r="AM484" s="101"/>
      <c r="AN484" s="103"/>
      <c r="AO484" s="103"/>
      <c r="AP484" s="103"/>
      <c r="AQ484" s="103"/>
      <c r="AR484" s="103"/>
      <c r="AS484" s="103"/>
      <c r="AT484" s="103"/>
      <c r="AU484" s="101"/>
      <c r="AV484" s="101"/>
      <c r="AW484" s="101"/>
      <c r="AX484" s="101"/>
      <c r="AY484" s="101"/>
      <c r="AZ484" s="101"/>
      <c r="BA484" s="101"/>
      <c r="BB484" s="103"/>
      <c r="BC484" s="103"/>
      <c r="BD484" s="103"/>
      <c r="BE484" s="101"/>
      <c r="BF484" s="101"/>
      <c r="BG484" s="101"/>
      <c r="BH484" s="101"/>
      <c r="BI484" s="101"/>
      <c r="BM484" s="101"/>
      <c r="BN484" s="101"/>
      <c r="BO484" s="101"/>
      <c r="BP484" s="101"/>
      <c r="BQ484" s="101"/>
      <c r="BR484" s="101"/>
      <c r="BS484" s="101"/>
      <c r="BT484" s="104"/>
      <c r="BU484" s="104"/>
      <c r="BV484" s="104"/>
      <c r="BW484" s="104"/>
      <c r="BX484" s="104"/>
      <c r="BY484" s="104"/>
      <c r="BZ484" s="104"/>
      <c r="CA484" s="104"/>
      <c r="CB484" s="104"/>
      <c r="CC484" s="104"/>
      <c r="CD484" s="104"/>
      <c r="CE484" s="104"/>
      <c r="CF484" s="104"/>
      <c r="CG484" s="104"/>
      <c r="CH484" s="104"/>
      <c r="CI484" s="104"/>
      <c r="CJ484" s="104"/>
      <c r="CK484" s="104"/>
      <c r="CL484" s="104"/>
      <c r="CM484" s="104"/>
      <c r="CN484" s="104"/>
      <c r="CO484" s="104"/>
      <c r="CP484" s="98"/>
      <c r="CR484" s="101"/>
      <c r="CS484" s="101"/>
      <c r="CT484" s="101"/>
      <c r="CU484" s="101"/>
      <c r="CV484" s="101"/>
      <c r="FL484" s="103"/>
      <c r="FN484" s="103"/>
      <c r="FP484" s="103"/>
      <c r="FR484" s="103"/>
    </row>
    <row r="485" spans="2:174" x14ac:dyDescent="0.35">
      <c r="B485" s="97"/>
      <c r="G485" s="100"/>
      <c r="K485" s="98"/>
      <c r="L485" s="101"/>
      <c r="M485" s="101"/>
      <c r="N485" s="101"/>
      <c r="O485" s="101"/>
      <c r="P485" s="102"/>
      <c r="Q485" s="101"/>
      <c r="R485" s="98"/>
      <c r="S485" s="98"/>
      <c r="T485" s="98"/>
      <c r="U485" s="98"/>
      <c r="V485" s="98"/>
      <c r="W485" s="98"/>
      <c r="X485" s="98"/>
      <c r="Y485" s="98"/>
      <c r="Z485" s="103"/>
      <c r="AA485" s="103"/>
      <c r="AB485" s="103"/>
      <c r="AC485" s="103"/>
      <c r="AD485" s="103"/>
      <c r="AE485" s="103"/>
      <c r="AF485" s="103"/>
      <c r="AG485" s="101"/>
      <c r="AH485" s="101"/>
      <c r="AI485" s="101"/>
      <c r="AJ485" s="101"/>
      <c r="AK485" s="101"/>
      <c r="AL485" s="101"/>
      <c r="AM485" s="101"/>
      <c r="AN485" s="103"/>
      <c r="AO485" s="103"/>
      <c r="AP485" s="103"/>
      <c r="AQ485" s="103"/>
      <c r="AR485" s="103"/>
      <c r="AS485" s="103"/>
      <c r="AT485" s="103"/>
      <c r="AU485" s="101"/>
      <c r="AV485" s="101"/>
      <c r="AW485" s="101"/>
      <c r="AX485" s="101"/>
      <c r="AY485" s="101"/>
      <c r="AZ485" s="101"/>
      <c r="BA485" s="101"/>
      <c r="BB485" s="103"/>
      <c r="BC485" s="103"/>
      <c r="BD485" s="103"/>
      <c r="BE485" s="101"/>
      <c r="BF485" s="101"/>
      <c r="BG485" s="101"/>
      <c r="BH485" s="101"/>
      <c r="BI485" s="101"/>
      <c r="BM485" s="101"/>
      <c r="BN485" s="101"/>
      <c r="BO485" s="101"/>
      <c r="BP485" s="101"/>
      <c r="BQ485" s="101"/>
      <c r="BR485" s="101"/>
      <c r="BS485" s="101"/>
      <c r="BT485" s="104"/>
      <c r="BU485" s="104"/>
      <c r="BV485" s="104"/>
      <c r="BW485" s="104"/>
      <c r="BX485" s="104"/>
      <c r="BY485" s="104"/>
      <c r="BZ485" s="104"/>
      <c r="CA485" s="104"/>
      <c r="CB485" s="104"/>
      <c r="CC485" s="104"/>
      <c r="CD485" s="104"/>
      <c r="CE485" s="104"/>
      <c r="CF485" s="104"/>
      <c r="CG485" s="104"/>
      <c r="CH485" s="104"/>
      <c r="CI485" s="104"/>
      <c r="CJ485" s="104"/>
      <c r="CK485" s="104"/>
      <c r="CL485" s="104"/>
      <c r="CM485" s="104"/>
      <c r="CN485" s="104"/>
      <c r="CO485" s="104"/>
      <c r="CP485" s="98"/>
      <c r="CR485" s="101"/>
      <c r="CS485" s="101"/>
      <c r="CT485" s="101"/>
      <c r="CU485" s="101"/>
      <c r="CV485" s="101"/>
      <c r="FL485" s="103"/>
      <c r="FN485" s="103"/>
      <c r="FP485" s="103"/>
      <c r="FR485" s="103"/>
    </row>
    <row r="486" spans="2:174" x14ac:dyDescent="0.35">
      <c r="B486" s="97"/>
      <c r="G486" s="100"/>
      <c r="K486" s="98"/>
      <c r="L486" s="101"/>
      <c r="M486" s="101"/>
      <c r="N486" s="101"/>
      <c r="O486" s="101"/>
      <c r="P486" s="102"/>
      <c r="Q486" s="101"/>
      <c r="R486" s="98"/>
      <c r="S486" s="98"/>
      <c r="T486" s="98"/>
      <c r="U486" s="98"/>
      <c r="V486" s="98"/>
      <c r="W486" s="98"/>
      <c r="X486" s="98"/>
      <c r="Y486" s="98"/>
      <c r="Z486" s="103"/>
      <c r="AA486" s="103"/>
      <c r="AB486" s="103"/>
      <c r="AC486" s="103"/>
      <c r="AD486" s="103"/>
      <c r="AE486" s="103"/>
      <c r="AF486" s="103"/>
      <c r="AG486" s="101"/>
      <c r="AH486" s="101"/>
      <c r="AI486" s="101"/>
      <c r="AJ486" s="101"/>
      <c r="AK486" s="101"/>
      <c r="AL486" s="101"/>
      <c r="AM486" s="101"/>
      <c r="AN486" s="103"/>
      <c r="AO486" s="103"/>
      <c r="AP486" s="103"/>
      <c r="AQ486" s="103"/>
      <c r="AR486" s="103"/>
      <c r="AS486" s="103"/>
      <c r="AT486" s="103"/>
      <c r="AU486" s="101"/>
      <c r="AV486" s="101"/>
      <c r="AW486" s="101"/>
      <c r="AX486" s="101"/>
      <c r="AY486" s="101"/>
      <c r="AZ486" s="101"/>
      <c r="BA486" s="101"/>
      <c r="BB486" s="103"/>
      <c r="BC486" s="103"/>
      <c r="BD486" s="103"/>
      <c r="BE486" s="101"/>
      <c r="BF486" s="101"/>
      <c r="BG486" s="101"/>
      <c r="BH486" s="101"/>
      <c r="BI486" s="101"/>
      <c r="BM486" s="101"/>
      <c r="BN486" s="101"/>
      <c r="BO486" s="101"/>
      <c r="BP486" s="101"/>
      <c r="BQ486" s="101"/>
      <c r="BR486" s="101"/>
      <c r="BS486" s="101"/>
      <c r="BT486" s="104"/>
      <c r="BU486" s="104"/>
      <c r="BV486" s="104"/>
      <c r="BW486" s="104"/>
      <c r="BX486" s="104"/>
      <c r="BY486" s="104"/>
      <c r="BZ486" s="104"/>
      <c r="CA486" s="104"/>
      <c r="CB486" s="104"/>
      <c r="CC486" s="104"/>
      <c r="CD486" s="104"/>
      <c r="CE486" s="104"/>
      <c r="CF486" s="104"/>
      <c r="CG486" s="104"/>
      <c r="CH486" s="104"/>
      <c r="CI486" s="104"/>
      <c r="CJ486" s="104"/>
      <c r="CK486" s="104"/>
      <c r="CL486" s="104"/>
      <c r="CM486" s="104"/>
      <c r="CN486" s="104"/>
      <c r="CO486" s="104"/>
      <c r="CP486" s="98"/>
      <c r="CR486" s="101"/>
      <c r="CS486" s="101"/>
      <c r="CT486" s="101"/>
      <c r="CU486" s="101"/>
      <c r="CV486" s="101"/>
      <c r="FL486" s="103"/>
      <c r="FN486" s="103"/>
      <c r="FP486" s="103"/>
      <c r="FR486" s="103"/>
    </row>
    <row r="487" spans="2:174" x14ac:dyDescent="0.35">
      <c r="B487" s="97"/>
      <c r="G487" s="100"/>
      <c r="K487" s="98"/>
      <c r="L487" s="101"/>
      <c r="M487" s="101"/>
      <c r="N487" s="101"/>
      <c r="O487" s="101"/>
      <c r="P487" s="102"/>
      <c r="Q487" s="101"/>
      <c r="R487" s="98"/>
      <c r="S487" s="98"/>
      <c r="T487" s="98"/>
      <c r="U487" s="98"/>
      <c r="V487" s="98"/>
      <c r="W487" s="98"/>
      <c r="X487" s="98"/>
      <c r="Y487" s="98"/>
      <c r="Z487" s="103"/>
      <c r="AA487" s="103"/>
      <c r="AB487" s="103"/>
      <c r="AC487" s="103"/>
      <c r="AD487" s="103"/>
      <c r="AE487" s="103"/>
      <c r="AF487" s="103"/>
      <c r="AG487" s="101"/>
      <c r="AH487" s="101"/>
      <c r="AI487" s="101"/>
      <c r="AJ487" s="101"/>
      <c r="AK487" s="101"/>
      <c r="AL487" s="101"/>
      <c r="AM487" s="101"/>
      <c r="AN487" s="103"/>
      <c r="AO487" s="103"/>
      <c r="AP487" s="103"/>
      <c r="AQ487" s="103"/>
      <c r="AR487" s="103"/>
      <c r="AS487" s="103"/>
      <c r="AT487" s="103"/>
      <c r="AU487" s="101"/>
      <c r="AV487" s="101"/>
      <c r="AW487" s="101"/>
      <c r="AX487" s="101"/>
      <c r="AY487" s="101"/>
      <c r="AZ487" s="101"/>
      <c r="BA487" s="101"/>
      <c r="BB487" s="103"/>
      <c r="BC487" s="103"/>
      <c r="BD487" s="103"/>
      <c r="BE487" s="101"/>
      <c r="BF487" s="101"/>
      <c r="BG487" s="101"/>
      <c r="BH487" s="101"/>
      <c r="BI487" s="101"/>
      <c r="BM487" s="101"/>
      <c r="BN487" s="101"/>
      <c r="BO487" s="101"/>
      <c r="BP487" s="101"/>
      <c r="BQ487" s="101"/>
      <c r="BR487" s="101"/>
      <c r="BS487" s="101"/>
      <c r="BT487" s="104"/>
      <c r="BU487" s="104"/>
      <c r="BV487" s="104"/>
      <c r="BW487" s="104"/>
      <c r="BX487" s="104"/>
      <c r="BY487" s="104"/>
      <c r="BZ487" s="104"/>
      <c r="CA487" s="104"/>
      <c r="CB487" s="104"/>
      <c r="CC487" s="104"/>
      <c r="CD487" s="104"/>
      <c r="CE487" s="104"/>
      <c r="CF487" s="104"/>
      <c r="CG487" s="104"/>
      <c r="CH487" s="104"/>
      <c r="CI487" s="104"/>
      <c r="CJ487" s="104"/>
      <c r="CK487" s="104"/>
      <c r="CL487" s="104"/>
      <c r="CM487" s="104"/>
      <c r="CN487" s="104"/>
      <c r="CO487" s="104"/>
      <c r="CP487" s="98"/>
      <c r="CR487" s="101"/>
      <c r="CS487" s="101"/>
      <c r="CT487" s="101"/>
      <c r="CU487" s="101"/>
      <c r="CV487" s="101"/>
      <c r="FL487" s="103"/>
      <c r="FN487" s="103"/>
      <c r="FP487" s="103"/>
      <c r="FR487" s="103"/>
    </row>
    <row r="488" spans="2:174" x14ac:dyDescent="0.35">
      <c r="B488" s="97"/>
      <c r="G488" s="100"/>
      <c r="K488" s="98"/>
      <c r="L488" s="101"/>
      <c r="M488" s="101"/>
      <c r="N488" s="101"/>
      <c r="O488" s="101"/>
      <c r="P488" s="102"/>
      <c r="Q488" s="101"/>
      <c r="R488" s="98"/>
      <c r="S488" s="98"/>
      <c r="T488" s="98"/>
      <c r="U488" s="98"/>
      <c r="V488" s="98"/>
      <c r="W488" s="98"/>
      <c r="X488" s="98"/>
      <c r="Y488" s="98"/>
      <c r="Z488" s="103"/>
      <c r="AA488" s="103"/>
      <c r="AB488" s="103"/>
      <c r="AC488" s="103"/>
      <c r="AD488" s="103"/>
      <c r="AE488" s="103"/>
      <c r="AF488" s="103"/>
      <c r="AG488" s="101"/>
      <c r="AH488" s="101"/>
      <c r="AI488" s="101"/>
      <c r="AJ488" s="101"/>
      <c r="AK488" s="101"/>
      <c r="AL488" s="101"/>
      <c r="AM488" s="101"/>
      <c r="AN488" s="103"/>
      <c r="AO488" s="103"/>
      <c r="AP488" s="103"/>
      <c r="AQ488" s="103"/>
      <c r="AR488" s="103"/>
      <c r="AS488" s="103"/>
      <c r="AT488" s="103"/>
      <c r="AU488" s="101"/>
      <c r="AV488" s="101"/>
      <c r="AW488" s="101"/>
      <c r="AX488" s="101"/>
      <c r="AY488" s="101"/>
      <c r="AZ488" s="101"/>
      <c r="BA488" s="101"/>
      <c r="BB488" s="103"/>
      <c r="BC488" s="103"/>
      <c r="BD488" s="103"/>
      <c r="BE488" s="101"/>
      <c r="BF488" s="101"/>
      <c r="BG488" s="101"/>
      <c r="BH488" s="101"/>
      <c r="BI488" s="101"/>
      <c r="BM488" s="101"/>
      <c r="BN488" s="101"/>
      <c r="BO488" s="101"/>
      <c r="BP488" s="101"/>
      <c r="BQ488" s="101"/>
      <c r="BR488" s="101"/>
      <c r="BS488" s="101"/>
      <c r="BT488" s="104"/>
      <c r="BU488" s="104"/>
      <c r="BV488" s="104"/>
      <c r="BW488" s="104"/>
      <c r="BX488" s="104"/>
      <c r="BY488" s="104"/>
      <c r="BZ488" s="104"/>
      <c r="CA488" s="104"/>
      <c r="CB488" s="104"/>
      <c r="CC488" s="104"/>
      <c r="CD488" s="104"/>
      <c r="CE488" s="104"/>
      <c r="CF488" s="104"/>
      <c r="CG488" s="104"/>
      <c r="CH488" s="104"/>
      <c r="CI488" s="104"/>
      <c r="CJ488" s="104"/>
      <c r="CK488" s="104"/>
      <c r="CL488" s="104"/>
      <c r="CM488" s="104"/>
      <c r="CN488" s="104"/>
      <c r="CO488" s="104"/>
      <c r="CP488" s="98"/>
      <c r="CR488" s="101"/>
      <c r="CS488" s="101"/>
      <c r="CT488" s="101"/>
      <c r="CU488" s="101"/>
      <c r="CV488" s="101"/>
      <c r="FL488" s="103"/>
      <c r="FN488" s="103"/>
      <c r="FP488" s="103"/>
      <c r="FR488" s="103"/>
    </row>
    <row r="489" spans="2:174" x14ac:dyDescent="0.35">
      <c r="B489" s="97"/>
      <c r="G489" s="100"/>
      <c r="K489" s="98"/>
      <c r="L489" s="101"/>
      <c r="M489" s="101"/>
      <c r="N489" s="101"/>
      <c r="O489" s="101"/>
      <c r="P489" s="102"/>
      <c r="Q489" s="101"/>
      <c r="R489" s="98"/>
      <c r="S489" s="98"/>
      <c r="T489" s="98"/>
      <c r="U489" s="98"/>
      <c r="V489" s="98"/>
      <c r="W489" s="98"/>
      <c r="X489" s="98"/>
      <c r="Y489" s="98"/>
      <c r="Z489" s="103"/>
      <c r="AA489" s="103"/>
      <c r="AB489" s="103"/>
      <c r="AC489" s="103"/>
      <c r="AD489" s="103"/>
      <c r="AE489" s="103"/>
      <c r="AF489" s="103"/>
      <c r="AG489" s="101"/>
      <c r="AH489" s="101"/>
      <c r="AI489" s="101"/>
      <c r="AJ489" s="101"/>
      <c r="AK489" s="101"/>
      <c r="AL489" s="101"/>
      <c r="AM489" s="101"/>
      <c r="AN489" s="103"/>
      <c r="AO489" s="103"/>
      <c r="AP489" s="103"/>
      <c r="AQ489" s="103"/>
      <c r="AR489" s="103"/>
      <c r="AS489" s="103"/>
      <c r="AT489" s="103"/>
      <c r="AU489" s="101"/>
      <c r="AV489" s="101"/>
      <c r="AW489" s="101"/>
      <c r="AX489" s="101"/>
      <c r="AY489" s="101"/>
      <c r="AZ489" s="101"/>
      <c r="BA489" s="101"/>
      <c r="BB489" s="103"/>
      <c r="BC489" s="103"/>
      <c r="BD489" s="103"/>
      <c r="BE489" s="101"/>
      <c r="BF489" s="101"/>
      <c r="BG489" s="101"/>
      <c r="BH489" s="101"/>
      <c r="BI489" s="101"/>
      <c r="BM489" s="101"/>
      <c r="BN489" s="101"/>
      <c r="BO489" s="101"/>
      <c r="BP489" s="101"/>
      <c r="BQ489" s="101"/>
      <c r="BR489" s="101"/>
      <c r="BS489" s="101"/>
      <c r="BT489" s="104"/>
      <c r="BU489" s="104"/>
      <c r="BV489" s="104"/>
      <c r="BW489" s="104"/>
      <c r="BX489" s="104"/>
      <c r="BY489" s="104"/>
      <c r="BZ489" s="104"/>
      <c r="CA489" s="104"/>
      <c r="CB489" s="104"/>
      <c r="CC489" s="104"/>
      <c r="CD489" s="104"/>
      <c r="CE489" s="104"/>
      <c r="CF489" s="104"/>
      <c r="CG489" s="104"/>
      <c r="CH489" s="104"/>
      <c r="CI489" s="104"/>
      <c r="CJ489" s="104"/>
      <c r="CK489" s="104"/>
      <c r="CL489" s="104"/>
      <c r="CM489" s="104"/>
      <c r="CN489" s="104"/>
      <c r="CO489" s="104"/>
      <c r="CP489" s="98"/>
      <c r="CR489" s="101"/>
      <c r="CS489" s="101"/>
      <c r="CT489" s="101"/>
      <c r="CU489" s="101"/>
      <c r="CV489" s="101"/>
      <c r="FL489" s="103"/>
      <c r="FN489" s="103"/>
      <c r="FP489" s="103"/>
      <c r="FR489" s="103"/>
    </row>
    <row r="490" spans="2:174" x14ac:dyDescent="0.35">
      <c r="B490" s="97"/>
      <c r="G490" s="100"/>
      <c r="K490" s="98"/>
      <c r="L490" s="101"/>
      <c r="M490" s="101"/>
      <c r="N490" s="101"/>
      <c r="O490" s="101"/>
      <c r="P490" s="102"/>
      <c r="Q490" s="101"/>
      <c r="R490" s="98"/>
      <c r="S490" s="98"/>
      <c r="T490" s="98"/>
      <c r="U490" s="98"/>
      <c r="V490" s="98"/>
      <c r="W490" s="98"/>
      <c r="X490" s="98"/>
      <c r="Y490" s="98"/>
      <c r="Z490" s="103"/>
      <c r="AA490" s="103"/>
      <c r="AB490" s="103"/>
      <c r="AC490" s="103"/>
      <c r="AD490" s="103"/>
      <c r="AE490" s="103"/>
      <c r="AF490" s="103"/>
      <c r="AG490" s="101"/>
      <c r="AH490" s="101"/>
      <c r="AI490" s="101"/>
      <c r="AJ490" s="101"/>
      <c r="AK490" s="101"/>
      <c r="AL490" s="101"/>
      <c r="AM490" s="101"/>
      <c r="AN490" s="103"/>
      <c r="AO490" s="103"/>
      <c r="AP490" s="103"/>
      <c r="AQ490" s="103"/>
      <c r="AR490" s="103"/>
      <c r="AS490" s="103"/>
      <c r="AT490" s="103"/>
      <c r="AU490" s="101"/>
      <c r="AV490" s="101"/>
      <c r="AW490" s="101"/>
      <c r="AX490" s="101"/>
      <c r="AY490" s="101"/>
      <c r="AZ490" s="101"/>
      <c r="BA490" s="101"/>
      <c r="BB490" s="103"/>
      <c r="BC490" s="103"/>
      <c r="BD490" s="103"/>
      <c r="BE490" s="101"/>
      <c r="BF490" s="101"/>
      <c r="BG490" s="101"/>
      <c r="BH490" s="101"/>
      <c r="BI490" s="101"/>
      <c r="BM490" s="101"/>
      <c r="BN490" s="101"/>
      <c r="BO490" s="101"/>
      <c r="BP490" s="101"/>
      <c r="BQ490" s="101"/>
      <c r="BR490" s="101"/>
      <c r="BS490" s="101"/>
      <c r="BT490" s="104"/>
      <c r="BU490" s="104"/>
      <c r="BV490" s="104"/>
      <c r="BW490" s="104"/>
      <c r="BX490" s="104"/>
      <c r="BY490" s="104"/>
      <c r="BZ490" s="104"/>
      <c r="CA490" s="104"/>
      <c r="CB490" s="104"/>
      <c r="CC490" s="104"/>
      <c r="CD490" s="104"/>
      <c r="CE490" s="104"/>
      <c r="CF490" s="104"/>
      <c r="CG490" s="104"/>
      <c r="CH490" s="104"/>
      <c r="CI490" s="104"/>
      <c r="CJ490" s="104"/>
      <c r="CK490" s="104"/>
      <c r="CL490" s="104"/>
      <c r="CM490" s="104"/>
      <c r="CN490" s="104"/>
      <c r="CO490" s="104"/>
      <c r="CP490" s="98"/>
      <c r="CR490" s="101"/>
      <c r="CS490" s="101"/>
      <c r="CT490" s="101"/>
      <c r="CU490" s="101"/>
      <c r="CV490" s="101"/>
      <c r="FL490" s="103"/>
      <c r="FN490" s="103"/>
      <c r="FP490" s="103"/>
      <c r="FR490" s="103"/>
    </row>
    <row r="491" spans="2:174" x14ac:dyDescent="0.35">
      <c r="B491" s="97"/>
      <c r="G491" s="100"/>
      <c r="K491" s="98"/>
      <c r="L491" s="101"/>
      <c r="M491" s="101"/>
      <c r="N491" s="101"/>
      <c r="O491" s="101"/>
      <c r="P491" s="102"/>
      <c r="Q491" s="101"/>
      <c r="R491" s="98"/>
      <c r="S491" s="98"/>
      <c r="T491" s="98"/>
      <c r="U491" s="98"/>
      <c r="V491" s="98"/>
      <c r="W491" s="98"/>
      <c r="X491" s="98"/>
      <c r="Y491" s="98"/>
      <c r="Z491" s="103"/>
      <c r="AA491" s="103"/>
      <c r="AB491" s="103"/>
      <c r="AC491" s="103"/>
      <c r="AD491" s="103"/>
      <c r="AE491" s="103"/>
      <c r="AF491" s="103"/>
      <c r="AG491" s="101"/>
      <c r="AH491" s="101"/>
      <c r="AI491" s="101"/>
      <c r="AJ491" s="101"/>
      <c r="AK491" s="101"/>
      <c r="AL491" s="101"/>
      <c r="AM491" s="101"/>
      <c r="AN491" s="103"/>
      <c r="AO491" s="103"/>
      <c r="AP491" s="103"/>
      <c r="AQ491" s="103"/>
      <c r="AR491" s="103"/>
      <c r="AS491" s="103"/>
      <c r="AT491" s="103"/>
      <c r="AU491" s="101"/>
      <c r="AV491" s="101"/>
      <c r="AW491" s="101"/>
      <c r="AX491" s="101"/>
      <c r="AY491" s="101"/>
      <c r="AZ491" s="101"/>
      <c r="BA491" s="101"/>
      <c r="BB491" s="103"/>
      <c r="BC491" s="103"/>
      <c r="BD491" s="103"/>
      <c r="BE491" s="101"/>
      <c r="BF491" s="101"/>
      <c r="BG491" s="101"/>
      <c r="BH491" s="101"/>
      <c r="BI491" s="101"/>
      <c r="BM491" s="101"/>
      <c r="BN491" s="101"/>
      <c r="BO491" s="101"/>
      <c r="BP491" s="101"/>
      <c r="BQ491" s="101"/>
      <c r="BR491" s="101"/>
      <c r="BS491" s="101"/>
      <c r="BT491" s="104"/>
      <c r="BU491" s="104"/>
      <c r="BV491" s="104"/>
      <c r="BW491" s="104"/>
      <c r="BX491" s="104"/>
      <c r="BY491" s="104"/>
      <c r="BZ491" s="104"/>
      <c r="CA491" s="104"/>
      <c r="CB491" s="104"/>
      <c r="CC491" s="104"/>
      <c r="CD491" s="104"/>
      <c r="CE491" s="104"/>
      <c r="CF491" s="104"/>
      <c r="CG491" s="104"/>
      <c r="CH491" s="104"/>
      <c r="CI491" s="104"/>
      <c r="CJ491" s="104"/>
      <c r="CK491" s="104"/>
      <c r="CL491" s="104"/>
      <c r="CM491" s="104"/>
      <c r="CN491" s="104"/>
      <c r="CO491" s="104"/>
      <c r="CP491" s="98"/>
      <c r="CR491" s="101"/>
      <c r="CS491" s="101"/>
      <c r="CT491" s="101"/>
      <c r="CU491" s="101"/>
      <c r="CV491" s="101"/>
      <c r="FL491" s="103"/>
      <c r="FN491" s="103"/>
      <c r="FP491" s="103"/>
      <c r="FR491" s="103"/>
    </row>
    <row r="492" spans="2:174" x14ac:dyDescent="0.35">
      <c r="B492" s="97"/>
      <c r="G492" s="100"/>
      <c r="K492" s="98"/>
      <c r="L492" s="101"/>
      <c r="M492" s="101"/>
      <c r="N492" s="101"/>
      <c r="O492" s="101"/>
      <c r="P492" s="102"/>
      <c r="Q492" s="101"/>
      <c r="R492" s="98"/>
      <c r="S492" s="98"/>
      <c r="T492" s="98"/>
      <c r="U492" s="98"/>
      <c r="V492" s="98"/>
      <c r="W492" s="98"/>
      <c r="X492" s="98"/>
      <c r="Y492" s="98"/>
      <c r="Z492" s="103"/>
      <c r="AA492" s="103"/>
      <c r="AB492" s="103"/>
      <c r="AC492" s="103"/>
      <c r="AD492" s="103"/>
      <c r="AE492" s="103"/>
      <c r="AF492" s="103"/>
      <c r="AG492" s="101"/>
      <c r="AH492" s="101"/>
      <c r="AI492" s="101"/>
      <c r="AJ492" s="101"/>
      <c r="AK492" s="101"/>
      <c r="AL492" s="101"/>
      <c r="AM492" s="101"/>
      <c r="AN492" s="103"/>
      <c r="AO492" s="103"/>
      <c r="AP492" s="103"/>
      <c r="AQ492" s="103"/>
      <c r="AR492" s="103"/>
      <c r="AS492" s="103"/>
      <c r="AT492" s="103"/>
      <c r="AU492" s="101"/>
      <c r="AV492" s="101"/>
      <c r="AW492" s="101"/>
      <c r="AX492" s="101"/>
      <c r="AY492" s="101"/>
      <c r="AZ492" s="101"/>
      <c r="BA492" s="101"/>
      <c r="BB492" s="103"/>
      <c r="BC492" s="103"/>
      <c r="BD492" s="103"/>
      <c r="BE492" s="101"/>
      <c r="BF492" s="101"/>
      <c r="BG492" s="101"/>
      <c r="BH492" s="101"/>
      <c r="BI492" s="101"/>
      <c r="BM492" s="101"/>
      <c r="BN492" s="101"/>
      <c r="BO492" s="101"/>
      <c r="BP492" s="101"/>
      <c r="BQ492" s="101"/>
      <c r="BR492" s="101"/>
      <c r="BS492" s="101"/>
      <c r="BT492" s="104"/>
      <c r="BU492" s="104"/>
      <c r="BV492" s="104"/>
      <c r="BW492" s="104"/>
      <c r="BX492" s="104"/>
      <c r="BY492" s="104"/>
      <c r="BZ492" s="104"/>
      <c r="CA492" s="104"/>
      <c r="CB492" s="104"/>
      <c r="CC492" s="104"/>
      <c r="CD492" s="104"/>
      <c r="CE492" s="104"/>
      <c r="CF492" s="104"/>
      <c r="CG492" s="104"/>
      <c r="CH492" s="104"/>
      <c r="CI492" s="104"/>
      <c r="CJ492" s="104"/>
      <c r="CK492" s="104"/>
      <c r="CL492" s="104"/>
      <c r="CM492" s="104"/>
      <c r="CN492" s="104"/>
      <c r="CO492" s="104"/>
      <c r="CP492" s="98"/>
      <c r="CR492" s="101"/>
      <c r="CS492" s="101"/>
      <c r="CT492" s="101"/>
      <c r="CU492" s="101"/>
      <c r="CV492" s="101"/>
      <c r="FL492" s="103"/>
      <c r="FN492" s="103"/>
      <c r="FP492" s="103"/>
      <c r="FR492" s="103"/>
    </row>
    <row r="493" spans="2:174" x14ac:dyDescent="0.35">
      <c r="B493" s="97"/>
      <c r="G493" s="100"/>
      <c r="K493" s="98"/>
      <c r="L493" s="101"/>
      <c r="M493" s="101"/>
      <c r="N493" s="101"/>
      <c r="O493" s="101"/>
      <c r="P493" s="102"/>
      <c r="Q493" s="101"/>
      <c r="R493" s="98"/>
      <c r="S493" s="98"/>
      <c r="T493" s="98"/>
      <c r="U493" s="98"/>
      <c r="V493" s="98"/>
      <c r="W493" s="98"/>
      <c r="X493" s="98"/>
      <c r="Y493" s="98"/>
      <c r="Z493" s="103"/>
      <c r="AA493" s="103"/>
      <c r="AB493" s="103"/>
      <c r="AC493" s="103"/>
      <c r="AD493" s="103"/>
      <c r="AE493" s="103"/>
      <c r="AF493" s="103"/>
      <c r="AG493" s="101"/>
      <c r="AH493" s="101"/>
      <c r="AI493" s="101"/>
      <c r="AJ493" s="101"/>
      <c r="AK493" s="101"/>
      <c r="AL493" s="101"/>
      <c r="AM493" s="101"/>
      <c r="AN493" s="103"/>
      <c r="AO493" s="103"/>
      <c r="AP493" s="103"/>
      <c r="AQ493" s="103"/>
      <c r="AR493" s="103"/>
      <c r="AS493" s="103"/>
      <c r="AT493" s="103"/>
      <c r="AU493" s="101"/>
      <c r="AV493" s="101"/>
      <c r="AW493" s="101"/>
      <c r="AX493" s="101"/>
      <c r="AY493" s="101"/>
      <c r="AZ493" s="101"/>
      <c r="BA493" s="101"/>
      <c r="BB493" s="103"/>
      <c r="BC493" s="103"/>
      <c r="BD493" s="103"/>
      <c r="BE493" s="101"/>
      <c r="BF493" s="101"/>
      <c r="BG493" s="101"/>
      <c r="BH493" s="101"/>
      <c r="BI493" s="101"/>
      <c r="BM493" s="101"/>
      <c r="BN493" s="101"/>
      <c r="BO493" s="101"/>
      <c r="BP493" s="101"/>
      <c r="BQ493" s="101"/>
      <c r="BR493" s="101"/>
      <c r="BS493" s="101"/>
      <c r="BT493" s="104"/>
      <c r="BU493" s="104"/>
      <c r="BV493" s="104"/>
      <c r="BW493" s="104"/>
      <c r="BX493" s="104"/>
      <c r="BY493" s="104"/>
      <c r="BZ493" s="104"/>
      <c r="CA493" s="104"/>
      <c r="CB493" s="104"/>
      <c r="CC493" s="104"/>
      <c r="CD493" s="104"/>
      <c r="CE493" s="104"/>
      <c r="CF493" s="104"/>
      <c r="CG493" s="104"/>
      <c r="CH493" s="104"/>
      <c r="CI493" s="104"/>
      <c r="CJ493" s="104"/>
      <c r="CK493" s="104"/>
      <c r="CL493" s="104"/>
      <c r="CM493" s="104"/>
      <c r="CN493" s="104"/>
      <c r="CO493" s="104"/>
      <c r="CP493" s="98"/>
      <c r="CR493" s="101"/>
      <c r="CS493" s="101"/>
      <c r="CT493" s="101"/>
      <c r="CU493" s="101"/>
      <c r="CV493" s="101"/>
      <c r="FL493" s="103"/>
      <c r="FN493" s="103"/>
      <c r="FP493" s="103"/>
      <c r="FR493" s="103"/>
    </row>
    <row r="494" spans="2:174" x14ac:dyDescent="0.35">
      <c r="B494" s="97"/>
      <c r="G494" s="100"/>
      <c r="K494" s="98"/>
      <c r="L494" s="101"/>
      <c r="M494" s="101"/>
      <c r="N494" s="101"/>
      <c r="O494" s="101"/>
      <c r="P494" s="102"/>
      <c r="Q494" s="101"/>
      <c r="R494" s="98"/>
      <c r="S494" s="98"/>
      <c r="T494" s="98"/>
      <c r="U494" s="98"/>
      <c r="V494" s="98"/>
      <c r="W494" s="98"/>
      <c r="X494" s="98"/>
      <c r="Y494" s="98"/>
      <c r="Z494" s="103"/>
      <c r="AA494" s="103"/>
      <c r="AB494" s="103"/>
      <c r="AC494" s="103"/>
      <c r="AD494" s="103"/>
      <c r="AE494" s="103"/>
      <c r="AF494" s="103"/>
      <c r="AG494" s="101"/>
      <c r="AH494" s="101"/>
      <c r="AI494" s="101"/>
      <c r="AJ494" s="101"/>
      <c r="AK494" s="101"/>
      <c r="AL494" s="101"/>
      <c r="AM494" s="101"/>
      <c r="AN494" s="103"/>
      <c r="AO494" s="103"/>
      <c r="AP494" s="103"/>
      <c r="AQ494" s="103"/>
      <c r="AR494" s="103"/>
      <c r="AS494" s="103"/>
      <c r="AT494" s="103"/>
      <c r="AU494" s="101"/>
      <c r="AV494" s="101"/>
      <c r="AW494" s="101"/>
      <c r="AX494" s="101"/>
      <c r="AY494" s="101"/>
      <c r="AZ494" s="101"/>
      <c r="BA494" s="101"/>
      <c r="BB494" s="103"/>
      <c r="BC494" s="103"/>
      <c r="BD494" s="103"/>
      <c r="BE494" s="101"/>
      <c r="BF494" s="101"/>
      <c r="BG494" s="101"/>
      <c r="BH494" s="101"/>
      <c r="BI494" s="101"/>
      <c r="BM494" s="101"/>
      <c r="BN494" s="101"/>
      <c r="BO494" s="101"/>
      <c r="BP494" s="101"/>
      <c r="BQ494" s="101"/>
      <c r="BR494" s="101"/>
      <c r="BS494" s="101"/>
      <c r="BT494" s="104"/>
      <c r="BU494" s="104"/>
      <c r="BV494" s="104"/>
      <c r="BW494" s="104"/>
      <c r="BX494" s="104"/>
      <c r="BY494" s="104"/>
      <c r="BZ494" s="104"/>
      <c r="CA494" s="104"/>
      <c r="CB494" s="104"/>
      <c r="CC494" s="104"/>
      <c r="CD494" s="104"/>
      <c r="CE494" s="104"/>
      <c r="CF494" s="104"/>
      <c r="CG494" s="104"/>
      <c r="CH494" s="104"/>
      <c r="CI494" s="104"/>
      <c r="CJ494" s="104"/>
      <c r="CK494" s="104"/>
      <c r="CL494" s="104"/>
      <c r="CM494" s="104"/>
      <c r="CN494" s="104"/>
      <c r="CO494" s="104"/>
      <c r="CP494" s="98"/>
      <c r="CR494" s="101"/>
      <c r="CS494" s="101"/>
      <c r="CT494" s="101"/>
      <c r="CU494" s="101"/>
      <c r="CV494" s="101"/>
      <c r="FL494" s="103"/>
      <c r="FN494" s="103"/>
      <c r="FP494" s="103"/>
      <c r="FR494" s="103"/>
    </row>
    <row r="495" spans="2:174" x14ac:dyDescent="0.35">
      <c r="B495" s="97"/>
      <c r="G495" s="100"/>
      <c r="K495" s="98"/>
      <c r="L495" s="101"/>
      <c r="M495" s="101"/>
      <c r="N495" s="101"/>
      <c r="O495" s="101"/>
      <c r="P495" s="102"/>
      <c r="Q495" s="101"/>
      <c r="R495" s="98"/>
      <c r="S495" s="98"/>
      <c r="T495" s="98"/>
      <c r="U495" s="98"/>
      <c r="V495" s="98"/>
      <c r="W495" s="98"/>
      <c r="X495" s="98"/>
      <c r="Y495" s="98"/>
      <c r="Z495" s="103"/>
      <c r="AA495" s="103"/>
      <c r="AB495" s="103"/>
      <c r="AC495" s="103"/>
      <c r="AD495" s="103"/>
      <c r="AE495" s="103"/>
      <c r="AF495" s="103"/>
      <c r="AG495" s="101"/>
      <c r="AH495" s="101"/>
      <c r="AI495" s="101"/>
      <c r="AJ495" s="101"/>
      <c r="AK495" s="101"/>
      <c r="AL495" s="101"/>
      <c r="AM495" s="101"/>
      <c r="AN495" s="103"/>
      <c r="AO495" s="103"/>
      <c r="AP495" s="103"/>
      <c r="AQ495" s="103"/>
      <c r="AR495" s="103"/>
      <c r="AS495" s="103"/>
      <c r="AT495" s="103"/>
      <c r="AU495" s="101"/>
      <c r="AV495" s="101"/>
      <c r="AW495" s="101"/>
      <c r="AX495" s="101"/>
      <c r="AY495" s="101"/>
      <c r="AZ495" s="101"/>
      <c r="BA495" s="101"/>
      <c r="BB495" s="103"/>
      <c r="BC495" s="103"/>
      <c r="BD495" s="103"/>
      <c r="BE495" s="101"/>
      <c r="BF495" s="101"/>
      <c r="BG495" s="101"/>
      <c r="BH495" s="101"/>
      <c r="BI495" s="101"/>
      <c r="BM495" s="101"/>
      <c r="BN495" s="101"/>
      <c r="BO495" s="101"/>
      <c r="BP495" s="101"/>
      <c r="BQ495" s="101"/>
      <c r="BR495" s="101"/>
      <c r="BS495" s="101"/>
      <c r="BT495" s="104"/>
      <c r="BU495" s="104"/>
      <c r="BV495" s="104"/>
      <c r="BW495" s="104"/>
      <c r="BX495" s="104"/>
      <c r="BY495" s="104"/>
      <c r="BZ495" s="104"/>
      <c r="CA495" s="104"/>
      <c r="CB495" s="104"/>
      <c r="CC495" s="104"/>
      <c r="CD495" s="104"/>
      <c r="CE495" s="104"/>
      <c r="CF495" s="104"/>
      <c r="CG495" s="104"/>
      <c r="CH495" s="104"/>
      <c r="CI495" s="104"/>
      <c r="CJ495" s="104"/>
      <c r="CK495" s="104"/>
      <c r="CL495" s="104"/>
      <c r="CM495" s="104"/>
      <c r="CN495" s="104"/>
      <c r="CO495" s="104"/>
      <c r="CP495" s="98"/>
      <c r="CR495" s="101"/>
      <c r="CS495" s="101"/>
      <c r="CT495" s="101"/>
      <c r="CU495" s="101"/>
      <c r="CV495" s="101"/>
      <c r="FL495" s="103"/>
      <c r="FN495" s="103"/>
      <c r="FP495" s="103"/>
      <c r="FR495" s="103"/>
    </row>
    <row r="496" spans="2:174" x14ac:dyDescent="0.35">
      <c r="B496" s="97"/>
      <c r="G496" s="100"/>
      <c r="K496" s="98"/>
      <c r="L496" s="101"/>
      <c r="M496" s="101"/>
      <c r="N496" s="101"/>
      <c r="O496" s="101"/>
      <c r="P496" s="102"/>
      <c r="Q496" s="101"/>
      <c r="R496" s="98"/>
      <c r="S496" s="98"/>
      <c r="T496" s="98"/>
      <c r="U496" s="98"/>
      <c r="V496" s="98"/>
      <c r="W496" s="98"/>
      <c r="X496" s="98"/>
      <c r="Y496" s="98"/>
      <c r="Z496" s="103"/>
      <c r="AA496" s="103"/>
      <c r="AB496" s="103"/>
      <c r="AC496" s="103"/>
      <c r="AD496" s="103"/>
      <c r="AE496" s="103"/>
      <c r="AF496" s="103"/>
      <c r="AG496" s="101"/>
      <c r="AH496" s="101"/>
      <c r="AI496" s="101"/>
      <c r="AJ496" s="101"/>
      <c r="AK496" s="101"/>
      <c r="AL496" s="101"/>
      <c r="AM496" s="101"/>
      <c r="AN496" s="103"/>
      <c r="AO496" s="103"/>
      <c r="AP496" s="103"/>
      <c r="AQ496" s="103"/>
      <c r="AR496" s="103"/>
      <c r="AS496" s="103"/>
      <c r="AT496" s="103"/>
      <c r="AU496" s="101"/>
      <c r="AV496" s="101"/>
      <c r="AW496" s="101"/>
      <c r="AX496" s="101"/>
      <c r="AY496" s="101"/>
      <c r="AZ496" s="101"/>
      <c r="BA496" s="101"/>
      <c r="BB496" s="103"/>
      <c r="BC496" s="103"/>
      <c r="BD496" s="103"/>
      <c r="BE496" s="101"/>
      <c r="BF496" s="101"/>
      <c r="BG496" s="101"/>
      <c r="BH496" s="101"/>
      <c r="BI496" s="101"/>
      <c r="BM496" s="101"/>
      <c r="BN496" s="101"/>
      <c r="BO496" s="101"/>
      <c r="BP496" s="101"/>
      <c r="BQ496" s="101"/>
      <c r="BR496" s="101"/>
      <c r="BS496" s="101"/>
      <c r="BT496" s="104"/>
      <c r="BU496" s="104"/>
      <c r="BV496" s="104"/>
      <c r="BW496" s="104"/>
      <c r="BX496" s="104"/>
      <c r="BY496" s="104"/>
      <c r="BZ496" s="104"/>
      <c r="CA496" s="104"/>
      <c r="CB496" s="104"/>
      <c r="CC496" s="104"/>
      <c r="CD496" s="104"/>
      <c r="CE496" s="104"/>
      <c r="CF496" s="104"/>
      <c r="CG496" s="104"/>
      <c r="CH496" s="104"/>
      <c r="CI496" s="104"/>
      <c r="CJ496" s="104"/>
      <c r="CK496" s="104"/>
      <c r="CL496" s="104"/>
      <c r="CM496" s="104"/>
      <c r="CN496" s="104"/>
      <c r="CO496" s="104"/>
      <c r="CP496" s="98"/>
      <c r="CR496" s="101"/>
      <c r="CS496" s="101"/>
      <c r="CT496" s="101"/>
      <c r="CU496" s="101"/>
      <c r="CV496" s="101"/>
      <c r="FL496" s="103"/>
      <c r="FN496" s="103"/>
      <c r="FP496" s="103"/>
      <c r="FR496" s="103"/>
    </row>
    <row r="497" spans="2:174" x14ac:dyDescent="0.35">
      <c r="B497" s="97"/>
      <c r="G497" s="100"/>
      <c r="K497" s="98"/>
      <c r="L497" s="101"/>
      <c r="M497" s="101"/>
      <c r="N497" s="101"/>
      <c r="O497" s="101"/>
      <c r="P497" s="102"/>
      <c r="Q497" s="101"/>
      <c r="R497" s="98"/>
      <c r="S497" s="98"/>
      <c r="T497" s="98"/>
      <c r="U497" s="98"/>
      <c r="V497" s="98"/>
      <c r="W497" s="98"/>
      <c r="X497" s="98"/>
      <c r="Y497" s="98"/>
      <c r="Z497" s="103"/>
      <c r="AA497" s="103"/>
      <c r="AB497" s="103"/>
      <c r="AC497" s="103"/>
      <c r="AD497" s="103"/>
      <c r="AE497" s="103"/>
      <c r="AF497" s="103"/>
      <c r="AG497" s="101"/>
      <c r="AH497" s="101"/>
      <c r="AI497" s="101"/>
      <c r="AJ497" s="101"/>
      <c r="AK497" s="101"/>
      <c r="AL497" s="101"/>
      <c r="AM497" s="101"/>
      <c r="AN497" s="103"/>
      <c r="AO497" s="103"/>
      <c r="AP497" s="103"/>
      <c r="AQ497" s="103"/>
      <c r="AR497" s="103"/>
      <c r="AS497" s="103"/>
      <c r="AT497" s="103"/>
      <c r="AU497" s="101"/>
      <c r="AV497" s="101"/>
      <c r="AW497" s="101"/>
      <c r="AX497" s="101"/>
      <c r="AY497" s="101"/>
      <c r="AZ497" s="101"/>
      <c r="BA497" s="101"/>
      <c r="BB497" s="103"/>
      <c r="BC497" s="103"/>
      <c r="BD497" s="103"/>
      <c r="BE497" s="101"/>
      <c r="BF497" s="101"/>
      <c r="BG497" s="101"/>
      <c r="BH497" s="101"/>
      <c r="BI497" s="101"/>
      <c r="BM497" s="101"/>
      <c r="BN497" s="101"/>
      <c r="BO497" s="101"/>
      <c r="BP497" s="101"/>
      <c r="BQ497" s="101"/>
      <c r="BR497" s="101"/>
      <c r="BS497" s="101"/>
      <c r="BT497" s="104"/>
      <c r="BU497" s="104"/>
      <c r="BV497" s="104"/>
      <c r="BW497" s="104"/>
      <c r="BX497" s="104"/>
      <c r="BY497" s="104"/>
      <c r="BZ497" s="104"/>
      <c r="CA497" s="104"/>
      <c r="CB497" s="104"/>
      <c r="CC497" s="104"/>
      <c r="CD497" s="104"/>
      <c r="CE497" s="104"/>
      <c r="CF497" s="104"/>
      <c r="CG497" s="104"/>
      <c r="CH497" s="104"/>
      <c r="CI497" s="104"/>
      <c r="CJ497" s="104"/>
      <c r="CK497" s="104"/>
      <c r="CL497" s="104"/>
      <c r="CM497" s="104"/>
      <c r="CN497" s="104"/>
      <c r="CO497" s="104"/>
      <c r="CP497" s="98"/>
      <c r="CR497" s="101"/>
      <c r="CS497" s="101"/>
      <c r="CT497" s="101"/>
      <c r="CU497" s="101"/>
      <c r="CV497" s="101"/>
      <c r="FL497" s="103"/>
      <c r="FN497" s="103"/>
      <c r="FP497" s="103"/>
      <c r="FR497" s="103"/>
    </row>
    <row r="498" spans="2:174" x14ac:dyDescent="0.35">
      <c r="B498" s="97"/>
      <c r="G498" s="100"/>
      <c r="K498" s="98"/>
      <c r="L498" s="101"/>
      <c r="M498" s="101"/>
      <c r="N498" s="101"/>
      <c r="O498" s="101"/>
      <c r="P498" s="102"/>
      <c r="Q498" s="101"/>
      <c r="R498" s="98"/>
      <c r="S498" s="98"/>
      <c r="T498" s="98"/>
      <c r="U498" s="98"/>
      <c r="V498" s="98"/>
      <c r="W498" s="98"/>
      <c r="X498" s="98"/>
      <c r="Y498" s="98"/>
      <c r="Z498" s="103"/>
      <c r="AA498" s="103"/>
      <c r="AB498" s="103"/>
      <c r="AC498" s="103"/>
      <c r="AD498" s="103"/>
      <c r="AE498" s="103"/>
      <c r="AF498" s="103"/>
      <c r="AG498" s="101"/>
      <c r="AH498" s="101"/>
      <c r="AI498" s="101"/>
      <c r="AJ498" s="101"/>
      <c r="AK498" s="101"/>
      <c r="AL498" s="101"/>
      <c r="AM498" s="101"/>
      <c r="AN498" s="103"/>
      <c r="AO498" s="103"/>
      <c r="AP498" s="103"/>
      <c r="AQ498" s="103"/>
      <c r="AR498" s="103"/>
      <c r="AS498" s="103"/>
      <c r="AT498" s="103"/>
      <c r="AU498" s="101"/>
      <c r="AV498" s="101"/>
      <c r="AW498" s="101"/>
      <c r="AX498" s="101"/>
      <c r="AY498" s="101"/>
      <c r="AZ498" s="101"/>
      <c r="BA498" s="101"/>
      <c r="BB498" s="103"/>
      <c r="BC498" s="103"/>
      <c r="BD498" s="103"/>
      <c r="BE498" s="101"/>
      <c r="BF498" s="101"/>
      <c r="BG498" s="101"/>
      <c r="BH498" s="101"/>
      <c r="BI498" s="101"/>
      <c r="BM498" s="101"/>
      <c r="BN498" s="101"/>
      <c r="BO498" s="101"/>
      <c r="BP498" s="101"/>
      <c r="BQ498" s="101"/>
      <c r="BR498" s="101"/>
      <c r="BS498" s="101"/>
      <c r="BT498" s="104"/>
      <c r="BU498" s="104"/>
      <c r="BV498" s="104"/>
      <c r="BW498" s="104"/>
      <c r="BX498" s="104"/>
      <c r="BY498" s="104"/>
      <c r="BZ498" s="104"/>
      <c r="CA498" s="104"/>
      <c r="CB498" s="104"/>
      <c r="CC498" s="104"/>
      <c r="CD498" s="104"/>
      <c r="CE498" s="104"/>
      <c r="CF498" s="104"/>
      <c r="CG498" s="104"/>
      <c r="CH498" s="104"/>
      <c r="CI498" s="104"/>
      <c r="CJ498" s="104"/>
      <c r="CK498" s="104"/>
      <c r="CL498" s="104"/>
      <c r="CM498" s="104"/>
      <c r="CN498" s="104"/>
      <c r="CO498" s="104"/>
      <c r="CP498" s="98"/>
      <c r="CR498" s="101"/>
      <c r="CS498" s="101"/>
      <c r="CT498" s="101"/>
      <c r="CU498" s="101"/>
      <c r="CV498" s="101"/>
      <c r="FL498" s="103"/>
      <c r="FN498" s="103"/>
      <c r="FP498" s="103"/>
      <c r="FR498" s="103"/>
    </row>
    <row r="499" spans="2:174" x14ac:dyDescent="0.35">
      <c r="B499" s="97"/>
      <c r="G499" s="100"/>
      <c r="K499" s="98"/>
      <c r="L499" s="101"/>
      <c r="M499" s="101"/>
      <c r="N499" s="101"/>
      <c r="O499" s="101"/>
      <c r="P499" s="102"/>
      <c r="Q499" s="101"/>
      <c r="R499" s="98"/>
      <c r="S499" s="98"/>
      <c r="T499" s="98"/>
      <c r="U499" s="98"/>
      <c r="V499" s="98"/>
      <c r="W499" s="98"/>
      <c r="X499" s="98"/>
      <c r="Y499" s="98"/>
      <c r="Z499" s="103"/>
      <c r="AA499" s="103"/>
      <c r="AB499" s="103"/>
      <c r="AC499" s="103"/>
      <c r="AD499" s="103"/>
      <c r="AE499" s="103"/>
      <c r="AF499" s="103"/>
      <c r="AG499" s="101"/>
      <c r="AH499" s="101"/>
      <c r="AI499" s="101"/>
      <c r="AJ499" s="101"/>
      <c r="AK499" s="101"/>
      <c r="AL499" s="101"/>
      <c r="AM499" s="101"/>
      <c r="AN499" s="103"/>
      <c r="AO499" s="103"/>
      <c r="AP499" s="103"/>
      <c r="AQ499" s="103"/>
      <c r="AR499" s="103"/>
      <c r="AS499" s="103"/>
      <c r="AT499" s="103"/>
      <c r="AU499" s="101"/>
      <c r="AV499" s="101"/>
      <c r="AW499" s="101"/>
      <c r="AX499" s="101"/>
      <c r="AY499" s="101"/>
      <c r="AZ499" s="101"/>
      <c r="BA499" s="101"/>
      <c r="BB499" s="103"/>
      <c r="BC499" s="103"/>
      <c r="BD499" s="103"/>
      <c r="BE499" s="101"/>
      <c r="BF499" s="101"/>
      <c r="BG499" s="101"/>
      <c r="BH499" s="101"/>
      <c r="BI499" s="101"/>
      <c r="BM499" s="101"/>
      <c r="BN499" s="101"/>
      <c r="BO499" s="101"/>
      <c r="BP499" s="101"/>
      <c r="BQ499" s="101"/>
      <c r="BR499" s="101"/>
      <c r="BS499" s="101"/>
      <c r="BT499" s="104"/>
      <c r="BU499" s="104"/>
      <c r="BV499" s="104"/>
      <c r="BW499" s="104"/>
      <c r="BX499" s="104"/>
      <c r="BY499" s="104"/>
      <c r="BZ499" s="104"/>
      <c r="CA499" s="104"/>
      <c r="CB499" s="104"/>
      <c r="CC499" s="104"/>
      <c r="CD499" s="104"/>
      <c r="CE499" s="104"/>
      <c r="CF499" s="104"/>
      <c r="CG499" s="104"/>
      <c r="CH499" s="104"/>
      <c r="CI499" s="104"/>
      <c r="CJ499" s="104"/>
      <c r="CK499" s="104"/>
      <c r="CL499" s="104"/>
      <c r="CM499" s="104"/>
      <c r="CN499" s="104"/>
      <c r="CO499" s="104"/>
      <c r="CP499" s="98"/>
      <c r="CR499" s="101"/>
      <c r="CS499" s="101"/>
      <c r="CT499" s="101"/>
      <c r="CU499" s="101"/>
      <c r="CV499" s="101"/>
      <c r="FL499" s="103"/>
      <c r="FN499" s="103"/>
      <c r="FP499" s="103"/>
      <c r="FR499" s="103"/>
    </row>
    <row r="500" spans="2:174" x14ac:dyDescent="0.35">
      <c r="B500" s="97"/>
      <c r="G500" s="100"/>
      <c r="K500" s="98"/>
      <c r="L500" s="101"/>
      <c r="M500" s="101"/>
      <c r="N500" s="101"/>
      <c r="O500" s="101"/>
      <c r="P500" s="102"/>
      <c r="Q500" s="101"/>
      <c r="R500" s="98"/>
      <c r="S500" s="98"/>
      <c r="T500" s="98"/>
      <c r="U500" s="98"/>
      <c r="V500" s="98"/>
      <c r="W500" s="98"/>
      <c r="X500" s="98"/>
      <c r="Y500" s="98"/>
      <c r="Z500" s="103"/>
      <c r="AA500" s="103"/>
      <c r="AB500" s="103"/>
      <c r="AC500" s="103"/>
      <c r="AD500" s="103"/>
      <c r="AE500" s="103"/>
      <c r="AF500" s="103"/>
      <c r="AG500" s="101"/>
      <c r="AH500" s="101"/>
      <c r="AI500" s="101"/>
      <c r="AJ500" s="101"/>
      <c r="AK500" s="101"/>
      <c r="AL500" s="101"/>
      <c r="AM500" s="101"/>
      <c r="AN500" s="103"/>
      <c r="AO500" s="103"/>
      <c r="AP500" s="103"/>
      <c r="AQ500" s="103"/>
      <c r="AR500" s="103"/>
      <c r="AS500" s="103"/>
      <c r="AT500" s="103"/>
      <c r="AU500" s="101"/>
      <c r="AV500" s="101"/>
      <c r="AW500" s="101"/>
      <c r="AX500" s="101"/>
      <c r="AY500" s="101"/>
      <c r="AZ500" s="101"/>
      <c r="BA500" s="101"/>
      <c r="BB500" s="103"/>
      <c r="BC500" s="103"/>
      <c r="BD500" s="103"/>
      <c r="BE500" s="101"/>
      <c r="BF500" s="101"/>
      <c r="BG500" s="101"/>
      <c r="BH500" s="101"/>
      <c r="BI500" s="101"/>
      <c r="BM500" s="101"/>
      <c r="BN500" s="101"/>
      <c r="BO500" s="101"/>
      <c r="BP500" s="101"/>
      <c r="BQ500" s="101"/>
      <c r="BR500" s="101"/>
      <c r="BS500" s="101"/>
      <c r="BT500" s="104"/>
      <c r="BU500" s="104"/>
      <c r="BV500" s="104"/>
      <c r="BW500" s="104"/>
      <c r="BX500" s="104"/>
      <c r="BY500" s="104"/>
      <c r="BZ500" s="104"/>
      <c r="CA500" s="104"/>
      <c r="CB500" s="104"/>
      <c r="CC500" s="104"/>
      <c r="CD500" s="104"/>
      <c r="CE500" s="104"/>
      <c r="CF500" s="104"/>
      <c r="CG500" s="104"/>
      <c r="CH500" s="104"/>
      <c r="CI500" s="104"/>
      <c r="CJ500" s="104"/>
      <c r="CK500" s="104"/>
      <c r="CL500" s="104"/>
      <c r="CM500" s="104"/>
      <c r="CN500" s="104"/>
      <c r="CO500" s="104"/>
      <c r="CP500" s="98"/>
      <c r="CR500" s="101"/>
      <c r="CS500" s="101"/>
      <c r="CT500" s="101"/>
      <c r="CU500" s="101"/>
      <c r="CV500" s="101"/>
      <c r="FL500" s="103"/>
      <c r="FN500" s="103"/>
      <c r="FP500" s="103"/>
      <c r="FR500" s="103"/>
    </row>
    <row r="501" spans="2:174" x14ac:dyDescent="0.35">
      <c r="B501" s="97"/>
      <c r="G501" s="100"/>
      <c r="K501" s="98"/>
      <c r="L501" s="101"/>
      <c r="M501" s="101"/>
      <c r="N501" s="101"/>
      <c r="O501" s="101"/>
      <c r="P501" s="102"/>
      <c r="Q501" s="101"/>
      <c r="R501" s="98"/>
      <c r="S501" s="98"/>
      <c r="T501" s="98"/>
      <c r="U501" s="98"/>
      <c r="V501" s="98"/>
      <c r="W501" s="98"/>
      <c r="X501" s="98"/>
      <c r="Y501" s="98"/>
      <c r="Z501" s="103"/>
      <c r="AA501" s="103"/>
      <c r="AB501" s="103"/>
      <c r="AC501" s="103"/>
      <c r="AD501" s="103"/>
      <c r="AE501" s="103"/>
      <c r="AF501" s="103"/>
      <c r="AG501" s="101"/>
      <c r="AH501" s="101"/>
      <c r="AI501" s="101"/>
      <c r="AJ501" s="101"/>
      <c r="AK501" s="101"/>
      <c r="AL501" s="101"/>
      <c r="AM501" s="101"/>
      <c r="AN501" s="103"/>
      <c r="AO501" s="103"/>
      <c r="AP501" s="103"/>
      <c r="AQ501" s="103"/>
      <c r="AR501" s="103"/>
      <c r="AS501" s="103"/>
      <c r="AT501" s="103"/>
      <c r="AU501" s="101"/>
      <c r="AV501" s="101"/>
      <c r="AW501" s="101"/>
      <c r="AX501" s="101"/>
      <c r="AY501" s="101"/>
      <c r="AZ501" s="101"/>
      <c r="BA501" s="101"/>
      <c r="BB501" s="103"/>
      <c r="BC501" s="103"/>
      <c r="BD501" s="103"/>
      <c r="BE501" s="101"/>
      <c r="BF501" s="101"/>
      <c r="BG501" s="101"/>
      <c r="BH501" s="101"/>
      <c r="BI501" s="101"/>
      <c r="BM501" s="101"/>
      <c r="BN501" s="101"/>
      <c r="BO501" s="101"/>
      <c r="BP501" s="101"/>
      <c r="BQ501" s="101"/>
      <c r="BR501" s="101"/>
      <c r="BS501" s="101"/>
      <c r="BT501" s="104"/>
      <c r="BU501" s="104"/>
      <c r="BV501" s="104"/>
      <c r="BW501" s="104"/>
      <c r="BX501" s="104"/>
      <c r="BY501" s="104"/>
      <c r="BZ501" s="104"/>
      <c r="CA501" s="104"/>
      <c r="CB501" s="104"/>
      <c r="CC501" s="104"/>
      <c r="CD501" s="104"/>
      <c r="CE501" s="104"/>
      <c r="CF501" s="104"/>
      <c r="CG501" s="104"/>
      <c r="CH501" s="104"/>
      <c r="CI501" s="104"/>
      <c r="CJ501" s="104"/>
      <c r="CK501" s="104"/>
      <c r="CL501" s="104"/>
      <c r="CM501" s="104"/>
      <c r="CN501" s="104"/>
      <c r="CO501" s="104"/>
      <c r="CP501" s="98"/>
      <c r="CR501" s="101"/>
      <c r="CS501" s="101"/>
      <c r="CT501" s="101"/>
      <c r="CU501" s="101"/>
      <c r="CV501" s="101"/>
      <c r="FL501" s="103"/>
      <c r="FN501" s="103"/>
      <c r="FP501" s="103"/>
      <c r="FR501" s="103"/>
    </row>
    <row r="502" spans="2:174" x14ac:dyDescent="0.35">
      <c r="B502" s="97"/>
      <c r="G502" s="100"/>
      <c r="K502" s="98"/>
      <c r="L502" s="101"/>
      <c r="M502" s="101"/>
      <c r="N502" s="101"/>
      <c r="O502" s="101"/>
      <c r="P502" s="102"/>
      <c r="Q502" s="101"/>
      <c r="R502" s="98"/>
      <c r="S502" s="98"/>
      <c r="T502" s="98"/>
      <c r="U502" s="98"/>
      <c r="V502" s="98"/>
      <c r="W502" s="98"/>
      <c r="X502" s="98"/>
      <c r="Y502" s="98"/>
      <c r="Z502" s="103"/>
      <c r="AA502" s="103"/>
      <c r="AB502" s="103"/>
      <c r="AC502" s="103"/>
      <c r="AD502" s="103"/>
      <c r="AE502" s="103"/>
      <c r="AF502" s="103"/>
      <c r="AG502" s="101"/>
      <c r="AH502" s="101"/>
      <c r="AI502" s="101"/>
      <c r="AJ502" s="101"/>
      <c r="AK502" s="101"/>
      <c r="AL502" s="101"/>
      <c r="AM502" s="101"/>
      <c r="AN502" s="103"/>
      <c r="AO502" s="103"/>
      <c r="AP502" s="103"/>
      <c r="AQ502" s="103"/>
      <c r="AR502" s="103"/>
      <c r="AS502" s="103"/>
      <c r="AT502" s="103"/>
      <c r="AU502" s="101"/>
      <c r="AV502" s="101"/>
      <c r="AW502" s="101"/>
      <c r="AX502" s="101"/>
      <c r="AY502" s="101"/>
      <c r="AZ502" s="101"/>
      <c r="BA502" s="101"/>
      <c r="BB502" s="103"/>
      <c r="BC502" s="103"/>
      <c r="BD502" s="103"/>
      <c r="BE502" s="101"/>
      <c r="BF502" s="101"/>
      <c r="BG502" s="101"/>
      <c r="BH502" s="101"/>
      <c r="BI502" s="101"/>
      <c r="BM502" s="101"/>
      <c r="BN502" s="101"/>
      <c r="BO502" s="101"/>
      <c r="BP502" s="101"/>
      <c r="BQ502" s="101"/>
      <c r="BR502" s="101"/>
      <c r="BS502" s="101"/>
      <c r="BT502" s="104"/>
      <c r="BU502" s="104"/>
      <c r="BV502" s="104"/>
      <c r="BW502" s="104"/>
      <c r="BX502" s="104"/>
      <c r="BY502" s="104"/>
      <c r="BZ502" s="104"/>
      <c r="CA502" s="104"/>
      <c r="CB502" s="104"/>
      <c r="CC502" s="104"/>
      <c r="CD502" s="104"/>
      <c r="CE502" s="104"/>
      <c r="CF502" s="104"/>
      <c r="CG502" s="104"/>
      <c r="CH502" s="104"/>
      <c r="CI502" s="104"/>
      <c r="CJ502" s="104"/>
      <c r="CK502" s="104"/>
      <c r="CL502" s="104"/>
      <c r="CM502" s="104"/>
      <c r="CN502" s="104"/>
      <c r="CO502" s="104"/>
      <c r="CP502" s="98"/>
      <c r="CR502" s="101"/>
      <c r="CS502" s="101"/>
      <c r="CT502" s="101"/>
      <c r="CU502" s="101"/>
      <c r="CV502" s="101"/>
      <c r="FL502" s="103"/>
      <c r="FN502" s="103"/>
      <c r="FP502" s="103"/>
      <c r="FR502" s="103"/>
    </row>
    <row r="503" spans="2:174" x14ac:dyDescent="0.35">
      <c r="B503" s="97"/>
      <c r="G503" s="100"/>
      <c r="K503" s="98"/>
      <c r="L503" s="101"/>
      <c r="M503" s="101"/>
      <c r="N503" s="101"/>
      <c r="O503" s="101"/>
      <c r="P503" s="102"/>
      <c r="Q503" s="101"/>
      <c r="R503" s="98"/>
      <c r="S503" s="98"/>
      <c r="T503" s="98"/>
      <c r="U503" s="98"/>
      <c r="V503" s="98"/>
      <c r="W503" s="98"/>
      <c r="X503" s="98"/>
      <c r="Y503" s="98"/>
      <c r="Z503" s="103"/>
      <c r="AA503" s="103"/>
      <c r="AB503" s="103"/>
      <c r="AC503" s="103"/>
      <c r="AD503" s="103"/>
      <c r="AE503" s="103"/>
      <c r="AF503" s="103"/>
      <c r="AG503" s="101"/>
      <c r="AH503" s="101"/>
      <c r="AI503" s="101"/>
      <c r="AJ503" s="101"/>
      <c r="AK503" s="101"/>
      <c r="AL503" s="101"/>
      <c r="AM503" s="101"/>
      <c r="AN503" s="103"/>
      <c r="AO503" s="103"/>
      <c r="AP503" s="103"/>
      <c r="AQ503" s="103"/>
      <c r="AR503" s="103"/>
      <c r="AS503" s="103"/>
      <c r="AT503" s="103"/>
      <c r="AU503" s="101"/>
      <c r="AV503" s="101"/>
      <c r="AW503" s="101"/>
      <c r="AX503" s="101"/>
      <c r="AY503" s="101"/>
      <c r="AZ503" s="101"/>
      <c r="BA503" s="101"/>
      <c r="BB503" s="103"/>
      <c r="BC503" s="103"/>
      <c r="BD503" s="103"/>
      <c r="BE503" s="101"/>
      <c r="BF503" s="101"/>
      <c r="BG503" s="101"/>
      <c r="BH503" s="101"/>
      <c r="BI503" s="101"/>
      <c r="BM503" s="101"/>
      <c r="BN503" s="101"/>
      <c r="BO503" s="101"/>
      <c r="BP503" s="101"/>
      <c r="BQ503" s="101"/>
      <c r="BR503" s="101"/>
      <c r="BS503" s="101"/>
      <c r="BT503" s="104"/>
      <c r="BU503" s="104"/>
      <c r="BV503" s="104"/>
      <c r="BW503" s="104"/>
      <c r="BX503" s="104"/>
      <c r="BY503" s="104"/>
      <c r="BZ503" s="104"/>
      <c r="CA503" s="104"/>
      <c r="CB503" s="104"/>
      <c r="CC503" s="104"/>
      <c r="CD503" s="104"/>
      <c r="CE503" s="104"/>
      <c r="CF503" s="104"/>
      <c r="CG503" s="104"/>
      <c r="CH503" s="104"/>
      <c r="CI503" s="104"/>
      <c r="CJ503" s="104"/>
      <c r="CK503" s="104"/>
      <c r="CL503" s="104"/>
      <c r="CM503" s="104"/>
      <c r="CN503" s="104"/>
      <c r="CO503" s="104"/>
      <c r="CP503" s="98"/>
      <c r="CR503" s="101"/>
      <c r="CS503" s="101"/>
      <c r="CT503" s="101"/>
      <c r="CU503" s="101"/>
      <c r="CV503" s="101"/>
      <c r="FL503" s="103"/>
      <c r="FN503" s="103"/>
      <c r="FP503" s="103"/>
      <c r="FR503" s="103"/>
    </row>
    <row r="504" spans="2:174" x14ac:dyDescent="0.35">
      <c r="B504" s="97"/>
      <c r="G504" s="100"/>
      <c r="K504" s="98"/>
      <c r="L504" s="101"/>
      <c r="M504" s="101"/>
      <c r="N504" s="101"/>
      <c r="O504" s="101"/>
      <c r="P504" s="102"/>
      <c r="Q504" s="101"/>
      <c r="R504" s="98"/>
      <c r="S504" s="98"/>
      <c r="T504" s="98"/>
      <c r="U504" s="98"/>
      <c r="V504" s="98"/>
      <c r="W504" s="98"/>
      <c r="X504" s="98"/>
      <c r="Y504" s="98"/>
      <c r="Z504" s="103"/>
      <c r="AA504" s="103"/>
      <c r="AB504" s="103"/>
      <c r="AC504" s="103"/>
      <c r="AD504" s="103"/>
      <c r="AE504" s="103"/>
      <c r="AF504" s="103"/>
      <c r="AG504" s="101"/>
      <c r="AH504" s="101"/>
      <c r="AI504" s="101"/>
      <c r="AJ504" s="101"/>
      <c r="AK504" s="101"/>
      <c r="AL504" s="101"/>
      <c r="AM504" s="101"/>
      <c r="AN504" s="103"/>
      <c r="AO504" s="103"/>
      <c r="AP504" s="103"/>
      <c r="AQ504" s="103"/>
      <c r="AR504" s="103"/>
      <c r="AS504" s="103"/>
      <c r="AT504" s="103"/>
      <c r="AU504" s="101"/>
      <c r="AV504" s="101"/>
      <c r="AW504" s="101"/>
      <c r="AX504" s="101"/>
      <c r="AY504" s="101"/>
      <c r="AZ504" s="101"/>
      <c r="BA504" s="101"/>
      <c r="BB504" s="103"/>
      <c r="BC504" s="103"/>
      <c r="BD504" s="103"/>
      <c r="BE504" s="101"/>
      <c r="BF504" s="101"/>
      <c r="BG504" s="101"/>
      <c r="BH504" s="101"/>
      <c r="BI504" s="101"/>
      <c r="BM504" s="101"/>
      <c r="BN504" s="101"/>
      <c r="BO504" s="101"/>
      <c r="BP504" s="101"/>
      <c r="BQ504" s="101"/>
      <c r="BR504" s="101"/>
      <c r="BS504" s="101"/>
      <c r="BT504" s="104"/>
      <c r="BU504" s="104"/>
      <c r="BV504" s="104"/>
      <c r="BW504" s="104"/>
      <c r="BX504" s="104"/>
      <c r="BY504" s="104"/>
      <c r="BZ504" s="104"/>
      <c r="CA504" s="104"/>
      <c r="CB504" s="104"/>
      <c r="CC504" s="104"/>
      <c r="CD504" s="104"/>
      <c r="CE504" s="104"/>
      <c r="CF504" s="104"/>
      <c r="CG504" s="104"/>
      <c r="CH504" s="104"/>
      <c r="CI504" s="104"/>
      <c r="CJ504" s="104"/>
      <c r="CK504" s="104"/>
      <c r="CL504" s="104"/>
      <c r="CM504" s="104"/>
      <c r="CN504" s="104"/>
      <c r="CO504" s="104"/>
      <c r="CP504" s="98"/>
      <c r="CR504" s="101"/>
      <c r="CS504" s="101"/>
      <c r="CT504" s="101"/>
      <c r="CU504" s="101"/>
      <c r="CV504" s="101"/>
      <c r="FL504" s="103"/>
      <c r="FN504" s="103"/>
      <c r="FP504" s="103"/>
      <c r="FR504" s="103"/>
    </row>
    <row r="505" spans="2:174" x14ac:dyDescent="0.35">
      <c r="B505" s="97"/>
      <c r="G505" s="100"/>
      <c r="K505" s="98"/>
      <c r="L505" s="101"/>
      <c r="M505" s="101"/>
      <c r="N505" s="101"/>
      <c r="O505" s="101"/>
      <c r="P505" s="102"/>
      <c r="Q505" s="101"/>
      <c r="R505" s="98"/>
      <c r="S505" s="98"/>
      <c r="T505" s="98"/>
      <c r="U505" s="98"/>
      <c r="V505" s="98"/>
      <c r="W505" s="98"/>
      <c r="X505" s="98"/>
      <c r="Y505" s="98"/>
      <c r="Z505" s="103"/>
      <c r="AA505" s="103"/>
      <c r="AB505" s="103"/>
      <c r="AC505" s="103"/>
      <c r="AD505" s="103"/>
      <c r="AE505" s="103"/>
      <c r="AF505" s="103"/>
      <c r="AG505" s="101"/>
      <c r="AH505" s="101"/>
      <c r="AI505" s="101"/>
      <c r="AJ505" s="101"/>
      <c r="AK505" s="101"/>
      <c r="AL505" s="101"/>
      <c r="AM505" s="101"/>
      <c r="AN505" s="103"/>
      <c r="AO505" s="103"/>
      <c r="AP505" s="103"/>
      <c r="AQ505" s="103"/>
      <c r="AR505" s="103"/>
      <c r="AS505" s="103"/>
      <c r="AT505" s="103"/>
      <c r="AU505" s="101"/>
      <c r="AV505" s="101"/>
      <c r="AW505" s="101"/>
      <c r="AX505" s="101"/>
      <c r="AY505" s="101"/>
      <c r="AZ505" s="101"/>
      <c r="BA505" s="101"/>
      <c r="BB505" s="103"/>
      <c r="BC505" s="103"/>
      <c r="BD505" s="103"/>
      <c r="BE505" s="101"/>
      <c r="BF505" s="101"/>
      <c r="BG505" s="101"/>
      <c r="BH505" s="101"/>
      <c r="BI505" s="101"/>
      <c r="BM505" s="101"/>
      <c r="BN505" s="101"/>
      <c r="BO505" s="101"/>
      <c r="BP505" s="101"/>
      <c r="BQ505" s="101"/>
      <c r="BR505" s="101"/>
      <c r="BS505" s="101"/>
      <c r="BT505" s="104"/>
      <c r="BU505" s="104"/>
      <c r="BV505" s="104"/>
      <c r="BW505" s="104"/>
      <c r="BX505" s="104"/>
      <c r="BY505" s="104"/>
      <c r="BZ505" s="104"/>
      <c r="CA505" s="104"/>
      <c r="CB505" s="104"/>
      <c r="CC505" s="104"/>
      <c r="CD505" s="104"/>
      <c r="CE505" s="104"/>
      <c r="CF505" s="104"/>
      <c r="CG505" s="104"/>
      <c r="CH505" s="104"/>
      <c r="CI505" s="104"/>
      <c r="CJ505" s="104"/>
      <c r="CK505" s="104"/>
      <c r="CL505" s="104"/>
      <c r="CM505" s="104"/>
      <c r="CN505" s="104"/>
      <c r="CO505" s="104"/>
      <c r="CP505" s="98"/>
      <c r="CR505" s="101"/>
      <c r="CS505" s="101"/>
      <c r="CT505" s="101"/>
      <c r="CU505" s="101"/>
      <c r="CV505" s="101"/>
      <c r="FL505" s="103"/>
      <c r="FN505" s="103"/>
      <c r="FP505" s="103"/>
      <c r="FR505" s="103"/>
    </row>
    <row r="506" spans="2:174" x14ac:dyDescent="0.35">
      <c r="B506" s="97"/>
      <c r="G506" s="100"/>
      <c r="K506" s="98"/>
      <c r="L506" s="101"/>
      <c r="M506" s="101"/>
      <c r="N506" s="101"/>
      <c r="O506" s="101"/>
      <c r="P506" s="102"/>
      <c r="Q506" s="101"/>
      <c r="R506" s="98"/>
      <c r="S506" s="98"/>
      <c r="T506" s="98"/>
      <c r="U506" s="98"/>
      <c r="V506" s="98"/>
      <c r="W506" s="98"/>
      <c r="X506" s="98"/>
      <c r="Y506" s="98"/>
      <c r="Z506" s="103"/>
      <c r="AA506" s="103"/>
      <c r="AB506" s="103"/>
      <c r="AC506" s="103"/>
      <c r="AD506" s="103"/>
      <c r="AE506" s="103"/>
      <c r="AF506" s="103"/>
      <c r="AG506" s="101"/>
      <c r="AH506" s="101"/>
      <c r="AI506" s="101"/>
      <c r="AJ506" s="101"/>
      <c r="AK506" s="101"/>
      <c r="AL506" s="101"/>
      <c r="AM506" s="101"/>
      <c r="AN506" s="103"/>
      <c r="AO506" s="103"/>
      <c r="AP506" s="103"/>
      <c r="AQ506" s="103"/>
      <c r="AR506" s="103"/>
      <c r="AS506" s="103"/>
      <c r="AT506" s="103"/>
      <c r="AU506" s="101"/>
      <c r="AV506" s="101"/>
      <c r="AW506" s="101"/>
      <c r="AX506" s="101"/>
      <c r="AY506" s="101"/>
      <c r="AZ506" s="101"/>
      <c r="BA506" s="101"/>
      <c r="BB506" s="103"/>
      <c r="BC506" s="103"/>
      <c r="BD506" s="103"/>
      <c r="BE506" s="101"/>
      <c r="BF506" s="101"/>
      <c r="BG506" s="101"/>
      <c r="BH506" s="101"/>
      <c r="BI506" s="101"/>
      <c r="BM506" s="101"/>
      <c r="BN506" s="101"/>
      <c r="BO506" s="101"/>
      <c r="BP506" s="101"/>
      <c r="BQ506" s="101"/>
      <c r="BR506" s="101"/>
      <c r="BS506" s="101"/>
      <c r="BT506" s="104"/>
      <c r="BU506" s="104"/>
      <c r="BV506" s="104"/>
      <c r="BW506" s="104"/>
      <c r="BX506" s="104"/>
      <c r="BY506" s="104"/>
      <c r="BZ506" s="104"/>
      <c r="CA506" s="104"/>
      <c r="CB506" s="104"/>
      <c r="CC506" s="104"/>
      <c r="CD506" s="104"/>
      <c r="CE506" s="104"/>
      <c r="CF506" s="104"/>
      <c r="CG506" s="104"/>
      <c r="CH506" s="104"/>
      <c r="CI506" s="104"/>
      <c r="CJ506" s="104"/>
      <c r="CK506" s="104"/>
      <c r="CL506" s="104"/>
      <c r="CM506" s="104"/>
      <c r="CN506" s="104"/>
      <c r="CO506" s="104"/>
      <c r="CP506" s="98"/>
      <c r="CR506" s="101"/>
      <c r="CS506" s="101"/>
      <c r="CT506" s="101"/>
      <c r="CU506" s="101"/>
      <c r="CV506" s="101"/>
      <c r="FL506" s="103"/>
      <c r="FN506" s="103"/>
      <c r="FP506" s="103"/>
      <c r="FR506" s="103"/>
    </row>
    <row r="507" spans="2:174" x14ac:dyDescent="0.35">
      <c r="B507" s="97"/>
      <c r="G507" s="100"/>
      <c r="K507" s="98"/>
      <c r="L507" s="101"/>
      <c r="M507" s="101"/>
      <c r="N507" s="101"/>
      <c r="O507" s="101"/>
      <c r="P507" s="102"/>
      <c r="Q507" s="101"/>
      <c r="R507" s="98"/>
      <c r="S507" s="98"/>
      <c r="T507" s="98"/>
      <c r="U507" s="98"/>
      <c r="V507" s="98"/>
      <c r="W507" s="98"/>
      <c r="X507" s="98"/>
      <c r="Y507" s="98"/>
      <c r="Z507" s="103"/>
      <c r="AA507" s="103"/>
      <c r="AB507" s="103"/>
      <c r="AC507" s="103"/>
      <c r="AD507" s="103"/>
      <c r="AE507" s="103"/>
      <c r="AF507" s="103"/>
      <c r="AG507" s="101"/>
      <c r="AH507" s="101"/>
      <c r="AI507" s="101"/>
      <c r="AJ507" s="101"/>
      <c r="AK507" s="101"/>
      <c r="AL507" s="101"/>
      <c r="AM507" s="101"/>
      <c r="AN507" s="103"/>
      <c r="AO507" s="103"/>
      <c r="AP507" s="103"/>
      <c r="AQ507" s="103"/>
      <c r="AR507" s="103"/>
      <c r="AS507" s="103"/>
      <c r="AT507" s="103"/>
      <c r="AU507" s="101"/>
      <c r="AV507" s="101"/>
      <c r="AW507" s="101"/>
      <c r="AX507" s="101"/>
      <c r="AY507" s="101"/>
      <c r="AZ507" s="101"/>
      <c r="BA507" s="101"/>
      <c r="BB507" s="103"/>
      <c r="BC507" s="103"/>
      <c r="BD507" s="103"/>
      <c r="BE507" s="101"/>
      <c r="BF507" s="101"/>
      <c r="BG507" s="101"/>
      <c r="BH507" s="101"/>
      <c r="BI507" s="101"/>
      <c r="BM507" s="101"/>
      <c r="BN507" s="101"/>
      <c r="BO507" s="101"/>
      <c r="BP507" s="101"/>
      <c r="BQ507" s="101"/>
      <c r="BR507" s="101"/>
      <c r="BS507" s="101"/>
      <c r="BT507" s="104"/>
      <c r="BU507" s="104"/>
      <c r="BV507" s="104"/>
      <c r="BW507" s="104"/>
      <c r="BX507" s="104"/>
      <c r="BY507" s="104"/>
      <c r="BZ507" s="104"/>
      <c r="CA507" s="104"/>
      <c r="CB507" s="104"/>
      <c r="CC507" s="104"/>
      <c r="CD507" s="104"/>
      <c r="CE507" s="104"/>
      <c r="CF507" s="104"/>
      <c r="CG507" s="104"/>
      <c r="CH507" s="104"/>
      <c r="CI507" s="104"/>
      <c r="CJ507" s="104"/>
      <c r="CK507" s="104"/>
      <c r="CL507" s="104"/>
      <c r="CM507" s="104"/>
      <c r="CN507" s="104"/>
      <c r="CO507" s="104"/>
      <c r="CP507" s="98"/>
      <c r="CR507" s="101"/>
      <c r="CS507" s="101"/>
      <c r="CT507" s="101"/>
      <c r="CU507" s="101"/>
      <c r="CV507" s="101"/>
      <c r="FL507" s="103"/>
      <c r="FN507" s="103"/>
      <c r="FP507" s="103"/>
      <c r="FR507" s="103"/>
    </row>
    <row r="508" spans="2:174" x14ac:dyDescent="0.35">
      <c r="B508" s="97"/>
      <c r="G508" s="100"/>
      <c r="K508" s="98"/>
      <c r="L508" s="101"/>
      <c r="M508" s="101"/>
      <c r="N508" s="101"/>
      <c r="O508" s="101"/>
      <c r="P508" s="102"/>
      <c r="Q508" s="101"/>
      <c r="R508" s="98"/>
      <c r="S508" s="98"/>
      <c r="T508" s="98"/>
      <c r="U508" s="98"/>
      <c r="V508" s="98"/>
      <c r="W508" s="98"/>
      <c r="X508" s="98"/>
      <c r="Y508" s="98"/>
      <c r="Z508" s="103"/>
      <c r="AA508" s="103"/>
      <c r="AB508" s="103"/>
      <c r="AC508" s="103"/>
      <c r="AD508" s="103"/>
      <c r="AE508" s="103"/>
      <c r="AF508" s="103"/>
      <c r="AG508" s="101"/>
      <c r="AH508" s="101"/>
      <c r="AI508" s="101"/>
      <c r="AJ508" s="101"/>
      <c r="AK508" s="101"/>
      <c r="AL508" s="101"/>
      <c r="AM508" s="101"/>
      <c r="AN508" s="103"/>
      <c r="AO508" s="103"/>
      <c r="AP508" s="103"/>
      <c r="AQ508" s="103"/>
      <c r="AR508" s="103"/>
      <c r="AS508" s="103"/>
      <c r="AT508" s="103"/>
      <c r="AU508" s="101"/>
      <c r="AV508" s="101"/>
      <c r="AW508" s="101"/>
      <c r="AX508" s="101"/>
      <c r="AY508" s="101"/>
      <c r="AZ508" s="101"/>
      <c r="BA508" s="101"/>
      <c r="BB508" s="103"/>
      <c r="BC508" s="103"/>
      <c r="BD508" s="103"/>
      <c r="BE508" s="101"/>
      <c r="BF508" s="101"/>
      <c r="BG508" s="101"/>
      <c r="BH508" s="101"/>
      <c r="BI508" s="101"/>
      <c r="BM508" s="101"/>
      <c r="BN508" s="101"/>
      <c r="BO508" s="101"/>
      <c r="BP508" s="101"/>
      <c r="BQ508" s="101"/>
      <c r="BR508" s="101"/>
      <c r="BS508" s="101"/>
      <c r="BT508" s="104"/>
      <c r="BU508" s="104"/>
      <c r="BV508" s="104"/>
      <c r="BW508" s="104"/>
      <c r="BX508" s="104"/>
      <c r="BY508" s="104"/>
      <c r="BZ508" s="104"/>
      <c r="CA508" s="104"/>
      <c r="CB508" s="104"/>
      <c r="CC508" s="104"/>
      <c r="CD508" s="104"/>
      <c r="CE508" s="104"/>
      <c r="CF508" s="104"/>
      <c r="CG508" s="104"/>
      <c r="CH508" s="104"/>
      <c r="CI508" s="104"/>
      <c r="CJ508" s="104"/>
      <c r="CK508" s="104"/>
      <c r="CL508" s="104"/>
      <c r="CM508" s="104"/>
      <c r="CN508" s="104"/>
      <c r="CO508" s="104"/>
      <c r="CP508" s="98"/>
      <c r="CR508" s="101"/>
      <c r="CS508" s="101"/>
      <c r="CT508" s="101"/>
      <c r="CU508" s="101"/>
      <c r="CV508" s="101"/>
      <c r="FL508" s="103"/>
      <c r="FN508" s="103"/>
      <c r="FP508" s="103"/>
      <c r="FR508" s="103"/>
    </row>
    <row r="509" spans="2:174" x14ac:dyDescent="0.35">
      <c r="B509" s="97"/>
      <c r="G509" s="100"/>
      <c r="K509" s="98"/>
      <c r="L509" s="101"/>
      <c r="M509" s="101"/>
      <c r="N509" s="101"/>
      <c r="O509" s="101"/>
      <c r="P509" s="102"/>
      <c r="Q509" s="101"/>
      <c r="R509" s="98"/>
      <c r="S509" s="98"/>
      <c r="T509" s="98"/>
      <c r="U509" s="98"/>
      <c r="V509" s="98"/>
      <c r="W509" s="98"/>
      <c r="X509" s="98"/>
      <c r="Y509" s="98"/>
      <c r="Z509" s="103"/>
      <c r="AA509" s="103"/>
      <c r="AB509" s="103"/>
      <c r="AC509" s="103"/>
      <c r="AD509" s="103"/>
      <c r="AE509" s="103"/>
      <c r="AF509" s="103"/>
      <c r="AG509" s="101"/>
      <c r="AH509" s="101"/>
      <c r="AI509" s="101"/>
      <c r="AJ509" s="101"/>
      <c r="AK509" s="101"/>
      <c r="AL509" s="101"/>
      <c r="AM509" s="101"/>
      <c r="AN509" s="103"/>
      <c r="AO509" s="103"/>
      <c r="AP509" s="103"/>
      <c r="AQ509" s="103"/>
      <c r="AR509" s="103"/>
      <c r="AS509" s="103"/>
      <c r="AT509" s="103"/>
      <c r="AU509" s="101"/>
      <c r="AV509" s="101"/>
      <c r="AW509" s="101"/>
      <c r="AX509" s="101"/>
      <c r="AY509" s="101"/>
      <c r="AZ509" s="101"/>
      <c r="BA509" s="101"/>
      <c r="BB509" s="103"/>
      <c r="BC509" s="103"/>
      <c r="BD509" s="103"/>
      <c r="BE509" s="101"/>
      <c r="BF509" s="101"/>
      <c r="BG509" s="101"/>
      <c r="BH509" s="101"/>
      <c r="BI509" s="101"/>
      <c r="BM509" s="101"/>
      <c r="BN509" s="101"/>
      <c r="BO509" s="101"/>
      <c r="BP509" s="101"/>
      <c r="BQ509" s="101"/>
      <c r="BR509" s="101"/>
      <c r="BS509" s="101"/>
      <c r="BT509" s="104"/>
      <c r="BU509" s="104"/>
      <c r="BV509" s="104"/>
      <c r="BW509" s="104"/>
      <c r="BX509" s="104"/>
      <c r="BY509" s="104"/>
      <c r="BZ509" s="104"/>
      <c r="CA509" s="104"/>
      <c r="CB509" s="104"/>
      <c r="CC509" s="104"/>
      <c r="CD509" s="104"/>
      <c r="CE509" s="104"/>
      <c r="CF509" s="104"/>
      <c r="CG509" s="104"/>
      <c r="CH509" s="104"/>
      <c r="CI509" s="104"/>
      <c r="CJ509" s="104"/>
      <c r="CK509" s="104"/>
      <c r="CL509" s="104"/>
      <c r="CM509" s="104"/>
      <c r="CN509" s="104"/>
      <c r="CO509" s="104"/>
      <c r="CP509" s="98"/>
      <c r="CR509" s="101"/>
      <c r="CS509" s="101"/>
      <c r="CT509" s="101"/>
      <c r="CU509" s="101"/>
      <c r="CV509" s="101"/>
      <c r="FL509" s="103"/>
      <c r="FN509" s="103"/>
      <c r="FP509" s="103"/>
      <c r="FR509" s="103"/>
    </row>
    <row r="510" spans="2:174" x14ac:dyDescent="0.35">
      <c r="B510" s="97"/>
      <c r="G510" s="100"/>
      <c r="K510" s="98"/>
      <c r="L510" s="101"/>
      <c r="M510" s="101"/>
      <c r="N510" s="101"/>
      <c r="O510" s="101"/>
      <c r="P510" s="102"/>
      <c r="Q510" s="101"/>
      <c r="R510" s="98"/>
      <c r="S510" s="98"/>
      <c r="T510" s="98"/>
      <c r="U510" s="98"/>
      <c r="V510" s="98"/>
      <c r="W510" s="98"/>
      <c r="X510" s="98"/>
      <c r="Y510" s="98"/>
      <c r="Z510" s="103"/>
      <c r="AA510" s="103"/>
      <c r="AB510" s="103"/>
      <c r="AC510" s="103"/>
      <c r="AD510" s="103"/>
      <c r="AE510" s="103"/>
      <c r="AF510" s="103"/>
      <c r="AG510" s="101"/>
      <c r="AH510" s="101"/>
      <c r="AI510" s="101"/>
      <c r="AJ510" s="101"/>
      <c r="AK510" s="101"/>
      <c r="AL510" s="101"/>
      <c r="AM510" s="101"/>
      <c r="AN510" s="103"/>
      <c r="AO510" s="103"/>
      <c r="AP510" s="103"/>
      <c r="AQ510" s="103"/>
      <c r="AR510" s="103"/>
      <c r="AS510" s="103"/>
      <c r="AT510" s="103"/>
      <c r="AU510" s="101"/>
      <c r="AV510" s="101"/>
      <c r="AW510" s="101"/>
      <c r="AX510" s="101"/>
      <c r="AY510" s="101"/>
      <c r="AZ510" s="101"/>
      <c r="BA510" s="101"/>
      <c r="BB510" s="103"/>
      <c r="BC510" s="103"/>
      <c r="BD510" s="103"/>
      <c r="BE510" s="101"/>
      <c r="BF510" s="101"/>
      <c r="BG510" s="101"/>
      <c r="BH510" s="101"/>
      <c r="BI510" s="101"/>
      <c r="BM510" s="101"/>
      <c r="BN510" s="101"/>
      <c r="BO510" s="101"/>
      <c r="BP510" s="101"/>
      <c r="BQ510" s="101"/>
      <c r="BR510" s="101"/>
      <c r="BS510" s="101"/>
      <c r="BT510" s="104"/>
      <c r="BU510" s="104"/>
      <c r="BV510" s="104"/>
      <c r="BW510" s="104"/>
      <c r="BX510" s="104"/>
      <c r="BY510" s="104"/>
      <c r="BZ510" s="104"/>
      <c r="CA510" s="104"/>
      <c r="CB510" s="104"/>
      <c r="CC510" s="104"/>
      <c r="CD510" s="104"/>
      <c r="CE510" s="104"/>
      <c r="CF510" s="104"/>
      <c r="CG510" s="104"/>
      <c r="CH510" s="104"/>
      <c r="CI510" s="104"/>
      <c r="CJ510" s="104"/>
      <c r="CK510" s="104"/>
      <c r="CL510" s="104"/>
      <c r="CM510" s="104"/>
      <c r="CN510" s="104"/>
      <c r="CO510" s="104"/>
      <c r="CP510" s="98"/>
      <c r="CR510" s="101"/>
      <c r="CS510" s="101"/>
      <c r="CT510" s="101"/>
      <c r="CU510" s="101"/>
      <c r="CV510" s="101"/>
      <c r="FL510" s="103"/>
      <c r="FN510" s="103"/>
      <c r="FP510" s="103"/>
      <c r="FR510" s="103"/>
    </row>
    <row r="511" spans="2:174" x14ac:dyDescent="0.35">
      <c r="B511" s="97"/>
      <c r="G511" s="100"/>
      <c r="K511" s="98"/>
      <c r="L511" s="101"/>
      <c r="M511" s="101"/>
      <c r="N511" s="101"/>
      <c r="O511" s="101"/>
      <c r="P511" s="102"/>
      <c r="Q511" s="101"/>
      <c r="R511" s="98"/>
      <c r="S511" s="98"/>
      <c r="T511" s="98"/>
      <c r="U511" s="98"/>
      <c r="V511" s="98"/>
      <c r="W511" s="98"/>
      <c r="X511" s="98"/>
      <c r="Y511" s="98"/>
      <c r="Z511" s="103"/>
      <c r="AA511" s="103"/>
      <c r="AB511" s="103"/>
      <c r="AC511" s="103"/>
      <c r="AD511" s="103"/>
      <c r="AE511" s="103"/>
      <c r="AF511" s="103"/>
      <c r="AG511" s="101"/>
      <c r="AH511" s="101"/>
      <c r="AI511" s="101"/>
      <c r="AJ511" s="101"/>
      <c r="AK511" s="101"/>
      <c r="AL511" s="101"/>
      <c r="AM511" s="101"/>
      <c r="AN511" s="103"/>
      <c r="AO511" s="103"/>
      <c r="AP511" s="103"/>
      <c r="AQ511" s="103"/>
      <c r="AR511" s="103"/>
      <c r="AS511" s="103"/>
      <c r="AT511" s="103"/>
      <c r="AU511" s="101"/>
      <c r="AV511" s="101"/>
      <c r="AW511" s="101"/>
      <c r="AX511" s="101"/>
      <c r="AY511" s="101"/>
      <c r="AZ511" s="101"/>
      <c r="BA511" s="101"/>
      <c r="BB511" s="103"/>
      <c r="BC511" s="103"/>
      <c r="BD511" s="103"/>
      <c r="BE511" s="101"/>
      <c r="BF511" s="101"/>
      <c r="BG511" s="101"/>
      <c r="BH511" s="101"/>
      <c r="BI511" s="101"/>
      <c r="BM511" s="101"/>
      <c r="BN511" s="101"/>
      <c r="BO511" s="101"/>
      <c r="BP511" s="101"/>
      <c r="BQ511" s="101"/>
      <c r="BR511" s="101"/>
      <c r="BS511" s="101"/>
      <c r="BT511" s="104"/>
      <c r="BU511" s="104"/>
      <c r="BV511" s="104"/>
      <c r="BW511" s="104"/>
      <c r="BX511" s="104"/>
      <c r="BY511" s="104"/>
      <c r="BZ511" s="104"/>
      <c r="CA511" s="104"/>
      <c r="CB511" s="104"/>
      <c r="CC511" s="104"/>
      <c r="CD511" s="104"/>
      <c r="CE511" s="104"/>
      <c r="CF511" s="104"/>
      <c r="CG511" s="104"/>
      <c r="CH511" s="104"/>
      <c r="CI511" s="104"/>
      <c r="CJ511" s="104"/>
      <c r="CK511" s="104"/>
      <c r="CL511" s="104"/>
      <c r="CM511" s="104"/>
      <c r="CN511" s="104"/>
      <c r="CO511" s="104"/>
      <c r="CP511" s="98"/>
      <c r="CR511" s="101"/>
      <c r="CS511" s="101"/>
      <c r="CT511" s="101"/>
      <c r="CU511" s="101"/>
      <c r="CV511" s="101"/>
      <c r="FL511" s="103"/>
      <c r="FN511" s="103"/>
      <c r="FP511" s="103"/>
      <c r="FR511" s="103"/>
    </row>
    <row r="512" spans="2:174" x14ac:dyDescent="0.35">
      <c r="B512" s="97"/>
      <c r="G512" s="100"/>
      <c r="K512" s="98"/>
      <c r="L512" s="101"/>
      <c r="M512" s="101"/>
      <c r="N512" s="101"/>
      <c r="O512" s="101"/>
      <c r="P512" s="102"/>
      <c r="Q512" s="101"/>
      <c r="R512" s="98"/>
      <c r="S512" s="98"/>
      <c r="T512" s="98"/>
      <c r="U512" s="98"/>
      <c r="V512" s="98"/>
      <c r="W512" s="98"/>
      <c r="X512" s="98"/>
      <c r="Y512" s="98"/>
      <c r="Z512" s="103"/>
      <c r="AA512" s="103"/>
      <c r="AB512" s="103"/>
      <c r="AC512" s="103"/>
      <c r="AD512" s="103"/>
      <c r="AE512" s="103"/>
      <c r="AF512" s="103"/>
      <c r="AG512" s="101"/>
      <c r="AH512" s="101"/>
      <c r="AI512" s="101"/>
      <c r="AJ512" s="101"/>
      <c r="AK512" s="101"/>
      <c r="AL512" s="101"/>
      <c r="AM512" s="101"/>
      <c r="AN512" s="103"/>
      <c r="AO512" s="103"/>
      <c r="AP512" s="103"/>
      <c r="AQ512" s="103"/>
      <c r="AR512" s="103"/>
      <c r="AS512" s="103"/>
      <c r="AT512" s="103"/>
      <c r="AU512" s="101"/>
      <c r="AV512" s="101"/>
      <c r="AW512" s="101"/>
      <c r="AX512" s="101"/>
      <c r="AY512" s="101"/>
      <c r="AZ512" s="101"/>
      <c r="BA512" s="101"/>
      <c r="BB512" s="103"/>
      <c r="BC512" s="103"/>
      <c r="BD512" s="103"/>
      <c r="BE512" s="101"/>
      <c r="BF512" s="101"/>
      <c r="BG512" s="101"/>
      <c r="BH512" s="101"/>
      <c r="BI512" s="101"/>
      <c r="BM512" s="101"/>
      <c r="BN512" s="101"/>
      <c r="BO512" s="101"/>
      <c r="BP512" s="101"/>
      <c r="BQ512" s="101"/>
      <c r="BR512" s="101"/>
      <c r="BS512" s="101"/>
      <c r="BT512" s="104"/>
      <c r="BU512" s="104"/>
      <c r="BV512" s="104"/>
      <c r="BW512" s="104"/>
      <c r="BX512" s="104"/>
      <c r="BY512" s="104"/>
      <c r="BZ512" s="104"/>
      <c r="CA512" s="104"/>
      <c r="CB512" s="104"/>
      <c r="CC512" s="104"/>
      <c r="CD512" s="104"/>
      <c r="CE512" s="104"/>
      <c r="CF512" s="104"/>
      <c r="CG512" s="104"/>
      <c r="CH512" s="104"/>
      <c r="CI512" s="104"/>
      <c r="CJ512" s="104"/>
      <c r="CK512" s="104"/>
      <c r="CL512" s="104"/>
      <c r="CM512" s="104"/>
      <c r="CN512" s="104"/>
      <c r="CO512" s="104"/>
      <c r="CP512" s="98"/>
      <c r="CR512" s="101"/>
      <c r="CS512" s="101"/>
      <c r="CT512" s="101"/>
      <c r="CU512" s="101"/>
      <c r="CV512" s="101"/>
      <c r="FL512" s="103"/>
      <c r="FN512" s="103"/>
      <c r="FP512" s="103"/>
      <c r="FR512" s="103"/>
    </row>
    <row r="513" spans="2:174" x14ac:dyDescent="0.35">
      <c r="B513" s="97"/>
      <c r="G513" s="100"/>
      <c r="K513" s="98"/>
      <c r="L513" s="101"/>
      <c r="M513" s="101"/>
      <c r="N513" s="101"/>
      <c r="O513" s="101"/>
      <c r="P513" s="102"/>
      <c r="Q513" s="101"/>
      <c r="R513" s="98"/>
      <c r="S513" s="98"/>
      <c r="T513" s="98"/>
      <c r="U513" s="98"/>
      <c r="V513" s="98"/>
      <c r="W513" s="98"/>
      <c r="X513" s="98"/>
      <c r="Y513" s="98"/>
      <c r="Z513" s="103"/>
      <c r="AA513" s="103"/>
      <c r="AB513" s="103"/>
      <c r="AC513" s="103"/>
      <c r="AD513" s="103"/>
      <c r="AE513" s="103"/>
      <c r="AF513" s="103"/>
      <c r="AG513" s="101"/>
      <c r="AH513" s="101"/>
      <c r="AI513" s="101"/>
      <c r="AJ513" s="101"/>
      <c r="AK513" s="101"/>
      <c r="AL513" s="101"/>
      <c r="AM513" s="101"/>
      <c r="AN513" s="103"/>
      <c r="AO513" s="103"/>
      <c r="AP513" s="103"/>
      <c r="AQ513" s="103"/>
      <c r="AR513" s="103"/>
      <c r="AS513" s="103"/>
      <c r="AT513" s="103"/>
      <c r="AU513" s="101"/>
      <c r="AV513" s="101"/>
      <c r="AW513" s="101"/>
      <c r="AX513" s="101"/>
      <c r="AY513" s="101"/>
      <c r="AZ513" s="101"/>
      <c r="BA513" s="101"/>
      <c r="BB513" s="103"/>
      <c r="BC513" s="103"/>
      <c r="BD513" s="103"/>
      <c r="BE513" s="101"/>
      <c r="BF513" s="101"/>
      <c r="BG513" s="101"/>
      <c r="BH513" s="101"/>
      <c r="BI513" s="101"/>
      <c r="BM513" s="101"/>
      <c r="BN513" s="101"/>
      <c r="BO513" s="101"/>
      <c r="BP513" s="101"/>
      <c r="BQ513" s="101"/>
      <c r="BR513" s="101"/>
      <c r="BS513" s="101"/>
      <c r="BT513" s="104"/>
      <c r="BU513" s="104"/>
      <c r="BV513" s="104"/>
      <c r="BW513" s="104"/>
      <c r="BX513" s="104"/>
      <c r="BY513" s="104"/>
      <c r="BZ513" s="104"/>
      <c r="CA513" s="104"/>
      <c r="CB513" s="104"/>
      <c r="CC513" s="104"/>
      <c r="CD513" s="104"/>
      <c r="CE513" s="104"/>
      <c r="CF513" s="104"/>
      <c r="CG513" s="104"/>
      <c r="CH513" s="104"/>
      <c r="CI513" s="104"/>
      <c r="CJ513" s="104"/>
      <c r="CK513" s="104"/>
      <c r="CL513" s="104"/>
      <c r="CM513" s="104"/>
      <c r="CN513" s="104"/>
      <c r="CO513" s="104"/>
      <c r="CP513" s="98"/>
      <c r="CR513" s="101"/>
      <c r="CS513" s="101"/>
      <c r="CT513" s="101"/>
      <c r="CU513" s="101"/>
      <c r="CV513" s="101"/>
      <c r="FL513" s="103"/>
      <c r="FN513" s="103"/>
      <c r="FP513" s="103"/>
      <c r="FR513" s="103"/>
    </row>
    <row r="514" spans="2:174" x14ac:dyDescent="0.35">
      <c r="B514" s="97"/>
      <c r="G514" s="100"/>
      <c r="K514" s="98"/>
      <c r="L514" s="101"/>
      <c r="M514" s="101"/>
      <c r="N514" s="101"/>
      <c r="O514" s="101"/>
      <c r="P514" s="102"/>
      <c r="Q514" s="101"/>
      <c r="R514" s="98"/>
      <c r="S514" s="98"/>
      <c r="T514" s="98"/>
      <c r="U514" s="98"/>
      <c r="V514" s="98"/>
      <c r="W514" s="98"/>
      <c r="X514" s="98"/>
      <c r="Y514" s="98"/>
      <c r="Z514" s="103"/>
      <c r="AA514" s="103"/>
      <c r="AB514" s="103"/>
      <c r="AC514" s="103"/>
      <c r="AD514" s="103"/>
      <c r="AE514" s="103"/>
      <c r="AF514" s="103"/>
      <c r="AG514" s="101"/>
      <c r="AH514" s="101"/>
      <c r="AI514" s="101"/>
      <c r="AJ514" s="101"/>
      <c r="AK514" s="101"/>
      <c r="AL514" s="101"/>
      <c r="AM514" s="101"/>
      <c r="AN514" s="103"/>
      <c r="AO514" s="103"/>
      <c r="AP514" s="103"/>
      <c r="AQ514" s="103"/>
      <c r="AR514" s="103"/>
      <c r="AS514" s="103"/>
      <c r="AT514" s="103"/>
      <c r="AU514" s="101"/>
      <c r="AV514" s="101"/>
      <c r="AW514" s="101"/>
      <c r="AX514" s="101"/>
      <c r="AY514" s="101"/>
      <c r="AZ514" s="101"/>
      <c r="BA514" s="101"/>
      <c r="BB514" s="103"/>
      <c r="BC514" s="103"/>
      <c r="BD514" s="103"/>
      <c r="BE514" s="101"/>
      <c r="BF514" s="101"/>
      <c r="BG514" s="101"/>
      <c r="BH514" s="101"/>
      <c r="BI514" s="101"/>
      <c r="BM514" s="101"/>
      <c r="BN514" s="101"/>
      <c r="BO514" s="101"/>
      <c r="BP514" s="101"/>
      <c r="BQ514" s="101"/>
      <c r="BR514" s="101"/>
      <c r="BS514" s="101"/>
      <c r="BT514" s="104"/>
      <c r="BU514" s="104"/>
      <c r="BV514" s="104"/>
      <c r="BW514" s="104"/>
      <c r="BX514" s="104"/>
      <c r="BY514" s="104"/>
      <c r="BZ514" s="104"/>
      <c r="CA514" s="104"/>
      <c r="CB514" s="104"/>
      <c r="CC514" s="104"/>
      <c r="CD514" s="104"/>
      <c r="CE514" s="104"/>
      <c r="CF514" s="104"/>
      <c r="CG514" s="104"/>
      <c r="CH514" s="104"/>
      <c r="CI514" s="104"/>
      <c r="CJ514" s="104"/>
      <c r="CK514" s="104"/>
      <c r="CL514" s="104"/>
      <c r="CM514" s="104"/>
      <c r="CN514" s="104"/>
      <c r="CO514" s="104"/>
      <c r="CP514" s="98"/>
      <c r="CR514" s="101"/>
      <c r="CS514" s="101"/>
      <c r="CT514" s="101"/>
      <c r="CU514" s="101"/>
      <c r="CV514" s="101"/>
      <c r="FL514" s="103"/>
      <c r="FN514" s="103"/>
      <c r="FP514" s="103"/>
      <c r="FR514" s="103"/>
    </row>
    <row r="515" spans="2:174" x14ac:dyDescent="0.35">
      <c r="B515" s="97"/>
      <c r="G515" s="100"/>
      <c r="K515" s="98"/>
      <c r="L515" s="101"/>
      <c r="M515" s="101"/>
      <c r="N515" s="101"/>
      <c r="O515" s="101"/>
      <c r="P515" s="102"/>
      <c r="Q515" s="101"/>
      <c r="R515" s="98"/>
      <c r="S515" s="98"/>
      <c r="T515" s="98"/>
      <c r="U515" s="98"/>
      <c r="V515" s="98"/>
      <c r="W515" s="98"/>
      <c r="X515" s="98"/>
      <c r="Y515" s="98"/>
      <c r="Z515" s="103"/>
      <c r="AA515" s="103"/>
      <c r="AB515" s="103"/>
      <c r="AC515" s="103"/>
      <c r="AD515" s="103"/>
      <c r="AE515" s="103"/>
      <c r="AF515" s="103"/>
      <c r="AG515" s="101"/>
      <c r="AH515" s="101"/>
      <c r="AI515" s="101"/>
      <c r="AJ515" s="101"/>
      <c r="AK515" s="101"/>
      <c r="AL515" s="101"/>
      <c r="AM515" s="101"/>
      <c r="AN515" s="103"/>
      <c r="AO515" s="103"/>
      <c r="AP515" s="103"/>
      <c r="AQ515" s="103"/>
      <c r="AR515" s="103"/>
      <c r="AS515" s="103"/>
      <c r="AT515" s="103"/>
      <c r="AU515" s="101"/>
      <c r="AV515" s="101"/>
      <c r="AW515" s="101"/>
      <c r="AX515" s="101"/>
      <c r="AY515" s="101"/>
      <c r="AZ515" s="101"/>
      <c r="BA515" s="101"/>
      <c r="BB515" s="103"/>
      <c r="BC515" s="103"/>
      <c r="BD515" s="103"/>
      <c r="BE515" s="101"/>
      <c r="BF515" s="101"/>
      <c r="BG515" s="101"/>
      <c r="BH515" s="101"/>
      <c r="BI515" s="101"/>
      <c r="BM515" s="101"/>
      <c r="BN515" s="101"/>
      <c r="BO515" s="101"/>
      <c r="BP515" s="101"/>
      <c r="BQ515" s="101"/>
      <c r="BR515" s="101"/>
      <c r="BS515" s="101"/>
      <c r="BT515" s="104"/>
      <c r="BU515" s="104"/>
      <c r="BV515" s="104"/>
      <c r="BW515" s="104"/>
      <c r="BX515" s="104"/>
      <c r="BY515" s="104"/>
      <c r="BZ515" s="104"/>
      <c r="CA515" s="104"/>
      <c r="CB515" s="104"/>
      <c r="CC515" s="104"/>
      <c r="CD515" s="104"/>
      <c r="CE515" s="104"/>
      <c r="CF515" s="104"/>
      <c r="CG515" s="104"/>
      <c r="CH515" s="104"/>
      <c r="CI515" s="104"/>
      <c r="CJ515" s="104"/>
      <c r="CK515" s="104"/>
      <c r="CL515" s="104"/>
      <c r="CM515" s="104"/>
      <c r="CN515" s="104"/>
      <c r="CO515" s="104"/>
      <c r="CP515" s="98"/>
      <c r="CR515" s="101"/>
      <c r="CS515" s="101"/>
      <c r="CT515" s="101"/>
      <c r="CU515" s="101"/>
      <c r="CV515" s="101"/>
      <c r="FL515" s="103"/>
      <c r="FN515" s="103"/>
      <c r="FP515" s="103"/>
      <c r="FR515" s="103"/>
    </row>
    <row r="516" spans="2:174" x14ac:dyDescent="0.35">
      <c r="B516" s="97"/>
      <c r="G516" s="100"/>
      <c r="K516" s="98"/>
      <c r="L516" s="101"/>
      <c r="M516" s="101"/>
      <c r="N516" s="101"/>
      <c r="O516" s="101"/>
      <c r="P516" s="102"/>
      <c r="Q516" s="101"/>
      <c r="R516" s="98"/>
      <c r="S516" s="98"/>
      <c r="T516" s="98"/>
      <c r="U516" s="98"/>
      <c r="V516" s="98"/>
      <c r="W516" s="98"/>
      <c r="X516" s="98"/>
      <c r="Y516" s="98"/>
      <c r="Z516" s="103"/>
      <c r="AA516" s="103"/>
      <c r="AB516" s="103"/>
      <c r="AC516" s="103"/>
      <c r="AD516" s="103"/>
      <c r="AE516" s="103"/>
      <c r="AF516" s="103"/>
      <c r="AG516" s="101"/>
      <c r="AH516" s="101"/>
      <c r="AI516" s="101"/>
      <c r="AJ516" s="101"/>
      <c r="AK516" s="101"/>
      <c r="AL516" s="101"/>
      <c r="AM516" s="101"/>
      <c r="AN516" s="103"/>
      <c r="AO516" s="103"/>
      <c r="AP516" s="103"/>
      <c r="AQ516" s="103"/>
      <c r="AR516" s="103"/>
      <c r="AS516" s="103"/>
      <c r="AT516" s="103"/>
      <c r="AU516" s="101"/>
      <c r="AV516" s="101"/>
      <c r="AW516" s="101"/>
      <c r="AX516" s="101"/>
      <c r="AY516" s="101"/>
      <c r="AZ516" s="101"/>
      <c r="BA516" s="101"/>
      <c r="BB516" s="103"/>
      <c r="BC516" s="103"/>
      <c r="BD516" s="103"/>
      <c r="BE516" s="101"/>
      <c r="BF516" s="101"/>
      <c r="BG516" s="101"/>
      <c r="BH516" s="101"/>
      <c r="BI516" s="101"/>
      <c r="BM516" s="101"/>
      <c r="BN516" s="101"/>
      <c r="BO516" s="101"/>
      <c r="BP516" s="101"/>
      <c r="BQ516" s="101"/>
      <c r="BR516" s="101"/>
      <c r="BS516" s="101"/>
      <c r="BT516" s="104"/>
      <c r="BU516" s="104"/>
      <c r="BV516" s="104"/>
      <c r="BW516" s="104"/>
      <c r="BX516" s="104"/>
      <c r="BY516" s="104"/>
      <c r="BZ516" s="104"/>
      <c r="CA516" s="104"/>
      <c r="CB516" s="104"/>
      <c r="CC516" s="104"/>
      <c r="CD516" s="104"/>
      <c r="CE516" s="104"/>
      <c r="CF516" s="104"/>
      <c r="CG516" s="104"/>
      <c r="CH516" s="104"/>
      <c r="CI516" s="104"/>
      <c r="CJ516" s="104"/>
      <c r="CK516" s="104"/>
      <c r="CL516" s="104"/>
      <c r="CM516" s="104"/>
      <c r="CN516" s="104"/>
      <c r="CO516" s="104"/>
      <c r="CP516" s="98"/>
      <c r="CR516" s="101"/>
      <c r="CS516" s="101"/>
      <c r="CT516" s="101"/>
      <c r="CU516" s="101"/>
      <c r="CV516" s="101"/>
      <c r="FL516" s="103"/>
      <c r="FN516" s="103"/>
      <c r="FP516" s="103"/>
      <c r="FR516" s="103"/>
    </row>
    <row r="517" spans="2:174" x14ac:dyDescent="0.35">
      <c r="B517" s="97"/>
      <c r="G517" s="100"/>
      <c r="K517" s="98"/>
      <c r="L517" s="101"/>
      <c r="M517" s="101"/>
      <c r="N517" s="101"/>
      <c r="O517" s="101"/>
      <c r="P517" s="102"/>
      <c r="Q517" s="101"/>
      <c r="R517" s="98"/>
      <c r="S517" s="98"/>
      <c r="T517" s="98"/>
      <c r="U517" s="98"/>
      <c r="V517" s="98"/>
      <c r="W517" s="98"/>
      <c r="X517" s="98"/>
      <c r="Y517" s="98"/>
      <c r="Z517" s="103"/>
      <c r="AA517" s="103"/>
      <c r="AB517" s="103"/>
      <c r="AC517" s="103"/>
      <c r="AD517" s="103"/>
      <c r="AE517" s="103"/>
      <c r="AF517" s="103"/>
      <c r="AG517" s="101"/>
      <c r="AH517" s="101"/>
      <c r="AI517" s="101"/>
      <c r="AJ517" s="101"/>
      <c r="AK517" s="101"/>
      <c r="AL517" s="101"/>
      <c r="AM517" s="101"/>
      <c r="AN517" s="103"/>
      <c r="AO517" s="103"/>
      <c r="AP517" s="103"/>
      <c r="AQ517" s="103"/>
      <c r="AR517" s="103"/>
      <c r="AS517" s="103"/>
      <c r="AT517" s="103"/>
      <c r="AU517" s="101"/>
      <c r="AV517" s="101"/>
      <c r="AW517" s="101"/>
      <c r="AX517" s="101"/>
      <c r="AY517" s="101"/>
      <c r="AZ517" s="101"/>
      <c r="BA517" s="101"/>
      <c r="BB517" s="103"/>
      <c r="BC517" s="103"/>
      <c r="BD517" s="103"/>
      <c r="BE517" s="101"/>
      <c r="BF517" s="101"/>
      <c r="BG517" s="101"/>
      <c r="BH517" s="101"/>
      <c r="BI517" s="101"/>
      <c r="BM517" s="101"/>
      <c r="BN517" s="101"/>
      <c r="BO517" s="101"/>
      <c r="BP517" s="101"/>
      <c r="BQ517" s="101"/>
      <c r="BR517" s="101"/>
      <c r="BS517" s="101"/>
      <c r="BT517" s="104"/>
      <c r="BU517" s="104"/>
      <c r="BV517" s="104"/>
      <c r="BW517" s="104"/>
      <c r="BX517" s="104"/>
      <c r="BY517" s="104"/>
      <c r="BZ517" s="104"/>
      <c r="CA517" s="104"/>
      <c r="CB517" s="104"/>
      <c r="CC517" s="104"/>
      <c r="CD517" s="104"/>
      <c r="CE517" s="104"/>
      <c r="CF517" s="104"/>
      <c r="CG517" s="104"/>
      <c r="CH517" s="104"/>
      <c r="CI517" s="104"/>
      <c r="CJ517" s="104"/>
      <c r="CK517" s="104"/>
      <c r="CL517" s="104"/>
      <c r="CM517" s="104"/>
      <c r="CN517" s="104"/>
      <c r="CO517" s="104"/>
      <c r="CP517" s="98"/>
      <c r="CR517" s="101"/>
      <c r="CS517" s="101"/>
      <c r="CT517" s="101"/>
      <c r="CU517" s="101"/>
      <c r="CV517" s="101"/>
      <c r="FL517" s="103"/>
      <c r="FN517" s="103"/>
      <c r="FP517" s="103"/>
      <c r="FR517" s="103"/>
    </row>
    <row r="518" spans="2:174" x14ac:dyDescent="0.35">
      <c r="B518" s="97"/>
      <c r="G518" s="100"/>
      <c r="K518" s="98"/>
      <c r="L518" s="101"/>
      <c r="M518" s="101"/>
      <c r="N518" s="101"/>
      <c r="O518" s="101"/>
      <c r="P518" s="102"/>
      <c r="Q518" s="101"/>
      <c r="R518" s="98"/>
      <c r="S518" s="98"/>
      <c r="T518" s="98"/>
      <c r="U518" s="98"/>
      <c r="V518" s="98"/>
      <c r="W518" s="98"/>
      <c r="X518" s="98"/>
      <c r="Y518" s="98"/>
      <c r="Z518" s="103"/>
      <c r="AA518" s="103"/>
      <c r="AB518" s="103"/>
      <c r="AC518" s="103"/>
      <c r="AD518" s="103"/>
      <c r="AE518" s="103"/>
      <c r="AF518" s="103"/>
      <c r="AG518" s="101"/>
      <c r="AH518" s="101"/>
      <c r="AI518" s="101"/>
      <c r="AJ518" s="101"/>
      <c r="AK518" s="101"/>
      <c r="AL518" s="101"/>
      <c r="AM518" s="101"/>
      <c r="AN518" s="103"/>
      <c r="AO518" s="103"/>
      <c r="AP518" s="103"/>
      <c r="AQ518" s="103"/>
      <c r="AR518" s="103"/>
      <c r="AS518" s="103"/>
      <c r="AT518" s="103"/>
      <c r="AU518" s="101"/>
      <c r="AV518" s="101"/>
      <c r="AW518" s="101"/>
      <c r="AX518" s="101"/>
      <c r="AY518" s="101"/>
      <c r="AZ518" s="101"/>
      <c r="BA518" s="101"/>
      <c r="BB518" s="103"/>
      <c r="BC518" s="103"/>
      <c r="BD518" s="103"/>
      <c r="BE518" s="101"/>
      <c r="BF518" s="101"/>
      <c r="BG518" s="101"/>
      <c r="BH518" s="101"/>
      <c r="BI518" s="101"/>
      <c r="BM518" s="101"/>
      <c r="BN518" s="101"/>
      <c r="BO518" s="101"/>
      <c r="BP518" s="101"/>
      <c r="BQ518" s="101"/>
      <c r="BR518" s="101"/>
      <c r="BS518" s="101"/>
      <c r="BT518" s="104"/>
      <c r="BU518" s="104"/>
      <c r="BV518" s="104"/>
      <c r="BW518" s="104"/>
      <c r="BX518" s="104"/>
      <c r="BY518" s="104"/>
      <c r="BZ518" s="104"/>
      <c r="CA518" s="104"/>
      <c r="CB518" s="104"/>
      <c r="CC518" s="104"/>
      <c r="CD518" s="104"/>
      <c r="CE518" s="104"/>
      <c r="CF518" s="104"/>
      <c r="CG518" s="104"/>
      <c r="CH518" s="104"/>
      <c r="CI518" s="104"/>
      <c r="CJ518" s="104"/>
      <c r="CK518" s="104"/>
      <c r="CL518" s="104"/>
      <c r="CM518" s="104"/>
      <c r="CN518" s="104"/>
      <c r="CO518" s="104"/>
      <c r="CP518" s="98"/>
      <c r="CR518" s="101"/>
      <c r="CS518" s="101"/>
      <c r="CT518" s="101"/>
      <c r="CU518" s="101"/>
      <c r="CV518" s="101"/>
      <c r="FL518" s="103"/>
      <c r="FN518" s="103"/>
      <c r="FP518" s="103"/>
      <c r="FR518" s="103"/>
    </row>
    <row r="519" spans="2:174" x14ac:dyDescent="0.35">
      <c r="B519" s="97"/>
      <c r="G519" s="100"/>
      <c r="K519" s="98"/>
      <c r="L519" s="101"/>
      <c r="M519" s="101"/>
      <c r="N519" s="101"/>
      <c r="O519" s="101"/>
      <c r="P519" s="102"/>
      <c r="Q519" s="101"/>
      <c r="R519" s="98"/>
      <c r="S519" s="98"/>
      <c r="T519" s="98"/>
      <c r="U519" s="98"/>
      <c r="V519" s="98"/>
      <c r="W519" s="98"/>
      <c r="X519" s="98"/>
      <c r="Y519" s="98"/>
      <c r="Z519" s="103"/>
      <c r="AA519" s="103"/>
      <c r="AB519" s="103"/>
      <c r="AC519" s="103"/>
      <c r="AD519" s="103"/>
      <c r="AE519" s="103"/>
      <c r="AF519" s="103"/>
      <c r="AG519" s="101"/>
      <c r="AH519" s="101"/>
      <c r="AI519" s="101"/>
      <c r="AJ519" s="101"/>
      <c r="AK519" s="101"/>
      <c r="AL519" s="101"/>
      <c r="AM519" s="101"/>
      <c r="AN519" s="103"/>
      <c r="AO519" s="103"/>
      <c r="AP519" s="103"/>
      <c r="AQ519" s="103"/>
      <c r="AR519" s="103"/>
      <c r="AS519" s="103"/>
      <c r="AT519" s="103"/>
      <c r="AU519" s="101"/>
      <c r="AV519" s="101"/>
      <c r="AW519" s="101"/>
      <c r="AX519" s="101"/>
      <c r="AY519" s="101"/>
      <c r="AZ519" s="101"/>
      <c r="BA519" s="101"/>
      <c r="BB519" s="103"/>
      <c r="BC519" s="103"/>
      <c r="BD519" s="103"/>
      <c r="BE519" s="101"/>
      <c r="BF519" s="101"/>
      <c r="BG519" s="101"/>
      <c r="BH519" s="101"/>
      <c r="BI519" s="101"/>
      <c r="BM519" s="101"/>
      <c r="BN519" s="101"/>
      <c r="BO519" s="101"/>
      <c r="BP519" s="101"/>
      <c r="BQ519" s="101"/>
      <c r="BR519" s="101"/>
      <c r="BS519" s="101"/>
      <c r="BT519" s="104"/>
      <c r="BU519" s="104"/>
      <c r="BV519" s="104"/>
      <c r="BW519" s="104"/>
      <c r="BX519" s="104"/>
      <c r="BY519" s="104"/>
      <c r="BZ519" s="104"/>
      <c r="CA519" s="104"/>
      <c r="CB519" s="104"/>
      <c r="CC519" s="104"/>
      <c r="CD519" s="104"/>
      <c r="CE519" s="104"/>
      <c r="CF519" s="104"/>
      <c r="CG519" s="104"/>
      <c r="CH519" s="104"/>
      <c r="CI519" s="104"/>
      <c r="CJ519" s="104"/>
      <c r="CK519" s="104"/>
      <c r="CL519" s="104"/>
      <c r="CM519" s="104"/>
      <c r="CN519" s="104"/>
      <c r="CO519" s="104"/>
      <c r="CP519" s="98"/>
      <c r="CR519" s="101"/>
      <c r="CS519" s="101"/>
      <c r="CT519" s="101"/>
      <c r="CU519" s="101"/>
      <c r="CV519" s="101"/>
      <c r="FL519" s="103"/>
      <c r="FN519" s="103"/>
      <c r="FP519" s="103"/>
      <c r="FR519" s="103"/>
    </row>
    <row r="520" spans="2:174" x14ac:dyDescent="0.35">
      <c r="B520" s="97"/>
      <c r="G520" s="100"/>
      <c r="K520" s="98"/>
      <c r="L520" s="101"/>
      <c r="M520" s="101"/>
      <c r="N520" s="101"/>
      <c r="O520" s="101"/>
      <c r="P520" s="102"/>
      <c r="Q520" s="101"/>
      <c r="R520" s="98"/>
      <c r="S520" s="98"/>
      <c r="T520" s="98"/>
      <c r="U520" s="98"/>
      <c r="V520" s="98"/>
      <c r="W520" s="98"/>
      <c r="X520" s="98"/>
      <c r="Y520" s="98"/>
      <c r="Z520" s="103"/>
      <c r="AA520" s="103"/>
      <c r="AB520" s="103"/>
      <c r="AC520" s="103"/>
      <c r="AD520" s="103"/>
      <c r="AE520" s="103"/>
      <c r="AF520" s="103"/>
      <c r="AG520" s="101"/>
      <c r="AH520" s="101"/>
      <c r="AI520" s="101"/>
      <c r="AJ520" s="101"/>
      <c r="AK520" s="101"/>
      <c r="AL520" s="101"/>
      <c r="AM520" s="101"/>
      <c r="AN520" s="103"/>
      <c r="AO520" s="103"/>
      <c r="AP520" s="103"/>
      <c r="AQ520" s="103"/>
      <c r="AR520" s="103"/>
      <c r="AS520" s="103"/>
      <c r="AT520" s="103"/>
      <c r="AU520" s="101"/>
      <c r="AV520" s="101"/>
      <c r="AW520" s="101"/>
      <c r="AX520" s="101"/>
      <c r="AY520" s="101"/>
      <c r="AZ520" s="101"/>
      <c r="BA520" s="101"/>
      <c r="BB520" s="103"/>
      <c r="BC520" s="103"/>
      <c r="BD520" s="103"/>
      <c r="BE520" s="101"/>
      <c r="BF520" s="101"/>
      <c r="BG520" s="101"/>
      <c r="BH520" s="101"/>
      <c r="BI520" s="101"/>
      <c r="BM520" s="101"/>
      <c r="BN520" s="101"/>
      <c r="BO520" s="101"/>
      <c r="BP520" s="101"/>
      <c r="BQ520" s="101"/>
      <c r="BR520" s="101"/>
      <c r="BS520" s="101"/>
      <c r="BT520" s="104"/>
      <c r="BU520" s="104"/>
      <c r="BV520" s="104"/>
      <c r="BW520" s="104"/>
      <c r="BX520" s="104"/>
      <c r="BY520" s="104"/>
      <c r="BZ520" s="104"/>
      <c r="CA520" s="104"/>
      <c r="CB520" s="104"/>
      <c r="CC520" s="104"/>
      <c r="CD520" s="104"/>
      <c r="CE520" s="104"/>
      <c r="CF520" s="104"/>
      <c r="CG520" s="104"/>
      <c r="CH520" s="104"/>
      <c r="CI520" s="104"/>
      <c r="CJ520" s="104"/>
      <c r="CK520" s="104"/>
      <c r="CL520" s="104"/>
      <c r="CM520" s="104"/>
      <c r="CN520" s="104"/>
      <c r="CO520" s="104"/>
      <c r="CP520" s="98"/>
      <c r="CR520" s="101"/>
      <c r="CS520" s="101"/>
      <c r="CT520" s="101"/>
      <c r="CU520" s="101"/>
      <c r="CV520" s="101"/>
      <c r="FL520" s="103"/>
      <c r="FN520" s="103"/>
      <c r="FP520" s="103"/>
      <c r="FR520" s="103"/>
    </row>
    <row r="521" spans="2:174" x14ac:dyDescent="0.35">
      <c r="B521" s="97"/>
      <c r="G521" s="100"/>
      <c r="K521" s="98"/>
      <c r="L521" s="101"/>
      <c r="M521" s="101"/>
      <c r="N521" s="101"/>
      <c r="O521" s="101"/>
      <c r="P521" s="102"/>
      <c r="Q521" s="101"/>
      <c r="R521" s="98"/>
      <c r="S521" s="98"/>
      <c r="T521" s="98"/>
      <c r="U521" s="98"/>
      <c r="V521" s="98"/>
      <c r="W521" s="98"/>
      <c r="X521" s="98"/>
      <c r="Y521" s="98"/>
      <c r="Z521" s="103"/>
      <c r="AA521" s="103"/>
      <c r="AB521" s="103"/>
      <c r="AC521" s="103"/>
      <c r="AD521" s="103"/>
      <c r="AE521" s="103"/>
      <c r="AF521" s="103"/>
      <c r="AG521" s="101"/>
      <c r="AH521" s="101"/>
      <c r="AI521" s="101"/>
      <c r="AJ521" s="101"/>
      <c r="AK521" s="101"/>
      <c r="AL521" s="101"/>
      <c r="AM521" s="101"/>
      <c r="AN521" s="103"/>
      <c r="AO521" s="103"/>
      <c r="AP521" s="103"/>
      <c r="AQ521" s="103"/>
      <c r="AR521" s="103"/>
      <c r="AS521" s="103"/>
      <c r="AT521" s="103"/>
      <c r="AU521" s="101"/>
      <c r="AV521" s="101"/>
      <c r="AW521" s="101"/>
      <c r="AX521" s="101"/>
      <c r="AY521" s="101"/>
      <c r="AZ521" s="101"/>
      <c r="BA521" s="101"/>
      <c r="BB521" s="103"/>
      <c r="BC521" s="103"/>
      <c r="BD521" s="103"/>
      <c r="BE521" s="101"/>
      <c r="BF521" s="101"/>
      <c r="BG521" s="101"/>
      <c r="BH521" s="101"/>
      <c r="BI521" s="101"/>
      <c r="BM521" s="101"/>
      <c r="BN521" s="101"/>
      <c r="BO521" s="101"/>
      <c r="BP521" s="101"/>
      <c r="BQ521" s="101"/>
      <c r="BR521" s="101"/>
      <c r="BS521" s="101"/>
      <c r="BT521" s="104"/>
      <c r="BU521" s="104"/>
      <c r="BV521" s="104"/>
      <c r="BW521" s="104"/>
      <c r="BX521" s="104"/>
      <c r="BY521" s="104"/>
      <c r="BZ521" s="104"/>
      <c r="CA521" s="104"/>
      <c r="CB521" s="104"/>
      <c r="CC521" s="104"/>
      <c r="CD521" s="104"/>
      <c r="CE521" s="104"/>
      <c r="CF521" s="104"/>
      <c r="CG521" s="104"/>
      <c r="CH521" s="104"/>
      <c r="CI521" s="104"/>
      <c r="CJ521" s="104"/>
      <c r="CK521" s="104"/>
      <c r="CL521" s="104"/>
      <c r="CM521" s="104"/>
      <c r="CN521" s="104"/>
      <c r="CO521" s="104"/>
      <c r="CP521" s="98"/>
      <c r="CR521" s="101"/>
      <c r="CS521" s="101"/>
      <c r="CT521" s="101"/>
      <c r="CU521" s="101"/>
      <c r="CV521" s="101"/>
      <c r="FL521" s="103"/>
      <c r="FN521" s="103"/>
      <c r="FP521" s="103"/>
      <c r="FR521" s="103"/>
    </row>
    <row r="522" spans="2:174" x14ac:dyDescent="0.35">
      <c r="B522" s="97"/>
      <c r="G522" s="100"/>
      <c r="K522" s="98"/>
      <c r="L522" s="101"/>
      <c r="M522" s="101"/>
      <c r="N522" s="101"/>
      <c r="O522" s="101"/>
      <c r="P522" s="102"/>
      <c r="Q522" s="101"/>
      <c r="R522" s="98"/>
      <c r="S522" s="98"/>
      <c r="T522" s="98"/>
      <c r="U522" s="98"/>
      <c r="V522" s="98"/>
      <c r="W522" s="98"/>
      <c r="X522" s="98"/>
      <c r="Y522" s="98"/>
      <c r="Z522" s="103"/>
      <c r="AA522" s="103"/>
      <c r="AB522" s="103"/>
      <c r="AC522" s="103"/>
      <c r="AD522" s="103"/>
      <c r="AE522" s="103"/>
      <c r="AF522" s="103"/>
      <c r="AG522" s="101"/>
      <c r="AH522" s="101"/>
      <c r="AI522" s="101"/>
      <c r="AJ522" s="101"/>
      <c r="AK522" s="101"/>
      <c r="AL522" s="101"/>
      <c r="AM522" s="101"/>
      <c r="AN522" s="103"/>
      <c r="AO522" s="103"/>
      <c r="AP522" s="103"/>
      <c r="AQ522" s="103"/>
      <c r="AR522" s="103"/>
      <c r="AS522" s="103"/>
      <c r="AT522" s="103"/>
      <c r="AU522" s="101"/>
      <c r="AV522" s="101"/>
      <c r="AW522" s="101"/>
      <c r="AX522" s="101"/>
      <c r="AY522" s="101"/>
      <c r="AZ522" s="101"/>
      <c r="BA522" s="101"/>
      <c r="BB522" s="103"/>
      <c r="BC522" s="103"/>
      <c r="BD522" s="103"/>
      <c r="BE522" s="101"/>
      <c r="BF522" s="101"/>
      <c r="BG522" s="101"/>
      <c r="BH522" s="101"/>
      <c r="BI522" s="101"/>
      <c r="BM522" s="101"/>
      <c r="BN522" s="101"/>
      <c r="BO522" s="101"/>
      <c r="BP522" s="101"/>
      <c r="BQ522" s="101"/>
      <c r="BR522" s="101"/>
      <c r="BS522" s="101"/>
      <c r="BT522" s="104"/>
      <c r="BU522" s="104"/>
      <c r="BV522" s="104"/>
      <c r="BW522" s="104"/>
      <c r="BX522" s="104"/>
      <c r="BY522" s="104"/>
      <c r="BZ522" s="104"/>
      <c r="CA522" s="104"/>
      <c r="CB522" s="104"/>
      <c r="CC522" s="104"/>
      <c r="CD522" s="104"/>
      <c r="CE522" s="104"/>
      <c r="CF522" s="104"/>
      <c r="CG522" s="104"/>
      <c r="CH522" s="104"/>
      <c r="CI522" s="104"/>
      <c r="CJ522" s="104"/>
      <c r="CK522" s="104"/>
      <c r="CL522" s="104"/>
      <c r="CM522" s="104"/>
      <c r="CN522" s="104"/>
      <c r="CO522" s="104"/>
      <c r="CP522" s="98"/>
      <c r="CR522" s="101"/>
      <c r="CS522" s="101"/>
      <c r="CT522" s="101"/>
      <c r="CU522" s="101"/>
      <c r="CV522" s="101"/>
      <c r="FL522" s="103"/>
      <c r="FN522" s="103"/>
      <c r="FP522" s="103"/>
      <c r="FR522" s="103"/>
    </row>
    <row r="523" spans="2:174" x14ac:dyDescent="0.35">
      <c r="B523" s="97"/>
      <c r="G523" s="100"/>
      <c r="K523" s="98"/>
      <c r="L523" s="101"/>
      <c r="M523" s="101"/>
      <c r="N523" s="101"/>
      <c r="O523" s="101"/>
      <c r="P523" s="102"/>
      <c r="Q523" s="101"/>
      <c r="R523" s="98"/>
      <c r="S523" s="98"/>
      <c r="T523" s="98"/>
      <c r="U523" s="98"/>
      <c r="V523" s="98"/>
      <c r="W523" s="98"/>
      <c r="X523" s="98"/>
      <c r="Y523" s="98"/>
      <c r="Z523" s="103"/>
      <c r="AA523" s="103"/>
      <c r="AB523" s="103"/>
      <c r="AC523" s="103"/>
      <c r="AD523" s="103"/>
      <c r="AE523" s="103"/>
      <c r="AF523" s="103"/>
      <c r="AG523" s="101"/>
      <c r="AH523" s="101"/>
      <c r="AI523" s="101"/>
      <c r="AJ523" s="101"/>
      <c r="AK523" s="101"/>
      <c r="AL523" s="101"/>
      <c r="AM523" s="101"/>
      <c r="AN523" s="103"/>
      <c r="AO523" s="103"/>
      <c r="AP523" s="103"/>
      <c r="AQ523" s="103"/>
      <c r="AR523" s="103"/>
      <c r="AS523" s="103"/>
      <c r="AT523" s="103"/>
      <c r="AU523" s="101"/>
      <c r="AV523" s="101"/>
      <c r="AW523" s="101"/>
      <c r="AX523" s="101"/>
      <c r="AY523" s="101"/>
      <c r="AZ523" s="101"/>
      <c r="BA523" s="101"/>
      <c r="BB523" s="103"/>
      <c r="BC523" s="103"/>
      <c r="BD523" s="103"/>
      <c r="BE523" s="101"/>
      <c r="BF523" s="101"/>
      <c r="BG523" s="101"/>
      <c r="BH523" s="101"/>
      <c r="BI523" s="101"/>
      <c r="BM523" s="101"/>
      <c r="BN523" s="101"/>
      <c r="BO523" s="101"/>
      <c r="BP523" s="101"/>
      <c r="BQ523" s="101"/>
      <c r="BR523" s="101"/>
      <c r="BS523" s="101"/>
      <c r="BT523" s="104"/>
      <c r="BU523" s="104"/>
      <c r="BV523" s="104"/>
      <c r="BW523" s="104"/>
      <c r="BX523" s="104"/>
      <c r="BY523" s="104"/>
      <c r="BZ523" s="104"/>
      <c r="CA523" s="104"/>
      <c r="CB523" s="104"/>
      <c r="CC523" s="104"/>
      <c r="CD523" s="104"/>
      <c r="CE523" s="104"/>
      <c r="CF523" s="104"/>
      <c r="CG523" s="104"/>
      <c r="CH523" s="104"/>
      <c r="CI523" s="104"/>
      <c r="CJ523" s="104"/>
      <c r="CK523" s="104"/>
      <c r="CL523" s="104"/>
      <c r="CM523" s="104"/>
      <c r="CN523" s="104"/>
      <c r="CO523" s="104"/>
      <c r="CP523" s="98"/>
      <c r="CR523" s="101"/>
      <c r="CS523" s="101"/>
      <c r="CT523" s="101"/>
      <c r="CU523" s="101"/>
      <c r="CV523" s="101"/>
      <c r="FL523" s="103"/>
      <c r="FN523" s="103"/>
      <c r="FP523" s="103"/>
      <c r="FR523" s="103"/>
    </row>
    <row r="524" spans="2:174" x14ac:dyDescent="0.35">
      <c r="FP524" s="103"/>
    </row>
    <row r="525" spans="2:174" x14ac:dyDescent="0.35">
      <c r="FP525" s="103"/>
    </row>
    <row r="526" spans="2:174" x14ac:dyDescent="0.35">
      <c r="FP526" s="103"/>
    </row>
  </sheetData>
  <sheetProtection algorithmName="SHA-512" hashValue="YauGEgvpxXcfXqk8oOLeJ3HoY6cdO1/3tBp5CoIyiJu8z7n25c1mD4YXPHOrDhvoLGHhLJL8KsDvRQFavwMofw==" saltValue="mP6kTCQTCt5qaV0cVjWvdA==" spinCount="100000" sheet="1" objects="1" scenarios="1"/>
  <mergeCells count="15">
    <mergeCell ref="GB1:GI1"/>
    <mergeCell ref="BO1:BS1"/>
    <mergeCell ref="A1:P1"/>
    <mergeCell ref="Q1:AM1"/>
    <mergeCell ref="AN1:BA1"/>
    <mergeCell ref="BB1:BG1"/>
    <mergeCell ref="BH1:BN1"/>
    <mergeCell ref="FK1:FR1"/>
    <mergeCell ref="BT1:CO1"/>
    <mergeCell ref="CP1:DB1"/>
    <mergeCell ref="DC1:ER1"/>
    <mergeCell ref="ES1:EZ1"/>
    <mergeCell ref="FA1:FF1"/>
    <mergeCell ref="FG1:FJ1"/>
    <mergeCell ref="FS1:GA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Quotation Template</vt:lpstr>
      <vt:lpstr>Production Calculation</vt:lpstr>
      <vt:lpstr>RAM</vt:lpstr>
      <vt:lpstr>Quotations</vt:lpstr>
      <vt:lpstr>Production Plan</vt:lpstr>
      <vt:lpstr>'Production Calculation'!Print_Area</vt:lpstr>
      <vt:lpstr>'Quotation Template'!Print_Area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Mustafa Mujawar</dc:creator>
  <cp:lastModifiedBy>Alfaiz Shaikh</cp:lastModifiedBy>
  <cp:lastPrinted>2025-10-27T13:48:02Z</cp:lastPrinted>
  <dcterms:created xsi:type="dcterms:W3CDTF">2025-08-01T10:06:14Z</dcterms:created>
  <dcterms:modified xsi:type="dcterms:W3CDTF">2025-11-26T13:25:15Z</dcterms:modified>
</cp:coreProperties>
</file>